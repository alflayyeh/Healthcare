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untry_Summary" sheetId="2" state="visible" r:id="rId4"/>
    <sheet name="Directions" sheetId="3" state="visible" r:id="rId5"/>
    <sheet name="Rank_Changes" sheetId="4" state="visible" r:id="rId6"/>
    <sheet name="Performance_Matrix" sheetId="5" state="visible" r:id="rId7"/>
    <sheet name="Rank_Movement_Matrix" sheetId="6" state="visible" r:id="rId8"/>
  </sheets>
  <definedNames>
    <definedName function="false" hidden="true" localSheetId="3" name="_xlnm._FilterDatabase" vbProcedure="false">Rank_Changes!$A$1:$U$1090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<sst xmlns="http://schemas.openxmlformats.org/spreadsheetml/2006/main" count="8229" uniqueCount="342">
  <si>
    <t xml:space="preserve">Rank changes: 2018 JAMA paper (data mostly 2013–2016) vs 2026 update (data mostly 2023–2025)</t>
  </si>
  <si>
    <t xml:space="preserve">How to read</t>
  </si>
  <si>
    <t xml:space="preserve">• Rank convention is the paper's: rank 1 = HIGHEST value in the row, whether high is good or bad.</t>
  </si>
  <si>
    <t xml:space="preserve">• Rank change = 2018 rank − 2026 rank. Positive (▲) = the country moved toward the top (its value is now higher RELATIVE to the others); negative (▼) = moved down.</t>
  </si>
  <si>
    <t xml:space="preserve">• To keep the comparison fair, ranks are recomputed among only the countries that have a comparable value in BOTH years (column 'n compared'). The ranks printed in the figures are shown alongside for reference.</t>
  </si>
  <si>
    <t xml:space="preserve">• Performance change = rank change × desirable direction (Directions sheet): +1 if higher is better (e.g. life expectancy), −1 if lower is better (e.g. infant mortality), 0 if the indicator is descriptive (spending, utilization, workforce). Positive = the country now does BETTER relative to the other countries; negative = WORSE.</t>
  </si>
  <si>
    <t xml:space="preserve">• This is relative standing only: a country can improve in absolute terms yet fall in rank if others improved faster.</t>
  </si>
  <si>
    <t xml:space="preserve">Sheets</t>
  </si>
  <si>
    <t xml:space="preserve">Country_Summary — per country: how many comparable indicators improved, worsened or did not move in relative terms, overall and by domain; with chart.</t>
  </si>
  <si>
    <t xml:space="preserve">Performance_Matrix — indicator × country grid of performance change (green better, red worse) for indicators with a desirable direction.</t>
  </si>
  <si>
    <t xml:space="preserve">Rank_Movement_Matrix — indicator × country grid of raw rank change for ALL indicators (blue up, orange down), including descriptive ones.</t>
  </si>
  <si>
    <t xml:space="preserve">Rank_Changes — the underlying table (one row per indicator × country), with values, ranks, and comparability notes. All ranks and changes are live formulas.</t>
  </si>
  <si>
    <t xml:space="preserve">Directions — the desirable direction assigned to each indicator (blue = editable). These are judgment calls; change any of them and every sheet updates.</t>
  </si>
  <si>
    <t xml:space="preserve">Comparability rules</t>
  </si>
  <si>
    <t xml:space="preserve">Excluded (Include = 0): no value in one year; indicators whose definition changed in a way that affects countries unequally (primary-care share, urban/rural physicians); country values hit by a series break (e.g. Netherlands health accounts 2021, France mental-health discharges, Denmark nurses) or a definition switch (Germany self-reported weight; Swiss/Dutch public spending). Include flags are editable.</t>
  </si>
  <si>
    <t xml:space="preserve">Caution notes flag rows that remain in the comparison but where some movement may come from method changes (e.g. survey mode, data revisions). See the Comparability note column.</t>
  </si>
  <si>
    <t xml:space="preserve">Indicators with no 2026 data (drug prices, NCEs, health-system views, etc.) cannot be compared and show as excluded.</t>
  </si>
  <si>
    <t xml:space="preserve">Relative performance by country, 2018 paper vs 2026 update</t>
  </si>
  <si>
    <t xml:space="preserve">Counts of comparable indicators with a desirable direction where the country's rank (among countries with data in both years) improved, worsened or did not change.</t>
  </si>
  <si>
    <t xml:space="preserve">Country</t>
  </si>
  <si>
    <t xml:space="preserve">Indicators compared</t>
  </si>
  <si>
    <t xml:space="preserve">Better</t>
  </si>
  <si>
    <t xml:space="preserve">Worse</t>
  </si>
  <si>
    <t xml:space="preserve">No change</t>
  </si>
  <si>
    <t xml:space="preserve">Net (better − worse)</t>
  </si>
  <si>
    <t xml:space="preserve">Share better</t>
  </si>
  <si>
    <t xml:space="preserve">Mean positions gained</t>
  </si>
  <si>
    <t xml:space="preserve">US</t>
  </si>
  <si>
    <t xml:space="preserve">UK</t>
  </si>
  <si>
    <t xml:space="preserve">Germany</t>
  </si>
  <si>
    <t xml:space="preserve">Sweden</t>
  </si>
  <si>
    <t xml:space="preserve">France</t>
  </si>
  <si>
    <t xml:space="preserve">NLD</t>
  </si>
  <si>
    <t xml:space="preserve">CHE</t>
  </si>
  <si>
    <t xml:space="preserve">Denmark</t>
  </si>
  <si>
    <t xml:space="preserve">Canada</t>
  </si>
  <si>
    <t xml:space="preserve">Japan</t>
  </si>
  <si>
    <t xml:space="preserve">Australia</t>
  </si>
  <si>
    <t xml:space="preserve">Net (better − worse) by domain</t>
  </si>
  <si>
    <t xml:space="preserve">Population health</t>
  </si>
  <si>
    <t xml:space="preserve">Access &amp; quality</t>
  </si>
  <si>
    <t xml:space="preserve">Equity</t>
  </si>
  <si>
    <t xml:space="preserve">Spending</t>
  </si>
  <si>
    <t xml:space="preserve">Pharmaceuticals</t>
  </si>
  <si>
    <t xml:space="preserve">Domains with directional indicators only (Spending: poverty and coverage; Pharmaceuticals: antibiotic use). Workforce and Utilization indicators are descriptive — see Rank_Movement_Matrix.</t>
  </si>
  <si>
    <t xml:space="preserve">Indicator ID</t>
  </si>
  <si>
    <t xml:space="preserve">Figure</t>
  </si>
  <si>
    <t xml:space="preserve">Indicator</t>
  </si>
  <si>
    <t xml:space="preserve">Desirable direction (+1 higher better, −1 lower better, 0 none)</t>
  </si>
  <si>
    <t xml:space="preserve">Rationale</t>
  </si>
  <si>
    <t xml:space="preserve">F1_01</t>
  </si>
  <si>
    <t xml:space="preserve">Overall population (in millions)</t>
  </si>
  <si>
    <t xml:space="preserve">Descriptive / context: no normative better-or-worse direction</t>
  </si>
  <si>
    <t xml:space="preserve">F1_02</t>
  </si>
  <si>
    <t xml:space="preserve">Population ≥65 y, %</t>
  </si>
  <si>
    <t xml:space="preserve">F1_03</t>
  </si>
  <si>
    <t xml:space="preserve">GDP per capita, US $ (in thousands)</t>
  </si>
  <si>
    <t xml:space="preserve">F1_04</t>
  </si>
  <si>
    <t xml:space="preserve">Land area (× 1000 sq km)</t>
  </si>
  <si>
    <t xml:space="preserve">F1_05</t>
  </si>
  <si>
    <t xml:space="preserve">Poverty rate, % below poverty line of 60%</t>
  </si>
  <si>
    <t xml:space="preserve">Less poverty is better</t>
  </si>
  <si>
    <t xml:space="preserve">F1_06</t>
  </si>
  <si>
    <t xml:space="preserve">Total spending on health, % of total national GDP</t>
  </si>
  <si>
    <t xml:space="preserve">F1_07</t>
  </si>
  <si>
    <t xml:space="preserve">Public spending on health, % of total national GDP</t>
  </si>
  <si>
    <t xml:space="preserve">F1_08</t>
  </si>
  <si>
    <t xml:space="preserve">Mean spending on health per capita, US $</t>
  </si>
  <si>
    <t xml:space="preserve">F1_09</t>
  </si>
  <si>
    <t xml:space="preserve">Inpatient care</t>
  </si>
  <si>
    <t xml:space="preserve">F1_10</t>
  </si>
  <si>
    <t xml:space="preserve">Outpatient care</t>
  </si>
  <si>
    <t xml:space="preserve">F1_11</t>
  </si>
  <si>
    <t xml:space="preserve">Long-term care</t>
  </si>
  <si>
    <t xml:space="preserve">F1_12</t>
  </si>
  <si>
    <t xml:space="preserve">Medical goods</t>
  </si>
  <si>
    <t xml:space="preserve">F1_13</t>
  </si>
  <si>
    <t xml:space="preserve">Governance and administration</t>
  </si>
  <si>
    <t xml:space="preserve">F1_14</t>
  </si>
  <si>
    <t xml:space="preserve">Home-based care</t>
  </si>
  <si>
    <t xml:space="preserve">F1_15</t>
  </si>
  <si>
    <t xml:space="preserve">Preventive care</t>
  </si>
  <si>
    <t xml:space="preserve">F1_16</t>
  </si>
  <si>
    <t xml:space="preserve">Other</t>
  </si>
  <si>
    <t xml:space="preserve">F1_17</t>
  </si>
  <si>
    <t xml:space="preserve">Population with health care coverage, %</t>
  </si>
  <si>
    <t xml:space="preserve">Wider insurance coverage is better</t>
  </si>
  <si>
    <t xml:space="preserve">F4_01</t>
  </si>
  <si>
    <t xml:space="preserve">Smoking, % of population aged ≥15 y who smoke daily</t>
  </si>
  <si>
    <t xml:space="preserve">Lower risk-factor prevalence is better</t>
  </si>
  <si>
    <t xml:space="preserve">F4_02</t>
  </si>
  <si>
    <t xml:space="preserve">Alcohol consumption, L per capita in population aged ≥15 y</t>
  </si>
  <si>
    <t xml:space="preserve">F4_03</t>
  </si>
  <si>
    <t xml:space="preserve">Obese or overweight, % of population aged ≥15 y</t>
  </si>
  <si>
    <t xml:space="preserve">F4_04</t>
  </si>
  <si>
    <t xml:space="preserve">Life expectancy in total population at birth, mean, y</t>
  </si>
  <si>
    <t xml:space="preserve">Longer life expectancy is better</t>
  </si>
  <si>
    <t xml:space="preserve">F4_05</t>
  </si>
  <si>
    <t xml:space="preserve">Health-adjusted life expectancy, mean, y</t>
  </si>
  <si>
    <t xml:space="preserve">F4_06</t>
  </si>
  <si>
    <t xml:space="preserve">Life expectancy for women aged ≥40 y, mean, y</t>
  </si>
  <si>
    <t xml:space="preserve">F4_07</t>
  </si>
  <si>
    <t xml:space="preserve">Life expectancy for men aged ≥40 y, mean, y</t>
  </si>
  <si>
    <t xml:space="preserve">F4_08</t>
  </si>
  <si>
    <t xml:space="preserve">Maternal mortality, deaths per 100 000 live births</t>
  </si>
  <si>
    <t xml:space="preserve">Lower mortality / low birth weight is better</t>
  </si>
  <si>
    <t xml:space="preserve">F4_09</t>
  </si>
  <si>
    <t xml:space="preserve">Infant mortality, deaths per 1000 live births</t>
  </si>
  <si>
    <t xml:space="preserve">F4_10</t>
  </si>
  <si>
    <t xml:space="preserve">Neonatal mortality, deaths per 1000 live births</t>
  </si>
  <si>
    <t xml:space="preserve">F4_11</t>
  </si>
  <si>
    <t xml:space="preserve">Neonatal mortality, deaths per 1000 live births excluding &lt;1000 g</t>
  </si>
  <si>
    <t xml:space="preserve">F4_12</t>
  </si>
  <si>
    <t xml:space="preserve">Low birth weight, % of total live births</t>
  </si>
  <si>
    <t xml:space="preserve">F5_01</t>
  </si>
  <si>
    <t xml:space="preserve">Overall physicians per 1000 population</t>
  </si>
  <si>
    <t xml:space="preserve">F5_02</t>
  </si>
  <si>
    <t xml:space="preserve">Primary care physicians, % of total</t>
  </si>
  <si>
    <t xml:space="preserve">F5_03</t>
  </si>
  <si>
    <t xml:space="preserve">Specialists, % of total</t>
  </si>
  <si>
    <t xml:space="preserve">F5_04</t>
  </si>
  <si>
    <t xml:space="preserve">Nurses per 1000 population</t>
  </si>
  <si>
    <t xml:space="preserve">F5_05</t>
  </si>
  <si>
    <t xml:space="preserve">Generalist physicians</t>
  </si>
  <si>
    <t xml:space="preserve">F5_06</t>
  </si>
  <si>
    <t xml:space="preserve">Specialist physicians</t>
  </si>
  <si>
    <t xml:space="preserve">F5_07</t>
  </si>
  <si>
    <t xml:space="preserve">Nurses</t>
  </si>
  <si>
    <t xml:space="preserve">F5_08</t>
  </si>
  <si>
    <t xml:space="preserve">Non-health-specific annual wage, mean</t>
  </si>
  <si>
    <t xml:space="preserve">F5_09</t>
  </si>
  <si>
    <t xml:space="preserve">Ratio of generalist remuneration to mean wage</t>
  </si>
  <si>
    <t xml:space="preserve">F5_10</t>
  </si>
  <si>
    <t xml:space="preserve">Ratio of specialists remuneration to mean wage</t>
  </si>
  <si>
    <t xml:space="preserve">F5_11</t>
  </si>
  <si>
    <t xml:space="preserve">Ratio of nurse remuneration to mean wage</t>
  </si>
  <si>
    <t xml:space="preserve">F5_12</t>
  </si>
  <si>
    <t xml:space="preserve">Magnetic resonance imaging units</t>
  </si>
  <si>
    <t xml:space="preserve">F5_13</t>
  </si>
  <si>
    <t xml:space="preserve">Computed tomography units</t>
  </si>
  <si>
    <t xml:space="preserve">F5_14</t>
  </si>
  <si>
    <t xml:space="preserve">Mammography machine units</t>
  </si>
  <si>
    <t xml:space="preserve">F5_15</t>
  </si>
  <si>
    <t xml:space="preserve">Hospital beds per 1000 population</t>
  </si>
  <si>
    <t xml:space="preserve">F5_16</t>
  </si>
  <si>
    <t xml:space="preserve">Long-term beds per 1000 population aged ≥65 y</t>
  </si>
  <si>
    <t xml:space="preserve">F7_01</t>
  </si>
  <si>
    <t xml:space="preserve">Acute myocardial infarction</t>
  </si>
  <si>
    <t xml:space="preserve">F7_02</t>
  </si>
  <si>
    <t xml:space="preserve">Mental and behavioral</t>
  </si>
  <si>
    <t xml:space="preserve">F7_03</t>
  </si>
  <si>
    <t xml:space="preserve">Pneumonia</t>
  </si>
  <si>
    <t xml:space="preserve">F7_04</t>
  </si>
  <si>
    <t xml:space="preserve">Chronic obstructive pulmonary disease</t>
  </si>
  <si>
    <t xml:space="preserve">F7_05</t>
  </si>
  <si>
    <t xml:space="preserve">Magnetic resonance imaging</t>
  </si>
  <si>
    <t xml:space="preserve">F7_06</t>
  </si>
  <si>
    <t xml:space="preserve">Computed tomography</t>
  </si>
  <si>
    <t xml:space="preserve">F7_07</t>
  </si>
  <si>
    <t xml:space="preserve">Total hip replacement per 100 000 population</t>
  </si>
  <si>
    <t xml:space="preserve">F7_08</t>
  </si>
  <si>
    <t xml:space="preserve">Total knee replacement per 100 000 population</t>
  </si>
  <si>
    <t xml:space="preserve">F7_09</t>
  </si>
  <si>
    <t xml:space="preserve">Hysterectomy per 100 000 women</t>
  </si>
  <si>
    <t xml:space="preserve">F7_10</t>
  </si>
  <si>
    <t xml:space="preserve">Cesarean delivery per 100 live births</t>
  </si>
  <si>
    <t xml:space="preserve">F7_11</t>
  </si>
  <si>
    <t xml:space="preserve">Cataract surgery per 100 000 population</t>
  </si>
  <si>
    <t xml:space="preserve">F7_12</t>
  </si>
  <si>
    <t xml:space="preserve">Coronary artery bypass graft surgery</t>
  </si>
  <si>
    <t xml:space="preserve">F7_13</t>
  </si>
  <si>
    <t xml:space="preserve">Coronary angioplasty</t>
  </si>
  <si>
    <t xml:space="preserve">F7_14</t>
  </si>
  <si>
    <t xml:space="preserve">Normal delivery</t>
  </si>
  <si>
    <t xml:space="preserve">F7_15</t>
  </si>
  <si>
    <t xml:space="preserve">F9_01</t>
  </si>
  <si>
    <t xml:space="preserve">Total spending per capita, US $</t>
  </si>
  <si>
    <t xml:space="preserve">F9_02</t>
  </si>
  <si>
    <t xml:space="preserve">Retail pharmaceutical spending per capita, US $</t>
  </si>
  <si>
    <t xml:space="preserve">F9_03</t>
  </si>
  <si>
    <t xml:space="preserve">Crestor (cholesterol)</t>
  </si>
  <si>
    <t xml:space="preserve">F9_04</t>
  </si>
  <si>
    <t xml:space="preserve">Lantus (diabetes)</t>
  </si>
  <si>
    <t xml:space="preserve">F9_05</t>
  </si>
  <si>
    <t xml:space="preserve">Advair (asthma)</t>
  </si>
  <si>
    <t xml:space="preserve">F9_06</t>
  </si>
  <si>
    <t xml:space="preserve">Humira (rheumatoid arthritis)</t>
  </si>
  <si>
    <t xml:space="preserve">F9_07</t>
  </si>
  <si>
    <t xml:space="preserve">New chemical entities, No.</t>
  </si>
  <si>
    <t xml:space="preserve">F9_08</t>
  </si>
  <si>
    <t xml:space="preserve">Public spending</t>
  </si>
  <si>
    <t xml:space="preserve">F9_09</t>
  </si>
  <si>
    <t xml:space="preserve">Private insurance</t>
  </si>
  <si>
    <t xml:space="preserve">F9_10</t>
  </si>
  <si>
    <t xml:space="preserve">Private out-of-pocket spending</t>
  </si>
  <si>
    <t xml:space="preserve">F9_11</t>
  </si>
  <si>
    <t xml:space="preserve">Volume</t>
  </si>
  <si>
    <t xml:space="preserve">F9_12</t>
  </si>
  <si>
    <t xml:space="preserve">Value</t>
  </si>
  <si>
    <t xml:space="preserve">F9_13</t>
  </si>
  <si>
    <t xml:space="preserve">Antibiotic prescribing, defined daily doses per 1000 population</t>
  </si>
  <si>
    <t xml:space="preserve">Lower antibiotic use is generally better (stewardship)</t>
  </si>
  <si>
    <t xml:space="preserve">F10_01</t>
  </si>
  <si>
    <t xml:space="preserve">Able to get same- or next-day appointment</t>
  </si>
  <si>
    <t xml:space="preserve">Better access/experience</t>
  </si>
  <si>
    <t xml:space="preserve">F10_02</t>
  </si>
  <si>
    <t xml:space="preserve">2-mo Wait time to see specialist</t>
  </si>
  <si>
    <t xml:space="preserve">Fewer long specialist waits is better</t>
  </si>
  <si>
    <t xml:space="preserve">F10_03</t>
  </si>
  <si>
    <t xml:space="preserve">Adequate time with regular (primary) physician</t>
  </si>
  <si>
    <t xml:space="preserve">F10_04</t>
  </si>
  <si>
    <t xml:space="preserve">System works well</t>
  </si>
  <si>
    <t xml:space="preserve">Higher satisfaction is better</t>
  </si>
  <si>
    <t xml:space="preserve">F10_05</t>
  </si>
  <si>
    <t xml:space="preserve">Fundamental changes needed</t>
  </si>
  <si>
    <t xml:space="preserve">Less dissatisfaction is better</t>
  </si>
  <si>
    <t xml:space="preserve">F10_06</t>
  </si>
  <si>
    <t xml:space="preserve">Complete rebuild of health system needed</t>
  </si>
  <si>
    <t xml:space="preserve">F10_07</t>
  </si>
  <si>
    <t xml:space="preserve">Measles immunization, % of children</t>
  </si>
  <si>
    <t xml:space="preserve">Higher prevention coverage is better</t>
  </si>
  <si>
    <t xml:space="preserve">F10_08</t>
  </si>
  <si>
    <t xml:space="preserve">Breast cancer screening, % of women aged 50-69 y</t>
  </si>
  <si>
    <t xml:space="preserve">F10_09</t>
  </si>
  <si>
    <t xml:space="preserve">30-d Stroke mortality per 1000 patients</t>
  </si>
  <si>
    <t xml:space="preserve">Lower adverse outcome rate is better</t>
  </si>
  <si>
    <t xml:space="preserve">F10_10</t>
  </si>
  <si>
    <t xml:space="preserve">30-d Mortality per 1000 patients with acute myocardial infarction</t>
  </si>
  <si>
    <t xml:space="preserve">F10_11</t>
  </si>
  <si>
    <t xml:space="preserve">Foreign body left per 100 000 discharges</t>
  </si>
  <si>
    <t xml:space="preserve">F10_12</t>
  </si>
  <si>
    <t xml:space="preserve">Obstetric trauma without instrument per 100 deliveries</t>
  </si>
  <si>
    <t xml:space="preserve">F10_13</t>
  </si>
  <si>
    <t xml:space="preserve">Diabetes hospitalizations per 100 000 population</t>
  </si>
  <si>
    <t xml:space="preserve">Fewer avoidable admissions is better</t>
  </si>
  <si>
    <t xml:space="preserve">F10_14</t>
  </si>
  <si>
    <t xml:space="preserve">Diabetes hospitalizations as a ratio of population with diabetes</t>
  </si>
  <si>
    <t xml:space="preserve">F10_15</t>
  </si>
  <si>
    <t xml:space="preserve">Asthma hospitalizations per 100 000 population</t>
  </si>
  <si>
    <t xml:space="preserve">F10_16</t>
  </si>
  <si>
    <t xml:space="preserve">Asthma hospitalizations as a ratio of population with asthma</t>
  </si>
  <si>
    <t xml:space="preserve">F11_01</t>
  </si>
  <si>
    <t xml:space="preserve">Horizontal inequity index, %</t>
  </si>
  <si>
    <t xml:space="preserve">Lower pro-rich inequity is better (0 = equal use by need)</t>
  </si>
  <si>
    <t xml:space="preserve">F11_02</t>
  </si>
  <si>
    <t xml:space="preserve">As % of total health expenditure</t>
  </si>
  <si>
    <t xml:space="preserve">Lower out-of-pocket burden is better (financial protection)</t>
  </si>
  <si>
    <t xml:space="preserve">F11_03</t>
  </si>
  <si>
    <t xml:space="preserve">As % of household consumption</t>
  </si>
  <si>
    <t xml:space="preserve">F11_04</t>
  </si>
  <si>
    <t xml:space="preserve">Consultation skipped because of cost</t>
  </si>
  <si>
    <t xml:space="preserve">Less cost-related unmet need is better</t>
  </si>
  <si>
    <t xml:space="preserve">F11_05</t>
  </si>
  <si>
    <t xml:space="preserve">% Unmet need, below-average income</t>
  </si>
  <si>
    <t xml:space="preserve">F11_06</t>
  </si>
  <si>
    <t xml:space="preserve">% Unmet need, above-average income</t>
  </si>
  <si>
    <t xml:space="preserve">F11_07</t>
  </si>
  <si>
    <t xml:space="preserve">Rural population, % of total population</t>
  </si>
  <si>
    <t xml:space="preserve">F11_08</t>
  </si>
  <si>
    <t xml:space="preserve">Population density per sq mile</t>
  </si>
  <si>
    <t xml:space="preserve">F11_09</t>
  </si>
  <si>
    <t xml:space="preserve">Urban physicians per 1000 population</t>
  </si>
  <si>
    <t xml:space="preserve">F11_10</t>
  </si>
  <si>
    <t xml:space="preserve">Rural physicians per 1000 population</t>
  </si>
  <si>
    <t xml:space="preserve">Domain</t>
  </si>
  <si>
    <t xml:space="preserve">Country label</t>
  </si>
  <si>
    <t xml:space="preserve">2018 value (paper)</t>
  </si>
  <si>
    <t xml:space="preserve">2026 value</t>
  </si>
  <si>
    <t xml:space="preserve">2026 obs. year</t>
  </si>
  <si>
    <t xml:space="preserve">Rank in 2018 figure</t>
  </si>
  <si>
    <t xml:space="preserve">Rank in 2026 figure</t>
  </si>
  <si>
    <t xml:space="preserve">Include (1/0)</t>
  </si>
  <si>
    <t xml:space="preserve">n compared</t>
  </si>
  <si>
    <t xml:space="preserve">Rank 2018 (common set)</t>
  </si>
  <si>
    <t xml:space="preserve">Rank 2026 (common set)</t>
  </si>
  <si>
    <t xml:space="preserve">Rank change (+ = up)</t>
  </si>
  <si>
    <t xml:space="preserve">Desirable direction</t>
  </si>
  <si>
    <t xml:space="preserve">Performance change (+ = better)</t>
  </si>
  <si>
    <t xml:space="preserve">Relative performance</t>
  </si>
  <si>
    <t xml:space="preserve">Comparability note</t>
  </si>
  <si>
    <t xml:space="preserve">Key</t>
  </si>
  <si>
    <t xml:space="preserve">USA</t>
  </si>
  <si>
    <t xml:space="preserve">2025</t>
  </si>
  <si>
    <t xml:space="preserve">GBR</t>
  </si>
  <si>
    <t xml:space="preserve">DEU</t>
  </si>
  <si>
    <t xml:space="preserve">SWE</t>
  </si>
  <si>
    <t xml:space="preserve">FRA</t>
  </si>
  <si>
    <t xml:space="preserve">DNK</t>
  </si>
  <si>
    <t xml:space="preserve">CAN</t>
  </si>
  <si>
    <t xml:space="preserve">JPN</t>
  </si>
  <si>
    <t xml:space="preserve">AUS</t>
  </si>
  <si>
    <t xml:space="preserve">2023</t>
  </si>
  <si>
    <t xml:space="preserve">Land area now vs surface area in 2018 (Canada/US order is an artifact)</t>
  </si>
  <si>
    <t xml:space="preserve">2024</t>
  </si>
  <si>
    <t xml:space="preserve">2022</t>
  </si>
  <si>
    <t xml:space="preserve">2021</t>
  </si>
  <si>
    <t xml:space="preserve">2020</t>
  </si>
  <si>
    <t xml:space="preserve">Excluded: Mandatory insurance now classed as private in WHO GHED</t>
  </si>
  <si>
    <t xml:space="preserve">2018 basis uncertain (stated nominal US$, text says PPP); 2026 is PPP</t>
  </si>
  <si>
    <t xml:space="preserve">2018</t>
  </si>
  <si>
    <t xml:space="preserve">US 2018 health-accounts data (latest split); 2018 paper adjusted US inpatient +2 pts</t>
  </si>
  <si>
    <t xml:space="preserve">Excluded: Health-accounts series break 2021 (reclassification between functions)</t>
  </si>
  <si>
    <t xml:space="preserve">NA</t>
  </si>
  <si>
    <t xml:space="preserve">No value in 2026</t>
  </si>
  <si>
    <t xml:space="preserve">No value in both years</t>
  </si>
  <si>
    <t xml:space="preserve">2019</t>
  </si>
  <si>
    <t xml:space="preserve">Excluded: 2026 value self-reported vs measured in 2018</t>
  </si>
  <si>
    <t xml:space="preserve">2017</t>
  </si>
  <si>
    <t xml:space="preserve">WHO HALE revision changed levels; 2026 values are 2021 estimates</t>
  </si>
  <si>
    <t xml:space="preserve">2018 values partly model-based (GBD); 2026 registry-based</t>
  </si>
  <si>
    <t xml:space="preserve">2013</t>
  </si>
  <si>
    <t xml:space="preserve">No value in 2018</t>
  </si>
  <si>
    <t xml:space="preserve">Workforce &amp; capacity</t>
  </si>
  <si>
    <t xml:space="preserve">2018 from mixed national sources; 2026 OECD practising</t>
  </si>
  <si>
    <t xml:space="preserve">Excluded: Definition narrowed in 2026 (OECD categories exclude general internists) and affects countries unequally</t>
  </si>
  <si>
    <t xml:space="preserve">Excluded: Same as primary-care share</t>
  </si>
  <si>
    <t xml:space="preserve">Excluded: Series break 2022 in nurse definition</t>
  </si>
  <si>
    <t xml:space="preserve">Mixed OECD/national sources in both years</t>
  </si>
  <si>
    <t xml:space="preserve">Ratio uses matched-year wages in 2026</t>
  </si>
  <si>
    <t xml:space="preserve">2016</t>
  </si>
  <si>
    <t xml:space="preserve">OECD now counts beds in institutions only</t>
  </si>
  <si>
    <t xml:space="preserve">Utilization</t>
  </si>
  <si>
    <t xml:space="preserve">2010</t>
  </si>
  <si>
    <t xml:space="preserve">US OECD data still 2009-10 (same vintage as 2018), so US moves reflect other countries</t>
  </si>
  <si>
    <t xml:space="preserve">Excluded: Series break 2016 (psychiatric stays added)</t>
  </si>
  <si>
    <t xml:space="preserve">2014</t>
  </si>
  <si>
    <t xml:space="preserve">2009</t>
  </si>
  <si>
    <t xml:space="preserve">Market basis varies by country; 2018 Netherlands value looks anomalous</t>
  </si>
  <si>
    <t xml:space="preserve">Market basis varies by country</t>
  </si>
  <si>
    <t xml:space="preserve">2026 community sector only</t>
  </si>
  <si>
    <t xml:space="preserve">2023 survey moved partly online</t>
  </si>
  <si>
    <t xml:space="preserve">2015</t>
  </si>
  <si>
    <t xml:space="preserve">US moved from ICD-9 to ICD-10-CM coding in Oct 2015; part of the change may be a coding effect</t>
  </si>
  <si>
    <t xml:space="preserve">Prevalence denominator from IDF Atlas 2024</t>
  </si>
  <si>
    <t xml:space="preserve">Different study/method (OECD 2019 vs Health at a Glance 2013)</t>
  </si>
  <si>
    <t xml:space="preserve">Denominator now current (not total) health expenditure</t>
  </si>
  <si>
    <t xml:space="preserve">Excluded: Rural series revised (definition change)</t>
  </si>
  <si>
    <t xml:space="preserve">Excluded: 2018 used a patchwork of national urban/rural definitions; 2026 uses OECD TL3 typology</t>
  </si>
  <si>
    <t xml:space="preserve">Relative performance change, 2018 → 2026 (positions gained among comparable countries)</t>
  </si>
  <si>
    <t xml:space="preserve">Green = better relative standing; red = worse; 0 = same position; – = not comparable. Indicators with a desirable direction only (see Directions). Example: +2 for a mortality row means the country moved 2 places toward the low-mortality end.</t>
  </si>
  <si>
    <t xml:space="preserve">Raw rank movement, 2018 → 2026 (all indicators; + = moved toward rank 1 / higher value)</t>
  </si>
  <si>
    <t xml:space="preserve">Blue = moved up (higher value relative to others); orange = moved down; – = not comparable. No judgment of good or bad.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</si>
</sst>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\+0.00;\-0.00;0.00"/>
    <numFmt numFmtId="168" formatCode="\+0;\-0;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AF780"/>
        <bgColor rgb="FFD6EA99"/>
      </patternFill>
    </fill>
    <fill>
      <patternFill patternType="solid">
        <fgColor rgb="FFD3D2D2"/>
        <bgColor rgb="FFD9D9D9"/>
      </patternFill>
    </fill>
    <fill>
      <patternFill patternType="solid">
        <fgColor rgb="FFBED6EF"/>
        <bgColor rgb="FFBDDEE1"/>
      </patternFill>
    </fill>
    <fill>
      <patternFill patternType="solid">
        <fgColor rgb="FFEEB4DE"/>
        <bgColor rgb="FFD8A8D9"/>
      </patternFill>
    </fill>
    <fill>
      <patternFill patternType="solid">
        <fgColor rgb="FFD6EA99"/>
        <bgColor rgb="FFC4E9B8"/>
      </patternFill>
    </fill>
    <fill>
      <patternFill patternType="solid">
        <fgColor rgb="FFD8A8D9"/>
        <bgColor rgb="FFEEB4DE"/>
      </patternFill>
    </fill>
    <fill>
      <patternFill patternType="solid">
        <fgColor rgb="FFBDDEE1"/>
        <bgColor rgb="FFBED6EF"/>
      </patternFill>
    </fill>
    <fill>
      <patternFill patternType="solid">
        <fgColor rgb="FFDCB2A1"/>
        <bgColor rgb="FFF4A1A9"/>
      </patternFill>
    </fill>
    <fill>
      <patternFill patternType="solid">
        <fgColor rgb="FFF3CCA5"/>
        <bgColor rgb="FFFFC7CE"/>
      </patternFill>
    </fill>
    <fill>
      <patternFill patternType="solid">
        <fgColor rgb="FFC4E9B8"/>
        <bgColor rgb="FFC6EFCE"/>
      </patternFill>
    </fill>
    <fill>
      <patternFill patternType="solid">
        <fgColor rgb="FFF4A1A9"/>
        <bgColor rgb="FFDCB2A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D6EA9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2D2"/>
      <rgbColor rgb="FF878787"/>
      <rgbColor rgb="FFD9D9D9"/>
      <rgbColor rgb="FF993366"/>
      <rgbColor rgb="FFF9F9F9"/>
      <rgbColor rgb="FFDDEBF7"/>
      <rgbColor rgb="FF660066"/>
      <rgbColor rgb="FFEEB4DE"/>
      <rgbColor rgb="FF0066CC"/>
      <rgbColor rgb="FFBED6EF"/>
      <rgbColor rgb="FF000080"/>
      <rgbColor rgb="FFFF00FF"/>
      <rgbColor rgb="FFFCE4D6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AF780"/>
      <rgbColor rgb="FFBDDEE1"/>
      <rgbColor rgb="FFF4A1A9"/>
      <rgbColor rgb="FFD8A8D9"/>
      <rgbColor rgb="FFF3CCA5"/>
      <rgbColor rgb="FF3366FF"/>
      <rgbColor rgb="FF33CCCC"/>
      <rgbColor rgb="FFC4E9B8"/>
      <rgbColor rgb="FFFFC7CE"/>
      <rgbColor rgb="FFFF9900"/>
      <rgbColor rgb="FFFF6600"/>
      <rgbColor rgb="FF4F81BD"/>
      <rgbColor rgb="FFDCB2A1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change in relative standing (indicators better minus worse)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Country_Summary!F4</c:f>
              <c:strCache>
                <c:ptCount val="1"/>
                <c:pt idx="0">
                  <c:v>Net (better − worse)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Country_Summary!$A$5:$A$15</c:f>
              <c:strCache>
                <c:ptCount val="11"/>
                <c:pt idx="0">
                  <c:v>US</c:v>
                </c:pt>
                <c:pt idx="1">
                  <c:v>UK</c:v>
                </c:pt>
                <c:pt idx="2">
                  <c:v>Germany</c:v>
                </c:pt>
                <c:pt idx="3">
                  <c:v>Sweden</c:v>
                </c:pt>
                <c:pt idx="4">
                  <c:v>France</c:v>
                </c:pt>
                <c:pt idx="5">
                  <c:v>NLD</c:v>
                </c:pt>
                <c:pt idx="6">
                  <c:v>CHE</c:v>
                </c:pt>
                <c:pt idx="7">
                  <c:v>Denmark</c:v>
                </c:pt>
                <c:pt idx="8">
                  <c:v>Canada</c:v>
                </c:pt>
                <c:pt idx="9">
                  <c:v>Japan</c:v>
                </c:pt>
                <c:pt idx="10">
                  <c:v>Australia</c:v>
                </c:pt>
              </c:strCache>
            </c:strRef>
          </c:cat>
          <c:val>
            <c:numRef>
              <c:f>Country_Summary!$F$5:$F$15</c:f>
              <c:numCache>
                <c:formatCode>General</c:formatCode>
                <c:ptCount val="11"/>
                <c:pt idx="0">
                  <c:v>2</c:v>
                </c:pt>
                <c:pt idx="1">
                  <c:v>-8</c:v>
                </c:pt>
                <c:pt idx="2">
                  <c:v>-5</c:v>
                </c:pt>
                <c:pt idx="3">
                  <c:v>9</c:v>
                </c:pt>
                <c:pt idx="4">
                  <c:v>-2</c:v>
                </c:pt>
                <c:pt idx="5">
                  <c:v>-1</c:v>
                </c:pt>
                <c:pt idx="6">
                  <c:v>4</c:v>
                </c:pt>
                <c:pt idx="7">
                  <c:v>2</c:v>
                </c:pt>
                <c:pt idx="8">
                  <c:v>-3</c:v>
                </c:pt>
                <c:pt idx="9">
                  <c:v>1</c:v>
                </c:pt>
                <c:pt idx="10">
                  <c:v>-5</c:v>
                </c:pt>
              </c:numCache>
            </c:numRef>
          </c:val>
        </c:ser>
        <c:gapWidth val="150"/>
        <c:overlap val="0"/>
        <c:axId val="36003907"/>
        <c:axId val="49271621"/>
      </c:barChart>
      <c:catAx>
        <c:axId val="360039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71621"/>
        <c:crosses val="autoZero"/>
        <c:auto val="1"/>
        <c:lblAlgn val="ctr"/>
        <c:lblOffset val="100"/>
        <c:noMultiLvlLbl val="0"/>
      </c:catAx>
      <c:valAx>
        <c:axId val="492716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039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176040</xdr:rowOff>
    </xdr:from>
    <xdr:to>
      <xdr:col>17</xdr:col>
      <xdr:colOff>507600</xdr:colOff>
      <xdr:row>17</xdr:row>
      <xdr:rowOff>348840</xdr:rowOff>
    </xdr:to>
    <xdr:graphicFrame>
      <xdr:nvGraphicFramePr>
        <xdr:cNvPr id="0" name="Chart 1"/>
        <xdr:cNvGraphicFramePr/>
      </xdr:nvGraphicFramePr>
      <xdr:xfrm>
        <a:off x="6814080" y="571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5" customFormat="false" ht="23.85" hidden="false" customHeight="false" outlineLevel="0" collapsed="false">
      <c r="A5" s="3" t="s">
        <v>4</v>
      </c>
    </row>
    <row r="6" customFormat="false" ht="23.85" hidden="false" customHeight="false" outlineLevel="0" collapsed="false">
      <c r="A6" s="3" t="s">
        <v>5</v>
      </c>
    </row>
    <row r="7" customFormat="false" ht="15" hidden="false" customHeight="false" outlineLevel="0" collapsed="false">
      <c r="A7" s="3" t="s">
        <v>6</v>
      </c>
    </row>
    <row r="8" customFormat="false" ht="15" hidden="false" customHeight="false" outlineLevel="0" collapsed="false">
      <c r="A8" s="2" t="s">
        <v>7</v>
      </c>
    </row>
    <row r="9" customFormat="false" ht="15" hidden="false" customHeight="false" outlineLevel="0" collapsed="false">
      <c r="A9" s="3" t="s">
        <v>8</v>
      </c>
    </row>
    <row r="10" customFormat="false" ht="15" hidden="false" customHeight="false" outlineLevel="0" collapsed="false">
      <c r="A10" s="3" t="s">
        <v>9</v>
      </c>
    </row>
    <row r="11" customFormat="false" ht="15" hidden="false" customHeight="false" outlineLevel="0" collapsed="false">
      <c r="A11" s="3" t="s">
        <v>10</v>
      </c>
    </row>
    <row r="12" customFormat="false" ht="15" hidden="false" customHeight="false" outlineLevel="0" collapsed="false">
      <c r="A12" s="3" t="s">
        <v>11</v>
      </c>
    </row>
    <row r="13" customFormat="false" ht="15" hidden="false" customHeight="false" outlineLevel="0" collapsed="false">
      <c r="A13" s="3" t="s">
        <v>12</v>
      </c>
    </row>
    <row r="14" customFormat="false" ht="15" hidden="false" customHeight="false" outlineLevel="0" collapsed="false">
      <c r="A14" s="2" t="s">
        <v>13</v>
      </c>
    </row>
    <row r="15" customFormat="false" ht="35.05" hidden="false" customHeight="false" outlineLevel="0" collapsed="false">
      <c r="A15" s="3" t="s">
        <v>14</v>
      </c>
    </row>
    <row r="16" customFormat="false" ht="15" hidden="false" customHeight="false" outlineLevel="0" collapsed="false">
      <c r="A16" s="3" t="s">
        <v>15</v>
      </c>
    </row>
    <row r="17" customFormat="false" ht="15" hidden="false" customHeight="false" outlineLevel="0" collapsed="false">
      <c r="A17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6.15" hidden="false" customHeight="false" outlineLevel="0" collapsed="false">
      <c r="A1" s="4" t="s">
        <v>17</v>
      </c>
    </row>
    <row r="2" customFormat="false" ht="15" hidden="false" customHeight="false" outlineLevel="0" collapsed="false">
      <c r="A2" s="5" t="s">
        <v>18</v>
      </c>
    </row>
    <row r="4" customFormat="false" ht="31.5" hidden="false" customHeight="true" outlineLevel="0" collapsed="false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</row>
    <row r="5" customFormat="false" ht="15" hidden="false" customHeight="false" outlineLevel="0" collapsed="false">
      <c r="A5" s="7" t="s">
        <v>27</v>
      </c>
      <c r="B5" s="8" t="n">
        <f aca="false">COUNTIFS(Rank_Changes!$E$2:$E$1090,"USA",Rank_Changes!$S$2:$S$1090,"Better")+COUNTIFS(Rank_Changes!$E$2:$E$1090,"USA",Rank_Changes!$S$2:$S$1090,"Worse")+COUNTIFS(Rank_Changes!$E$2:$E$1090,"USA",Rank_Changes!$S$2:$S$1090,"No change")</f>
        <v>30</v>
      </c>
      <c r="C5" s="8" t="n">
        <f aca="false">COUNTIFS(Rank_Changes!$E$2:$E$1090,"USA",Rank_Changes!$S$2:$S$1090,"Better")</f>
        <v>8</v>
      </c>
      <c r="D5" s="8" t="n">
        <f aca="false">COUNTIFS(Rank_Changes!$E$2:$E$1090,"USA",Rank_Changes!$S$2:$S$1090,"Worse")</f>
        <v>6</v>
      </c>
      <c r="E5" s="8" t="n">
        <f aca="false">COUNTIFS(Rank_Changes!$E$2:$E$1090,"USA",Rank_Changes!$S$2:$S$1090,"No change")</f>
        <v>16</v>
      </c>
      <c r="F5" s="8" t="n">
        <f aca="false">C5-D5</f>
        <v>2</v>
      </c>
      <c r="G5" s="9" t="n">
        <f aca="false">IF(B5=0,"",C5/B5)</f>
        <v>0.266666666666667</v>
      </c>
      <c r="H5" s="10" t="n">
        <f aca="false">IFERROR(AVERAGEIFS(Rank_Changes!$R$2:$R$1090,Rank_Changes!$E$2:$E$1090,"USA",Rank_Changes!$Q$2:$Q$1090,"&lt;&gt;0",Rank_Changes!$L$2:$L$1090,1),"")</f>
        <v>0.266666666666667</v>
      </c>
    </row>
    <row r="6" customFormat="false" ht="15" hidden="false" customHeight="false" outlineLevel="0" collapsed="false">
      <c r="A6" s="11" t="s">
        <v>28</v>
      </c>
      <c r="B6" s="12" t="n">
        <f aca="false">COUNTIFS(Rank_Changes!$E$2:$E$1090,"GBR",Rank_Changes!$S$2:$S$1090,"Better")+COUNTIFS(Rank_Changes!$E$2:$E$1090,"GBR",Rank_Changes!$S$2:$S$1090,"Worse")+COUNTIFS(Rank_Changes!$E$2:$E$1090,"GBR",Rank_Changes!$S$2:$S$1090,"No change")</f>
        <v>31</v>
      </c>
      <c r="C6" s="12" t="n">
        <f aca="false">COUNTIFS(Rank_Changes!$E$2:$E$1090,"GBR",Rank_Changes!$S$2:$S$1090,"Better")</f>
        <v>7</v>
      </c>
      <c r="D6" s="12" t="n">
        <f aca="false">COUNTIFS(Rank_Changes!$E$2:$E$1090,"GBR",Rank_Changes!$S$2:$S$1090,"Worse")</f>
        <v>15</v>
      </c>
      <c r="E6" s="12" t="n">
        <f aca="false">COUNTIFS(Rank_Changes!$E$2:$E$1090,"GBR",Rank_Changes!$S$2:$S$1090,"No change")</f>
        <v>9</v>
      </c>
      <c r="F6" s="12" t="n">
        <f aca="false">C6-D6</f>
        <v>-8</v>
      </c>
      <c r="G6" s="13" t="n">
        <f aca="false">IF(B6=0,"",C6/B6)</f>
        <v>0.225806451612903</v>
      </c>
      <c r="H6" s="14" t="n">
        <f aca="false">IFERROR(AVERAGEIFS(Rank_Changes!$R$2:$R$1090,Rank_Changes!$E$2:$E$1090,"GBR",Rank_Changes!$Q$2:$Q$1090,"&lt;&gt;0",Rank_Changes!$L$2:$L$1090,1),"")</f>
        <v>-0.741935483870968</v>
      </c>
    </row>
    <row r="7" customFormat="false" ht="15" hidden="false" customHeight="false" outlineLevel="0" collapsed="false">
      <c r="A7" s="15" t="s">
        <v>29</v>
      </c>
      <c r="B7" s="12" t="n">
        <f aca="false">COUNTIFS(Rank_Changes!$E$2:$E$1090,"DEU",Rank_Changes!$S$2:$S$1090,"Better")+COUNTIFS(Rank_Changes!$E$2:$E$1090,"DEU",Rank_Changes!$S$2:$S$1090,"Worse")+COUNTIFS(Rank_Changes!$E$2:$E$1090,"DEU",Rank_Changes!$S$2:$S$1090,"No change")</f>
        <v>30</v>
      </c>
      <c r="C7" s="12" t="n">
        <f aca="false">COUNTIFS(Rank_Changes!$E$2:$E$1090,"DEU",Rank_Changes!$S$2:$S$1090,"Better")</f>
        <v>9</v>
      </c>
      <c r="D7" s="12" t="n">
        <f aca="false">COUNTIFS(Rank_Changes!$E$2:$E$1090,"DEU",Rank_Changes!$S$2:$S$1090,"Worse")</f>
        <v>14</v>
      </c>
      <c r="E7" s="12" t="n">
        <f aca="false">COUNTIFS(Rank_Changes!$E$2:$E$1090,"DEU",Rank_Changes!$S$2:$S$1090,"No change")</f>
        <v>7</v>
      </c>
      <c r="F7" s="12" t="n">
        <f aca="false">C7-D7</f>
        <v>-5</v>
      </c>
      <c r="G7" s="13" t="n">
        <f aca="false">IF(B7=0,"",C7/B7)</f>
        <v>0.3</v>
      </c>
      <c r="H7" s="14" t="n">
        <f aca="false">IFERROR(AVERAGEIFS(Rank_Changes!$R$2:$R$1090,Rank_Changes!$E$2:$E$1090,"DEU",Rank_Changes!$Q$2:$Q$1090,"&lt;&gt;0",Rank_Changes!$L$2:$L$1090,1),"")</f>
        <v>-0.166666666666667</v>
      </c>
    </row>
    <row r="8" customFormat="false" ht="15" hidden="false" customHeight="false" outlineLevel="0" collapsed="false">
      <c r="A8" s="16" t="s">
        <v>30</v>
      </c>
      <c r="B8" s="12" t="n">
        <f aca="false">COUNTIFS(Rank_Changes!$E$2:$E$1090,"SWE",Rank_Changes!$S$2:$S$1090,"Better")+COUNTIFS(Rank_Changes!$E$2:$E$1090,"SWE",Rank_Changes!$S$2:$S$1090,"Worse")+COUNTIFS(Rank_Changes!$E$2:$E$1090,"SWE",Rank_Changes!$S$2:$S$1090,"No change")</f>
        <v>30</v>
      </c>
      <c r="C8" s="12" t="n">
        <f aca="false">COUNTIFS(Rank_Changes!$E$2:$E$1090,"SWE",Rank_Changes!$S$2:$S$1090,"Better")</f>
        <v>16</v>
      </c>
      <c r="D8" s="12" t="n">
        <f aca="false">COUNTIFS(Rank_Changes!$E$2:$E$1090,"SWE",Rank_Changes!$S$2:$S$1090,"Worse")</f>
        <v>7</v>
      </c>
      <c r="E8" s="12" t="n">
        <f aca="false">COUNTIFS(Rank_Changes!$E$2:$E$1090,"SWE",Rank_Changes!$S$2:$S$1090,"No change")</f>
        <v>7</v>
      </c>
      <c r="F8" s="12" t="n">
        <f aca="false">C8-D8</f>
        <v>9</v>
      </c>
      <c r="G8" s="13" t="n">
        <f aca="false">IF(B8=0,"",C8/B8)</f>
        <v>0.533333333333333</v>
      </c>
      <c r="H8" s="14" t="n">
        <f aca="false">IFERROR(AVERAGEIFS(Rank_Changes!$R$2:$R$1090,Rank_Changes!$E$2:$E$1090,"SWE",Rank_Changes!$Q$2:$Q$1090,"&lt;&gt;0",Rank_Changes!$L$2:$L$1090,1),"")</f>
        <v>0.9</v>
      </c>
    </row>
    <row r="9" customFormat="false" ht="15" hidden="false" customHeight="false" outlineLevel="0" collapsed="false">
      <c r="A9" s="17" t="s">
        <v>31</v>
      </c>
      <c r="B9" s="12" t="n">
        <f aca="false">COUNTIFS(Rank_Changes!$E$2:$E$1090,"FRA",Rank_Changes!$S$2:$S$1090,"Better")+COUNTIFS(Rank_Changes!$E$2:$E$1090,"FRA",Rank_Changes!$S$2:$S$1090,"Worse")+COUNTIFS(Rank_Changes!$E$2:$E$1090,"FRA",Rank_Changes!$S$2:$S$1090,"No change")</f>
        <v>29</v>
      </c>
      <c r="C9" s="12" t="n">
        <f aca="false">COUNTIFS(Rank_Changes!$E$2:$E$1090,"FRA",Rank_Changes!$S$2:$S$1090,"Better")</f>
        <v>9</v>
      </c>
      <c r="D9" s="12" t="n">
        <f aca="false">COUNTIFS(Rank_Changes!$E$2:$E$1090,"FRA",Rank_Changes!$S$2:$S$1090,"Worse")</f>
        <v>11</v>
      </c>
      <c r="E9" s="12" t="n">
        <f aca="false">COUNTIFS(Rank_Changes!$E$2:$E$1090,"FRA",Rank_Changes!$S$2:$S$1090,"No change")</f>
        <v>9</v>
      </c>
      <c r="F9" s="12" t="n">
        <f aca="false">C9-D9</f>
        <v>-2</v>
      </c>
      <c r="G9" s="13" t="n">
        <f aca="false">IF(B9=0,"",C9/B9)</f>
        <v>0.310344827586207</v>
      </c>
      <c r="H9" s="14" t="n">
        <f aca="false">IFERROR(AVERAGEIFS(Rank_Changes!$R$2:$R$1090,Rank_Changes!$E$2:$E$1090,"FRA",Rank_Changes!$Q$2:$Q$1090,"&lt;&gt;0",Rank_Changes!$L$2:$L$1090,1),"")</f>
        <v>-0.206896551724138</v>
      </c>
    </row>
    <row r="10" customFormat="false" ht="15" hidden="false" customHeight="false" outlineLevel="0" collapsed="false">
      <c r="A10" s="18" t="s">
        <v>32</v>
      </c>
      <c r="B10" s="12" t="n">
        <f aca="false">COUNTIFS(Rank_Changes!$E$2:$E$1090,"NLD",Rank_Changes!$S$2:$S$1090,"Better")+COUNTIFS(Rank_Changes!$E$2:$E$1090,"NLD",Rank_Changes!$S$2:$S$1090,"Worse")+COUNTIFS(Rank_Changes!$E$2:$E$1090,"NLD",Rank_Changes!$S$2:$S$1090,"No change")</f>
        <v>28</v>
      </c>
      <c r="C10" s="12" t="n">
        <f aca="false">COUNTIFS(Rank_Changes!$E$2:$E$1090,"NLD",Rank_Changes!$S$2:$S$1090,"Better")</f>
        <v>11</v>
      </c>
      <c r="D10" s="12" t="n">
        <f aca="false">COUNTIFS(Rank_Changes!$E$2:$E$1090,"NLD",Rank_Changes!$S$2:$S$1090,"Worse")</f>
        <v>12</v>
      </c>
      <c r="E10" s="12" t="n">
        <f aca="false">COUNTIFS(Rank_Changes!$E$2:$E$1090,"NLD",Rank_Changes!$S$2:$S$1090,"No change")</f>
        <v>5</v>
      </c>
      <c r="F10" s="12" t="n">
        <f aca="false">C10-D10</f>
        <v>-1</v>
      </c>
      <c r="G10" s="13" t="n">
        <f aca="false">IF(B10=0,"",C10/B10)</f>
        <v>0.392857142857143</v>
      </c>
      <c r="H10" s="14" t="n">
        <f aca="false">IFERROR(AVERAGEIFS(Rank_Changes!$R$2:$R$1090,Rank_Changes!$E$2:$E$1090,"NLD",Rank_Changes!$Q$2:$Q$1090,"&lt;&gt;0",Rank_Changes!$L$2:$L$1090,1),"")</f>
        <v>-0.357142857142857</v>
      </c>
    </row>
    <row r="11" customFormat="false" ht="15" hidden="false" customHeight="false" outlineLevel="0" collapsed="false">
      <c r="A11" s="19" t="s">
        <v>33</v>
      </c>
      <c r="B11" s="12" t="n">
        <f aca="false">COUNTIFS(Rank_Changes!$E$2:$E$1090,"CHE",Rank_Changes!$S$2:$S$1090,"Better")+COUNTIFS(Rank_Changes!$E$2:$E$1090,"CHE",Rank_Changes!$S$2:$S$1090,"Worse")+COUNTIFS(Rank_Changes!$E$2:$E$1090,"CHE",Rank_Changes!$S$2:$S$1090,"No change")</f>
        <v>27</v>
      </c>
      <c r="C11" s="12" t="n">
        <f aca="false">COUNTIFS(Rank_Changes!$E$2:$E$1090,"CHE",Rank_Changes!$S$2:$S$1090,"Better")</f>
        <v>11</v>
      </c>
      <c r="D11" s="12" t="n">
        <f aca="false">COUNTIFS(Rank_Changes!$E$2:$E$1090,"CHE",Rank_Changes!$S$2:$S$1090,"Worse")</f>
        <v>7</v>
      </c>
      <c r="E11" s="12" t="n">
        <f aca="false">COUNTIFS(Rank_Changes!$E$2:$E$1090,"CHE",Rank_Changes!$S$2:$S$1090,"No change")</f>
        <v>9</v>
      </c>
      <c r="F11" s="12" t="n">
        <f aca="false">C11-D11</f>
        <v>4</v>
      </c>
      <c r="G11" s="13" t="n">
        <f aca="false">IF(B11=0,"",C11/B11)</f>
        <v>0.407407407407407</v>
      </c>
      <c r="H11" s="14" t="n">
        <f aca="false">IFERROR(AVERAGEIFS(Rank_Changes!$R$2:$R$1090,Rank_Changes!$E$2:$E$1090,"CHE",Rank_Changes!$Q$2:$Q$1090,"&lt;&gt;0",Rank_Changes!$L$2:$L$1090,1),"")</f>
        <v>0.148148148148148</v>
      </c>
    </row>
    <row r="12" customFormat="false" ht="15" hidden="false" customHeight="false" outlineLevel="0" collapsed="false">
      <c r="A12" s="20" t="s">
        <v>34</v>
      </c>
      <c r="B12" s="12" t="n">
        <f aca="false">COUNTIFS(Rank_Changes!$E$2:$E$1090,"DNK",Rank_Changes!$S$2:$S$1090,"Better")+COUNTIFS(Rank_Changes!$E$2:$E$1090,"DNK",Rank_Changes!$S$2:$S$1090,"Worse")+COUNTIFS(Rank_Changes!$E$2:$E$1090,"DNK",Rank_Changes!$S$2:$S$1090,"No change")</f>
        <v>22</v>
      </c>
      <c r="C12" s="12" t="n">
        <f aca="false">COUNTIFS(Rank_Changes!$E$2:$E$1090,"DNK",Rank_Changes!$S$2:$S$1090,"Better")</f>
        <v>9</v>
      </c>
      <c r="D12" s="12" t="n">
        <f aca="false">COUNTIFS(Rank_Changes!$E$2:$E$1090,"DNK",Rank_Changes!$S$2:$S$1090,"Worse")</f>
        <v>7</v>
      </c>
      <c r="E12" s="12" t="n">
        <f aca="false">COUNTIFS(Rank_Changes!$E$2:$E$1090,"DNK",Rank_Changes!$S$2:$S$1090,"No change")</f>
        <v>6</v>
      </c>
      <c r="F12" s="12" t="n">
        <f aca="false">C12-D12</f>
        <v>2</v>
      </c>
      <c r="G12" s="13" t="n">
        <f aca="false">IF(B12=0,"",C12/B12)</f>
        <v>0.409090909090909</v>
      </c>
      <c r="H12" s="14" t="n">
        <f aca="false">IFERROR(AVERAGEIFS(Rank_Changes!$R$2:$R$1090,Rank_Changes!$E$2:$E$1090,"DNK",Rank_Changes!$Q$2:$Q$1090,"&lt;&gt;0",Rank_Changes!$L$2:$L$1090,1),"")</f>
        <v>0.772727272727273</v>
      </c>
    </row>
    <row r="13" customFormat="false" ht="15" hidden="false" customHeight="false" outlineLevel="0" collapsed="false">
      <c r="A13" s="21" t="s">
        <v>35</v>
      </c>
      <c r="B13" s="12" t="n">
        <f aca="false">COUNTIFS(Rank_Changes!$E$2:$E$1090,"CAN",Rank_Changes!$S$2:$S$1090,"Better")+COUNTIFS(Rank_Changes!$E$2:$E$1090,"CAN",Rank_Changes!$S$2:$S$1090,"Worse")+COUNTIFS(Rank_Changes!$E$2:$E$1090,"CAN",Rank_Changes!$S$2:$S$1090,"No change")</f>
        <v>31</v>
      </c>
      <c r="C13" s="12" t="n">
        <f aca="false">COUNTIFS(Rank_Changes!$E$2:$E$1090,"CAN",Rank_Changes!$S$2:$S$1090,"Better")</f>
        <v>7</v>
      </c>
      <c r="D13" s="12" t="n">
        <f aca="false">COUNTIFS(Rank_Changes!$E$2:$E$1090,"CAN",Rank_Changes!$S$2:$S$1090,"Worse")</f>
        <v>10</v>
      </c>
      <c r="E13" s="12" t="n">
        <f aca="false">COUNTIFS(Rank_Changes!$E$2:$E$1090,"CAN",Rank_Changes!$S$2:$S$1090,"No change")</f>
        <v>14</v>
      </c>
      <c r="F13" s="12" t="n">
        <f aca="false">C13-D13</f>
        <v>-3</v>
      </c>
      <c r="G13" s="13" t="n">
        <f aca="false">IF(B13=0,"",C13/B13)</f>
        <v>0.225806451612903</v>
      </c>
      <c r="H13" s="14" t="n">
        <f aca="false">IFERROR(AVERAGEIFS(Rank_Changes!$R$2:$R$1090,Rank_Changes!$E$2:$E$1090,"CAN",Rank_Changes!$Q$2:$Q$1090,"&lt;&gt;0",Rank_Changes!$L$2:$L$1090,1),"")</f>
        <v>-0.258064516129032</v>
      </c>
    </row>
    <row r="14" customFormat="false" ht="15" hidden="false" customHeight="false" outlineLevel="0" collapsed="false">
      <c r="A14" s="22" t="s">
        <v>36</v>
      </c>
      <c r="B14" s="12" t="n">
        <f aca="false">COUNTIFS(Rank_Changes!$E$2:$E$1090,"JPN",Rank_Changes!$S$2:$S$1090,"Better")+COUNTIFS(Rank_Changes!$E$2:$E$1090,"JPN",Rank_Changes!$S$2:$S$1090,"Worse")+COUNTIFS(Rank_Changes!$E$2:$E$1090,"JPN",Rank_Changes!$S$2:$S$1090,"No change")</f>
        <v>17</v>
      </c>
      <c r="C14" s="12" t="n">
        <f aca="false">COUNTIFS(Rank_Changes!$E$2:$E$1090,"JPN",Rank_Changes!$S$2:$S$1090,"Better")</f>
        <v>4</v>
      </c>
      <c r="D14" s="12" t="n">
        <f aca="false">COUNTIFS(Rank_Changes!$E$2:$E$1090,"JPN",Rank_Changes!$S$2:$S$1090,"Worse")</f>
        <v>3</v>
      </c>
      <c r="E14" s="12" t="n">
        <f aca="false">COUNTIFS(Rank_Changes!$E$2:$E$1090,"JPN",Rank_Changes!$S$2:$S$1090,"No change")</f>
        <v>10</v>
      </c>
      <c r="F14" s="12" t="n">
        <f aca="false">C14-D14</f>
        <v>1</v>
      </c>
      <c r="G14" s="13" t="n">
        <f aca="false">IF(B14=0,"",C14/B14)</f>
        <v>0.235294117647059</v>
      </c>
      <c r="H14" s="14" t="n">
        <f aca="false">IFERROR(AVERAGEIFS(Rank_Changes!$R$2:$R$1090,Rank_Changes!$E$2:$E$1090,"JPN",Rank_Changes!$Q$2:$Q$1090,"&lt;&gt;0",Rank_Changes!$L$2:$L$1090,1),"")</f>
        <v>0.0588235294117647</v>
      </c>
    </row>
    <row r="15" customFormat="false" ht="15" hidden="false" customHeight="false" outlineLevel="0" collapsed="false">
      <c r="A15" s="23" t="s">
        <v>37</v>
      </c>
      <c r="B15" s="12" t="n">
        <f aca="false">COUNTIFS(Rank_Changes!$E$2:$E$1090,"AUS",Rank_Changes!$S$2:$S$1090,"Better")+COUNTIFS(Rank_Changes!$E$2:$E$1090,"AUS",Rank_Changes!$S$2:$S$1090,"Worse")+COUNTIFS(Rank_Changes!$E$2:$E$1090,"AUS",Rank_Changes!$S$2:$S$1090,"No change")</f>
        <v>30</v>
      </c>
      <c r="C15" s="12" t="n">
        <f aca="false">COUNTIFS(Rank_Changes!$E$2:$E$1090,"AUS",Rank_Changes!$S$2:$S$1090,"Better")</f>
        <v>7</v>
      </c>
      <c r="D15" s="12" t="n">
        <f aca="false">COUNTIFS(Rank_Changes!$E$2:$E$1090,"AUS",Rank_Changes!$S$2:$S$1090,"Worse")</f>
        <v>12</v>
      </c>
      <c r="E15" s="12" t="n">
        <f aca="false">COUNTIFS(Rank_Changes!$E$2:$E$1090,"AUS",Rank_Changes!$S$2:$S$1090,"No change")</f>
        <v>11</v>
      </c>
      <c r="F15" s="12" t="n">
        <f aca="false">C15-D15</f>
        <v>-5</v>
      </c>
      <c r="G15" s="13" t="n">
        <f aca="false">IF(B15=0,"",C15/B15)</f>
        <v>0.233333333333333</v>
      </c>
      <c r="H15" s="14" t="n">
        <f aca="false">IFERROR(AVERAGEIFS(Rank_Changes!$R$2:$R$1090,Rank_Changes!$E$2:$E$1090,"AUS",Rank_Changes!$Q$2:$Q$1090,"&lt;&gt;0",Rank_Changes!$L$2:$L$1090,1),"")</f>
        <v>-0.3</v>
      </c>
    </row>
    <row r="17" customFormat="false" ht="15" hidden="false" customHeight="false" outlineLevel="0" collapsed="false">
      <c r="A17" s="24" t="s">
        <v>38</v>
      </c>
    </row>
    <row r="18" customFormat="false" ht="30" hidden="false" customHeight="true" outlineLevel="0" collapsed="false">
      <c r="A18" s="6" t="s">
        <v>19</v>
      </c>
      <c r="B18" s="6" t="s">
        <v>39</v>
      </c>
      <c r="C18" s="6" t="s">
        <v>40</v>
      </c>
      <c r="D18" s="6" t="s">
        <v>41</v>
      </c>
      <c r="E18" s="6" t="s">
        <v>42</v>
      </c>
      <c r="F18" s="6" t="s">
        <v>43</v>
      </c>
    </row>
    <row r="19" customFormat="false" ht="15" hidden="false" customHeight="false" outlineLevel="0" collapsed="false">
      <c r="A19" s="7" t="s">
        <v>27</v>
      </c>
      <c r="B19" s="25" t="n">
        <f aca="false">COUNTIFS(Rank_Changes!$E$2:$E$1090,"USA",Rank_Changes!$A$2:$A$1090,4,Rank_Changes!$S$2:$S$1090,"Better")-COUNTIFS(Rank_Changes!$E$2:$E$1090,"USA",Rank_Changes!$A$2:$A$1090,4,Rank_Changes!$S$2:$S$1090,"Worse")</f>
        <v>0</v>
      </c>
      <c r="C19" s="25" t="n">
        <f aca="false">COUNTIFS(Rank_Changes!$E$2:$E$1090,"USA",Rank_Changes!$A$2:$A$1090,10,Rank_Changes!$S$2:$S$1090,"Better")-COUNTIFS(Rank_Changes!$E$2:$E$1090,"USA",Rank_Changes!$A$2:$A$1090,10,Rank_Changes!$S$2:$S$1090,"Worse")</f>
        <v>0</v>
      </c>
      <c r="D19" s="25" t="n">
        <f aca="false">COUNTIFS(Rank_Changes!$E$2:$E$1090,"USA",Rank_Changes!$A$2:$A$1090,11,Rank_Changes!$S$2:$S$1090,"Better")-COUNTIFS(Rank_Changes!$E$2:$E$1090,"USA",Rank_Changes!$A$2:$A$1090,11,Rank_Changes!$S$2:$S$1090,"Worse")</f>
        <v>2</v>
      </c>
      <c r="E19" s="25" t="n">
        <f aca="false">COUNTIFS(Rank_Changes!$E$2:$E$1090,"USA",Rank_Changes!$A$2:$A$1090,1,Rank_Changes!$S$2:$S$1090,"Better")-COUNTIFS(Rank_Changes!$E$2:$E$1090,"USA",Rank_Changes!$A$2:$A$1090,1,Rank_Changes!$S$2:$S$1090,"Worse")</f>
        <v>0</v>
      </c>
      <c r="F19" s="25" t="n">
        <f aca="false">COUNTIFS(Rank_Changes!$E$2:$E$1090,"USA",Rank_Changes!$A$2:$A$1090,9,Rank_Changes!$S$2:$S$1090,"Better")-COUNTIFS(Rank_Changes!$E$2:$E$1090,"USA",Rank_Changes!$A$2:$A$1090,9,Rank_Changes!$S$2:$S$1090,"Worse")</f>
        <v>0</v>
      </c>
    </row>
    <row r="20" customFormat="false" ht="15" hidden="false" customHeight="false" outlineLevel="0" collapsed="false">
      <c r="A20" s="11" t="s">
        <v>28</v>
      </c>
      <c r="B20" s="26" t="n">
        <f aca="false">COUNTIFS(Rank_Changes!$E$2:$E$1090,"GBR",Rank_Changes!$A$2:$A$1090,4,Rank_Changes!$S$2:$S$1090,"Better")-COUNTIFS(Rank_Changes!$E$2:$E$1090,"GBR",Rank_Changes!$A$2:$A$1090,4,Rank_Changes!$S$2:$S$1090,"Worse")</f>
        <v>-1</v>
      </c>
      <c r="C20" s="26" t="n">
        <f aca="false">COUNTIFS(Rank_Changes!$E$2:$E$1090,"GBR",Rank_Changes!$A$2:$A$1090,10,Rank_Changes!$S$2:$S$1090,"Better")-COUNTIFS(Rank_Changes!$E$2:$E$1090,"GBR",Rank_Changes!$A$2:$A$1090,10,Rank_Changes!$S$2:$S$1090,"Worse")</f>
        <v>-3</v>
      </c>
      <c r="D20" s="26" t="n">
        <f aca="false">COUNTIFS(Rank_Changes!$E$2:$E$1090,"GBR",Rank_Changes!$A$2:$A$1090,11,Rank_Changes!$S$2:$S$1090,"Better")-COUNTIFS(Rank_Changes!$E$2:$E$1090,"GBR",Rank_Changes!$A$2:$A$1090,11,Rank_Changes!$S$2:$S$1090,"Worse")</f>
        <v>-3</v>
      </c>
      <c r="E20" s="26" t="n">
        <f aca="false">COUNTIFS(Rank_Changes!$E$2:$E$1090,"GBR",Rank_Changes!$A$2:$A$1090,1,Rank_Changes!$S$2:$S$1090,"Better")-COUNTIFS(Rank_Changes!$E$2:$E$1090,"GBR",Rank_Changes!$A$2:$A$1090,1,Rank_Changes!$S$2:$S$1090,"Worse")</f>
        <v>0</v>
      </c>
      <c r="F20" s="26" t="n">
        <f aca="false">COUNTIFS(Rank_Changes!$E$2:$E$1090,"GBR",Rank_Changes!$A$2:$A$1090,9,Rank_Changes!$S$2:$S$1090,"Better")-COUNTIFS(Rank_Changes!$E$2:$E$1090,"GBR",Rank_Changes!$A$2:$A$1090,9,Rank_Changes!$S$2:$S$1090,"Worse")</f>
        <v>-1</v>
      </c>
    </row>
    <row r="21" customFormat="false" ht="15" hidden="false" customHeight="false" outlineLevel="0" collapsed="false">
      <c r="A21" s="15" t="s">
        <v>29</v>
      </c>
      <c r="B21" s="26" t="n">
        <f aca="false">COUNTIFS(Rank_Changes!$E$2:$E$1090,"DEU",Rank_Changes!$A$2:$A$1090,4,Rank_Changes!$S$2:$S$1090,"Better")-COUNTIFS(Rank_Changes!$E$2:$E$1090,"DEU",Rank_Changes!$A$2:$A$1090,4,Rank_Changes!$S$2:$S$1090,"Worse")</f>
        <v>-1</v>
      </c>
      <c r="C21" s="26" t="n">
        <f aca="false">COUNTIFS(Rank_Changes!$E$2:$E$1090,"DEU",Rank_Changes!$A$2:$A$1090,10,Rank_Changes!$S$2:$S$1090,"Better")-COUNTIFS(Rank_Changes!$E$2:$E$1090,"DEU",Rank_Changes!$A$2:$A$1090,10,Rank_Changes!$S$2:$S$1090,"Worse")</f>
        <v>-2</v>
      </c>
      <c r="D21" s="26" t="n">
        <f aca="false">COUNTIFS(Rank_Changes!$E$2:$E$1090,"DEU",Rank_Changes!$A$2:$A$1090,11,Rank_Changes!$S$2:$S$1090,"Better")-COUNTIFS(Rank_Changes!$E$2:$E$1090,"DEU",Rank_Changes!$A$2:$A$1090,11,Rank_Changes!$S$2:$S$1090,"Worse")</f>
        <v>-1</v>
      </c>
      <c r="E21" s="26" t="n">
        <f aca="false">COUNTIFS(Rank_Changes!$E$2:$E$1090,"DEU",Rank_Changes!$A$2:$A$1090,1,Rank_Changes!$S$2:$S$1090,"Better")-COUNTIFS(Rank_Changes!$E$2:$E$1090,"DEU",Rank_Changes!$A$2:$A$1090,1,Rank_Changes!$S$2:$S$1090,"Worse")</f>
        <v>0</v>
      </c>
      <c r="F21" s="26" t="n">
        <f aca="false">COUNTIFS(Rank_Changes!$E$2:$E$1090,"DEU",Rank_Changes!$A$2:$A$1090,9,Rank_Changes!$S$2:$S$1090,"Better")-COUNTIFS(Rank_Changes!$E$2:$E$1090,"DEU",Rank_Changes!$A$2:$A$1090,9,Rank_Changes!$S$2:$S$1090,"Worse")</f>
        <v>-1</v>
      </c>
    </row>
    <row r="22" customFormat="false" ht="15" hidden="false" customHeight="false" outlineLevel="0" collapsed="false">
      <c r="A22" s="16" t="s">
        <v>30</v>
      </c>
      <c r="B22" s="26" t="n">
        <f aca="false">COUNTIFS(Rank_Changes!$E$2:$E$1090,"SWE",Rank_Changes!$A$2:$A$1090,4,Rank_Changes!$S$2:$S$1090,"Better")-COUNTIFS(Rank_Changes!$E$2:$E$1090,"SWE",Rank_Changes!$A$2:$A$1090,4,Rank_Changes!$S$2:$S$1090,"Worse")</f>
        <v>1</v>
      </c>
      <c r="C22" s="26" t="n">
        <f aca="false">COUNTIFS(Rank_Changes!$E$2:$E$1090,"SWE",Rank_Changes!$A$2:$A$1090,10,Rank_Changes!$S$2:$S$1090,"Better")-COUNTIFS(Rank_Changes!$E$2:$E$1090,"SWE",Rank_Changes!$A$2:$A$1090,10,Rank_Changes!$S$2:$S$1090,"Worse")</f>
        <v>7</v>
      </c>
      <c r="D22" s="26" t="n">
        <f aca="false">COUNTIFS(Rank_Changes!$E$2:$E$1090,"SWE",Rank_Changes!$A$2:$A$1090,11,Rank_Changes!$S$2:$S$1090,"Better")-COUNTIFS(Rank_Changes!$E$2:$E$1090,"SWE",Rank_Changes!$A$2:$A$1090,11,Rank_Changes!$S$2:$S$1090,"Worse")</f>
        <v>0</v>
      </c>
      <c r="E22" s="26" t="n">
        <f aca="false">COUNTIFS(Rank_Changes!$E$2:$E$1090,"SWE",Rank_Changes!$A$2:$A$1090,1,Rank_Changes!$S$2:$S$1090,"Better")-COUNTIFS(Rank_Changes!$E$2:$E$1090,"SWE",Rank_Changes!$A$2:$A$1090,1,Rank_Changes!$S$2:$S$1090,"Worse")</f>
        <v>1</v>
      </c>
      <c r="F22" s="26" t="n">
        <f aca="false">COUNTIFS(Rank_Changes!$E$2:$E$1090,"SWE",Rank_Changes!$A$2:$A$1090,9,Rank_Changes!$S$2:$S$1090,"Better")-COUNTIFS(Rank_Changes!$E$2:$E$1090,"SWE",Rank_Changes!$A$2:$A$1090,9,Rank_Changes!$S$2:$S$1090,"Worse")</f>
        <v>0</v>
      </c>
    </row>
    <row r="23" customFormat="false" ht="15" hidden="false" customHeight="false" outlineLevel="0" collapsed="false">
      <c r="A23" s="17" t="s">
        <v>31</v>
      </c>
      <c r="B23" s="26" t="n">
        <f aca="false">COUNTIFS(Rank_Changes!$E$2:$E$1090,"FRA",Rank_Changes!$A$2:$A$1090,4,Rank_Changes!$S$2:$S$1090,"Better")-COUNTIFS(Rank_Changes!$E$2:$E$1090,"FRA",Rank_Changes!$A$2:$A$1090,4,Rank_Changes!$S$2:$S$1090,"Worse")</f>
        <v>-1</v>
      </c>
      <c r="C23" s="26" t="n">
        <f aca="false">COUNTIFS(Rank_Changes!$E$2:$E$1090,"FRA",Rank_Changes!$A$2:$A$1090,10,Rank_Changes!$S$2:$S$1090,"Better")-COUNTIFS(Rank_Changes!$E$2:$E$1090,"FRA",Rank_Changes!$A$2:$A$1090,10,Rank_Changes!$S$2:$S$1090,"Worse")</f>
        <v>-6</v>
      </c>
      <c r="D23" s="26" t="n">
        <f aca="false">COUNTIFS(Rank_Changes!$E$2:$E$1090,"FRA",Rank_Changes!$A$2:$A$1090,11,Rank_Changes!$S$2:$S$1090,"Better")-COUNTIFS(Rank_Changes!$E$2:$E$1090,"FRA",Rank_Changes!$A$2:$A$1090,11,Rank_Changes!$S$2:$S$1090,"Worse")</f>
        <v>5</v>
      </c>
      <c r="E23" s="26" t="n">
        <f aca="false">COUNTIFS(Rank_Changes!$E$2:$E$1090,"FRA",Rank_Changes!$A$2:$A$1090,1,Rank_Changes!$S$2:$S$1090,"Better")-COUNTIFS(Rank_Changes!$E$2:$E$1090,"FRA",Rank_Changes!$A$2:$A$1090,1,Rank_Changes!$S$2:$S$1090,"Worse")</f>
        <v>0</v>
      </c>
      <c r="F23" s="26" t="n">
        <f aca="false">COUNTIFS(Rank_Changes!$E$2:$E$1090,"FRA",Rank_Changes!$A$2:$A$1090,9,Rank_Changes!$S$2:$S$1090,"Better")-COUNTIFS(Rank_Changes!$E$2:$E$1090,"FRA",Rank_Changes!$A$2:$A$1090,9,Rank_Changes!$S$2:$S$1090,"Worse")</f>
        <v>0</v>
      </c>
    </row>
    <row r="24" customFormat="false" ht="15" hidden="false" customHeight="false" outlineLevel="0" collapsed="false">
      <c r="A24" s="18" t="s">
        <v>32</v>
      </c>
      <c r="B24" s="26" t="n">
        <f aca="false">COUNTIFS(Rank_Changes!$E$2:$E$1090,"NLD",Rank_Changes!$A$2:$A$1090,4,Rank_Changes!$S$2:$S$1090,"Better")-COUNTIFS(Rank_Changes!$E$2:$E$1090,"NLD",Rank_Changes!$A$2:$A$1090,4,Rank_Changes!$S$2:$S$1090,"Worse")</f>
        <v>-3</v>
      </c>
      <c r="C24" s="26" t="n">
        <f aca="false">COUNTIFS(Rank_Changes!$E$2:$E$1090,"NLD",Rank_Changes!$A$2:$A$1090,10,Rank_Changes!$S$2:$S$1090,"Better")-COUNTIFS(Rank_Changes!$E$2:$E$1090,"NLD",Rank_Changes!$A$2:$A$1090,10,Rank_Changes!$S$2:$S$1090,"Worse")</f>
        <v>1</v>
      </c>
      <c r="D24" s="26" t="n">
        <f aca="false">COUNTIFS(Rank_Changes!$E$2:$E$1090,"NLD",Rank_Changes!$A$2:$A$1090,11,Rank_Changes!$S$2:$S$1090,"Better")-COUNTIFS(Rank_Changes!$E$2:$E$1090,"NLD",Rank_Changes!$A$2:$A$1090,11,Rank_Changes!$S$2:$S$1090,"Worse")</f>
        <v>1</v>
      </c>
      <c r="E24" s="26" t="n">
        <f aca="false">COUNTIFS(Rank_Changes!$E$2:$E$1090,"NLD",Rank_Changes!$A$2:$A$1090,1,Rank_Changes!$S$2:$S$1090,"Better")-COUNTIFS(Rank_Changes!$E$2:$E$1090,"NLD",Rank_Changes!$A$2:$A$1090,1,Rank_Changes!$S$2:$S$1090,"Worse")</f>
        <v>0</v>
      </c>
      <c r="F24" s="26" t="n">
        <f aca="false">COUNTIFS(Rank_Changes!$E$2:$E$1090,"NLD",Rank_Changes!$A$2:$A$1090,9,Rank_Changes!$S$2:$S$1090,"Better")-COUNTIFS(Rank_Changes!$E$2:$E$1090,"NLD",Rank_Changes!$A$2:$A$1090,9,Rank_Changes!$S$2:$S$1090,"Worse")</f>
        <v>0</v>
      </c>
    </row>
    <row r="25" customFormat="false" ht="15" hidden="false" customHeight="false" outlineLevel="0" collapsed="false">
      <c r="A25" s="19" t="s">
        <v>33</v>
      </c>
      <c r="B25" s="26" t="n">
        <f aca="false">COUNTIFS(Rank_Changes!$E$2:$E$1090,"CHE",Rank_Changes!$A$2:$A$1090,4,Rank_Changes!$S$2:$S$1090,"Better")-COUNTIFS(Rank_Changes!$E$2:$E$1090,"CHE",Rank_Changes!$A$2:$A$1090,4,Rank_Changes!$S$2:$S$1090,"Worse")</f>
        <v>3</v>
      </c>
      <c r="C25" s="26" t="n">
        <f aca="false">COUNTIFS(Rank_Changes!$E$2:$E$1090,"CHE",Rank_Changes!$A$2:$A$1090,10,Rank_Changes!$S$2:$S$1090,"Better")-COUNTIFS(Rank_Changes!$E$2:$E$1090,"CHE",Rank_Changes!$A$2:$A$1090,10,Rank_Changes!$S$2:$S$1090,"Worse")</f>
        <v>-1</v>
      </c>
      <c r="D25" s="26" t="n">
        <f aca="false">COUNTIFS(Rank_Changes!$E$2:$E$1090,"CHE",Rank_Changes!$A$2:$A$1090,11,Rank_Changes!$S$2:$S$1090,"Better")-COUNTIFS(Rank_Changes!$E$2:$E$1090,"CHE",Rank_Changes!$A$2:$A$1090,11,Rank_Changes!$S$2:$S$1090,"Worse")</f>
        <v>1</v>
      </c>
      <c r="E25" s="26" t="n">
        <f aca="false">COUNTIFS(Rank_Changes!$E$2:$E$1090,"CHE",Rank_Changes!$A$2:$A$1090,1,Rank_Changes!$S$2:$S$1090,"Better")-COUNTIFS(Rank_Changes!$E$2:$E$1090,"CHE",Rank_Changes!$A$2:$A$1090,1,Rank_Changes!$S$2:$S$1090,"Worse")</f>
        <v>1</v>
      </c>
      <c r="F25" s="26" t="n">
        <f aca="false">COUNTIFS(Rank_Changes!$E$2:$E$1090,"CHE",Rank_Changes!$A$2:$A$1090,9,Rank_Changes!$S$2:$S$1090,"Better")-COUNTIFS(Rank_Changes!$E$2:$E$1090,"CHE",Rank_Changes!$A$2:$A$1090,9,Rank_Changes!$S$2:$S$1090,"Worse")</f>
        <v>0</v>
      </c>
    </row>
    <row r="26" customFormat="false" ht="15" hidden="false" customHeight="false" outlineLevel="0" collapsed="false">
      <c r="A26" s="20" t="s">
        <v>34</v>
      </c>
      <c r="B26" s="26" t="n">
        <f aca="false">COUNTIFS(Rank_Changes!$E$2:$E$1090,"DNK",Rank_Changes!$A$2:$A$1090,4,Rank_Changes!$S$2:$S$1090,"Better")-COUNTIFS(Rank_Changes!$E$2:$E$1090,"DNK",Rank_Changes!$A$2:$A$1090,4,Rank_Changes!$S$2:$S$1090,"Worse")</f>
        <v>4</v>
      </c>
      <c r="C26" s="26" t="n">
        <f aca="false">COUNTIFS(Rank_Changes!$E$2:$E$1090,"DNK",Rank_Changes!$A$2:$A$1090,10,Rank_Changes!$S$2:$S$1090,"Better")-COUNTIFS(Rank_Changes!$E$2:$E$1090,"DNK",Rank_Changes!$A$2:$A$1090,10,Rank_Changes!$S$2:$S$1090,"Worse")</f>
        <v>1</v>
      </c>
      <c r="D26" s="26" t="n">
        <f aca="false">COUNTIFS(Rank_Changes!$E$2:$E$1090,"DNK",Rank_Changes!$A$2:$A$1090,11,Rank_Changes!$S$2:$S$1090,"Better")-COUNTIFS(Rank_Changes!$E$2:$E$1090,"DNK",Rank_Changes!$A$2:$A$1090,11,Rank_Changes!$S$2:$S$1090,"Worse")</f>
        <v>-2</v>
      </c>
      <c r="E26" s="26" t="n">
        <f aca="false">COUNTIFS(Rank_Changes!$E$2:$E$1090,"DNK",Rank_Changes!$A$2:$A$1090,1,Rank_Changes!$S$2:$S$1090,"Better")-COUNTIFS(Rank_Changes!$E$2:$E$1090,"DNK",Rank_Changes!$A$2:$A$1090,1,Rank_Changes!$S$2:$S$1090,"Worse")</f>
        <v>0</v>
      </c>
      <c r="F26" s="26" t="n">
        <f aca="false">COUNTIFS(Rank_Changes!$E$2:$E$1090,"DNK",Rank_Changes!$A$2:$A$1090,9,Rank_Changes!$S$2:$S$1090,"Better")-COUNTIFS(Rank_Changes!$E$2:$E$1090,"DNK",Rank_Changes!$A$2:$A$1090,9,Rank_Changes!$S$2:$S$1090,"Worse")</f>
        <v>-1</v>
      </c>
    </row>
    <row r="27" customFormat="false" ht="15" hidden="false" customHeight="false" outlineLevel="0" collapsed="false">
      <c r="A27" s="21" t="s">
        <v>35</v>
      </c>
      <c r="B27" s="26" t="n">
        <f aca="false">COUNTIFS(Rank_Changes!$E$2:$E$1090,"CAN",Rank_Changes!$A$2:$A$1090,4,Rank_Changes!$S$2:$S$1090,"Better")-COUNTIFS(Rank_Changes!$E$2:$E$1090,"CAN",Rank_Changes!$A$2:$A$1090,4,Rank_Changes!$S$2:$S$1090,"Worse")</f>
        <v>-4</v>
      </c>
      <c r="C27" s="26" t="n">
        <f aca="false">COUNTIFS(Rank_Changes!$E$2:$E$1090,"CAN",Rank_Changes!$A$2:$A$1090,10,Rank_Changes!$S$2:$S$1090,"Better")-COUNTIFS(Rank_Changes!$E$2:$E$1090,"CAN",Rank_Changes!$A$2:$A$1090,10,Rank_Changes!$S$2:$S$1090,"Worse")</f>
        <v>0</v>
      </c>
      <c r="D27" s="26" t="n">
        <f aca="false">COUNTIFS(Rank_Changes!$E$2:$E$1090,"CAN",Rank_Changes!$A$2:$A$1090,11,Rank_Changes!$S$2:$S$1090,"Better")-COUNTIFS(Rank_Changes!$E$2:$E$1090,"CAN",Rank_Changes!$A$2:$A$1090,11,Rank_Changes!$S$2:$S$1090,"Worse")</f>
        <v>-1</v>
      </c>
      <c r="E27" s="26" t="n">
        <f aca="false">COUNTIFS(Rank_Changes!$E$2:$E$1090,"CAN",Rank_Changes!$A$2:$A$1090,1,Rank_Changes!$S$2:$S$1090,"Better")-COUNTIFS(Rank_Changes!$E$2:$E$1090,"CAN",Rank_Changes!$A$2:$A$1090,1,Rank_Changes!$S$2:$S$1090,"Worse")</f>
        <v>1</v>
      </c>
      <c r="F27" s="26" t="n">
        <f aca="false">COUNTIFS(Rank_Changes!$E$2:$E$1090,"CAN",Rank_Changes!$A$2:$A$1090,9,Rank_Changes!$S$2:$S$1090,"Better")-COUNTIFS(Rank_Changes!$E$2:$E$1090,"CAN",Rank_Changes!$A$2:$A$1090,9,Rank_Changes!$S$2:$S$1090,"Worse")</f>
        <v>1</v>
      </c>
    </row>
    <row r="28" customFormat="false" ht="15" hidden="false" customHeight="false" outlineLevel="0" collapsed="false">
      <c r="A28" s="22" t="s">
        <v>36</v>
      </c>
      <c r="B28" s="26" t="n">
        <f aca="false">COUNTIFS(Rank_Changes!$E$2:$E$1090,"JPN",Rank_Changes!$A$2:$A$1090,4,Rank_Changes!$S$2:$S$1090,"Better")-COUNTIFS(Rank_Changes!$E$2:$E$1090,"JPN",Rank_Changes!$A$2:$A$1090,4,Rank_Changes!$S$2:$S$1090,"Worse")</f>
        <v>-1</v>
      </c>
      <c r="C28" s="26" t="n">
        <f aca="false">COUNTIFS(Rank_Changes!$E$2:$E$1090,"JPN",Rank_Changes!$A$2:$A$1090,10,Rank_Changes!$S$2:$S$1090,"Better")-COUNTIFS(Rank_Changes!$E$2:$E$1090,"JPN",Rank_Changes!$A$2:$A$1090,10,Rank_Changes!$S$2:$S$1090,"Worse")</f>
        <v>0</v>
      </c>
      <c r="D28" s="26" t="n">
        <f aca="false">COUNTIFS(Rank_Changes!$E$2:$E$1090,"JPN",Rank_Changes!$A$2:$A$1090,11,Rank_Changes!$S$2:$S$1090,"Better")-COUNTIFS(Rank_Changes!$E$2:$E$1090,"JPN",Rank_Changes!$A$2:$A$1090,11,Rank_Changes!$S$2:$S$1090,"Worse")</f>
        <v>2</v>
      </c>
      <c r="E28" s="26" t="n">
        <f aca="false">COUNTIFS(Rank_Changes!$E$2:$E$1090,"JPN",Rank_Changes!$A$2:$A$1090,1,Rank_Changes!$S$2:$S$1090,"Better")-COUNTIFS(Rank_Changes!$E$2:$E$1090,"JPN",Rank_Changes!$A$2:$A$1090,1,Rank_Changes!$S$2:$S$1090,"Worse")</f>
        <v>0</v>
      </c>
      <c r="F28" s="26" t="n">
        <f aca="false">COUNTIFS(Rank_Changes!$E$2:$E$1090,"JPN",Rank_Changes!$A$2:$A$1090,9,Rank_Changes!$S$2:$S$1090,"Better")-COUNTIFS(Rank_Changes!$E$2:$E$1090,"JPN",Rank_Changes!$A$2:$A$1090,9,Rank_Changes!$S$2:$S$1090,"Worse")</f>
        <v>0</v>
      </c>
    </row>
    <row r="29" customFormat="false" ht="15" hidden="false" customHeight="false" outlineLevel="0" collapsed="false">
      <c r="A29" s="23" t="s">
        <v>37</v>
      </c>
      <c r="B29" s="26" t="n">
        <f aca="false">COUNTIFS(Rank_Changes!$E$2:$E$1090,"AUS",Rank_Changes!$A$2:$A$1090,4,Rank_Changes!$S$2:$S$1090,"Better")-COUNTIFS(Rank_Changes!$E$2:$E$1090,"AUS",Rank_Changes!$A$2:$A$1090,4,Rank_Changes!$S$2:$S$1090,"Worse")</f>
        <v>-4</v>
      </c>
      <c r="C29" s="26" t="n">
        <f aca="false">COUNTIFS(Rank_Changes!$E$2:$E$1090,"AUS",Rank_Changes!$A$2:$A$1090,10,Rank_Changes!$S$2:$S$1090,"Better")-COUNTIFS(Rank_Changes!$E$2:$E$1090,"AUS",Rank_Changes!$A$2:$A$1090,10,Rank_Changes!$S$2:$S$1090,"Worse")</f>
        <v>3</v>
      </c>
      <c r="D29" s="26" t="n">
        <f aca="false">COUNTIFS(Rank_Changes!$E$2:$E$1090,"AUS",Rank_Changes!$A$2:$A$1090,11,Rank_Changes!$S$2:$S$1090,"Better")-COUNTIFS(Rank_Changes!$E$2:$E$1090,"AUS",Rank_Changes!$A$2:$A$1090,11,Rank_Changes!$S$2:$S$1090,"Worse")</f>
        <v>-3</v>
      </c>
      <c r="E29" s="26" t="n">
        <f aca="false">COUNTIFS(Rank_Changes!$E$2:$E$1090,"AUS",Rank_Changes!$A$2:$A$1090,1,Rank_Changes!$S$2:$S$1090,"Better")-COUNTIFS(Rank_Changes!$E$2:$E$1090,"AUS",Rank_Changes!$A$2:$A$1090,1,Rank_Changes!$S$2:$S$1090,"Worse")</f>
        <v>-1</v>
      </c>
      <c r="F29" s="26" t="n">
        <f aca="false">COUNTIFS(Rank_Changes!$E$2:$E$1090,"AUS",Rank_Changes!$A$2:$A$1090,9,Rank_Changes!$S$2:$S$1090,"Better")-COUNTIFS(Rank_Changes!$E$2:$E$1090,"AUS",Rank_Changes!$A$2:$A$1090,9,Rank_Changes!$S$2:$S$1090,"Worse")</f>
        <v>0</v>
      </c>
    </row>
    <row r="30" customFormat="false" ht="15" hidden="false" customHeight="false" outlineLevel="0" collapsed="false">
      <c r="A30" s="5" t="s">
        <v>44</v>
      </c>
    </row>
  </sheetData>
  <conditionalFormatting sqref="F5:F15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B19:F29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5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30" hidden="false" customHeight="true" outlineLevel="0" collapsed="false">
      <c r="A1" s="6" t="s">
        <v>45</v>
      </c>
      <c r="B1" s="6" t="s">
        <v>46</v>
      </c>
      <c r="C1" s="6" t="s">
        <v>47</v>
      </c>
      <c r="D1" s="6" t="s">
        <v>48</v>
      </c>
      <c r="E1" s="6" t="s">
        <v>49</v>
      </c>
    </row>
    <row r="2" customFormat="false" ht="15" hidden="false" customHeight="false" outlineLevel="0" collapsed="false">
      <c r="A2" s="12" t="s">
        <v>50</v>
      </c>
      <c r="B2" s="12" t="n">
        <v>1</v>
      </c>
      <c r="C2" s="12" t="s">
        <v>51</v>
      </c>
      <c r="D2" s="27" t="n">
        <v>0</v>
      </c>
      <c r="E2" s="12" t="s">
        <v>52</v>
      </c>
    </row>
    <row r="3" customFormat="false" ht="15" hidden="false" customHeight="false" outlineLevel="0" collapsed="false">
      <c r="A3" s="12" t="s">
        <v>53</v>
      </c>
      <c r="B3" s="12" t="n">
        <v>1</v>
      </c>
      <c r="C3" s="12" t="s">
        <v>54</v>
      </c>
      <c r="D3" s="27" t="n">
        <v>0</v>
      </c>
      <c r="E3" s="12" t="s">
        <v>52</v>
      </c>
    </row>
    <row r="4" customFormat="false" ht="15" hidden="false" customHeight="false" outlineLevel="0" collapsed="false">
      <c r="A4" s="12" t="s">
        <v>55</v>
      </c>
      <c r="B4" s="12" t="n">
        <v>1</v>
      </c>
      <c r="C4" s="12" t="s">
        <v>56</v>
      </c>
      <c r="D4" s="27" t="n">
        <v>0</v>
      </c>
      <c r="E4" s="12" t="s">
        <v>52</v>
      </c>
    </row>
    <row r="5" customFormat="false" ht="15" hidden="false" customHeight="false" outlineLevel="0" collapsed="false">
      <c r="A5" s="12" t="s">
        <v>57</v>
      </c>
      <c r="B5" s="12" t="n">
        <v>1</v>
      </c>
      <c r="C5" s="12" t="s">
        <v>58</v>
      </c>
      <c r="D5" s="27" t="n">
        <v>0</v>
      </c>
      <c r="E5" s="12" t="s">
        <v>52</v>
      </c>
    </row>
    <row r="6" customFormat="false" ht="15" hidden="false" customHeight="false" outlineLevel="0" collapsed="false">
      <c r="A6" s="12" t="s">
        <v>59</v>
      </c>
      <c r="B6" s="12" t="n">
        <v>1</v>
      </c>
      <c r="C6" s="12" t="s">
        <v>60</v>
      </c>
      <c r="D6" s="27" t="n">
        <v>-1</v>
      </c>
      <c r="E6" s="12" t="s">
        <v>61</v>
      </c>
    </row>
    <row r="7" customFormat="false" ht="15" hidden="false" customHeight="false" outlineLevel="0" collapsed="false">
      <c r="A7" s="12" t="s">
        <v>62</v>
      </c>
      <c r="B7" s="12" t="n">
        <v>1</v>
      </c>
      <c r="C7" s="12" t="s">
        <v>63</v>
      </c>
      <c r="D7" s="27" t="n">
        <v>0</v>
      </c>
      <c r="E7" s="12" t="s">
        <v>52</v>
      </c>
    </row>
    <row r="8" customFormat="false" ht="15" hidden="false" customHeight="false" outlineLevel="0" collapsed="false">
      <c r="A8" s="12" t="s">
        <v>64</v>
      </c>
      <c r="B8" s="12" t="n">
        <v>1</v>
      </c>
      <c r="C8" s="12" t="s">
        <v>65</v>
      </c>
      <c r="D8" s="27" t="n">
        <v>0</v>
      </c>
      <c r="E8" s="12" t="s">
        <v>52</v>
      </c>
    </row>
    <row r="9" customFormat="false" ht="15" hidden="false" customHeight="false" outlineLevel="0" collapsed="false">
      <c r="A9" s="12" t="s">
        <v>66</v>
      </c>
      <c r="B9" s="12" t="n">
        <v>1</v>
      </c>
      <c r="C9" s="12" t="s">
        <v>67</v>
      </c>
      <c r="D9" s="27" t="n">
        <v>0</v>
      </c>
      <c r="E9" s="12" t="s">
        <v>52</v>
      </c>
    </row>
    <row r="10" customFormat="false" ht="15" hidden="false" customHeight="false" outlineLevel="0" collapsed="false">
      <c r="A10" s="12" t="s">
        <v>68</v>
      </c>
      <c r="B10" s="12" t="n">
        <v>1</v>
      </c>
      <c r="C10" s="12" t="s">
        <v>69</v>
      </c>
      <c r="D10" s="27" t="n">
        <v>0</v>
      </c>
      <c r="E10" s="12" t="s">
        <v>52</v>
      </c>
    </row>
    <row r="11" customFormat="false" ht="15" hidden="false" customHeight="false" outlineLevel="0" collapsed="false">
      <c r="A11" s="12" t="s">
        <v>70</v>
      </c>
      <c r="B11" s="12" t="n">
        <v>1</v>
      </c>
      <c r="C11" s="12" t="s">
        <v>71</v>
      </c>
      <c r="D11" s="27" t="n">
        <v>0</v>
      </c>
      <c r="E11" s="12" t="s">
        <v>52</v>
      </c>
    </row>
    <row r="12" customFormat="false" ht="15" hidden="false" customHeight="false" outlineLevel="0" collapsed="false">
      <c r="A12" s="12" t="s">
        <v>72</v>
      </c>
      <c r="B12" s="12" t="n">
        <v>1</v>
      </c>
      <c r="C12" s="12" t="s">
        <v>73</v>
      </c>
      <c r="D12" s="27" t="n">
        <v>0</v>
      </c>
      <c r="E12" s="12" t="s">
        <v>52</v>
      </c>
    </row>
    <row r="13" customFormat="false" ht="15" hidden="false" customHeight="false" outlineLevel="0" collapsed="false">
      <c r="A13" s="12" t="s">
        <v>74</v>
      </c>
      <c r="B13" s="12" t="n">
        <v>1</v>
      </c>
      <c r="C13" s="12" t="s">
        <v>75</v>
      </c>
      <c r="D13" s="27" t="n">
        <v>0</v>
      </c>
      <c r="E13" s="12" t="s">
        <v>52</v>
      </c>
    </row>
    <row r="14" customFormat="false" ht="15" hidden="false" customHeight="false" outlineLevel="0" collapsed="false">
      <c r="A14" s="12" t="s">
        <v>76</v>
      </c>
      <c r="B14" s="12" t="n">
        <v>1</v>
      </c>
      <c r="C14" s="12" t="s">
        <v>77</v>
      </c>
      <c r="D14" s="27" t="n">
        <v>0</v>
      </c>
      <c r="E14" s="12" t="s">
        <v>52</v>
      </c>
    </row>
    <row r="15" customFormat="false" ht="15" hidden="false" customHeight="false" outlineLevel="0" collapsed="false">
      <c r="A15" s="12" t="s">
        <v>78</v>
      </c>
      <c r="B15" s="12" t="n">
        <v>1</v>
      </c>
      <c r="C15" s="12" t="s">
        <v>79</v>
      </c>
      <c r="D15" s="27" t="n">
        <v>0</v>
      </c>
      <c r="E15" s="12" t="s">
        <v>52</v>
      </c>
    </row>
    <row r="16" customFormat="false" ht="15" hidden="false" customHeight="false" outlineLevel="0" collapsed="false">
      <c r="A16" s="12" t="s">
        <v>80</v>
      </c>
      <c r="B16" s="12" t="n">
        <v>1</v>
      </c>
      <c r="C16" s="12" t="s">
        <v>81</v>
      </c>
      <c r="D16" s="27" t="n">
        <v>0</v>
      </c>
      <c r="E16" s="12" t="s">
        <v>52</v>
      </c>
    </row>
    <row r="17" customFormat="false" ht="15" hidden="false" customHeight="false" outlineLevel="0" collapsed="false">
      <c r="A17" s="12" t="s">
        <v>82</v>
      </c>
      <c r="B17" s="12" t="n">
        <v>1</v>
      </c>
      <c r="C17" s="12" t="s">
        <v>83</v>
      </c>
      <c r="D17" s="27" t="n">
        <v>0</v>
      </c>
      <c r="E17" s="12" t="s">
        <v>52</v>
      </c>
    </row>
    <row r="18" customFormat="false" ht="15" hidden="false" customHeight="false" outlineLevel="0" collapsed="false">
      <c r="A18" s="12" t="s">
        <v>84</v>
      </c>
      <c r="B18" s="12" t="n">
        <v>1</v>
      </c>
      <c r="C18" s="12" t="s">
        <v>85</v>
      </c>
      <c r="D18" s="27" t="n">
        <v>1</v>
      </c>
      <c r="E18" s="12" t="s">
        <v>86</v>
      </c>
    </row>
    <row r="19" customFormat="false" ht="15" hidden="false" customHeight="false" outlineLevel="0" collapsed="false">
      <c r="A19" s="12" t="s">
        <v>87</v>
      </c>
      <c r="B19" s="12" t="n">
        <v>4</v>
      </c>
      <c r="C19" s="12" t="s">
        <v>88</v>
      </c>
      <c r="D19" s="27" t="n">
        <v>-1</v>
      </c>
      <c r="E19" s="12" t="s">
        <v>89</v>
      </c>
    </row>
    <row r="20" customFormat="false" ht="15" hidden="false" customHeight="false" outlineLevel="0" collapsed="false">
      <c r="A20" s="12" t="s">
        <v>90</v>
      </c>
      <c r="B20" s="12" t="n">
        <v>4</v>
      </c>
      <c r="C20" s="12" t="s">
        <v>91</v>
      </c>
      <c r="D20" s="27" t="n">
        <v>-1</v>
      </c>
      <c r="E20" s="12" t="s">
        <v>89</v>
      </c>
    </row>
    <row r="21" customFormat="false" ht="15" hidden="false" customHeight="false" outlineLevel="0" collapsed="false">
      <c r="A21" s="12" t="s">
        <v>92</v>
      </c>
      <c r="B21" s="12" t="n">
        <v>4</v>
      </c>
      <c r="C21" s="12" t="s">
        <v>93</v>
      </c>
      <c r="D21" s="27" t="n">
        <v>-1</v>
      </c>
      <c r="E21" s="12" t="s">
        <v>89</v>
      </c>
    </row>
    <row r="22" customFormat="false" ht="15" hidden="false" customHeight="false" outlineLevel="0" collapsed="false">
      <c r="A22" s="12" t="s">
        <v>94</v>
      </c>
      <c r="B22" s="12" t="n">
        <v>4</v>
      </c>
      <c r="C22" s="12" t="s">
        <v>95</v>
      </c>
      <c r="D22" s="27" t="n">
        <v>1</v>
      </c>
      <c r="E22" s="12" t="s">
        <v>96</v>
      </c>
    </row>
    <row r="23" customFormat="false" ht="15" hidden="false" customHeight="false" outlineLevel="0" collapsed="false">
      <c r="A23" s="12" t="s">
        <v>97</v>
      </c>
      <c r="B23" s="12" t="n">
        <v>4</v>
      </c>
      <c r="C23" s="12" t="s">
        <v>98</v>
      </c>
      <c r="D23" s="27" t="n">
        <v>1</v>
      </c>
      <c r="E23" s="12" t="s">
        <v>96</v>
      </c>
    </row>
    <row r="24" customFormat="false" ht="15" hidden="false" customHeight="false" outlineLevel="0" collapsed="false">
      <c r="A24" s="12" t="s">
        <v>99</v>
      </c>
      <c r="B24" s="12" t="n">
        <v>4</v>
      </c>
      <c r="C24" s="12" t="s">
        <v>100</v>
      </c>
      <c r="D24" s="27" t="n">
        <v>1</v>
      </c>
      <c r="E24" s="12" t="s">
        <v>96</v>
      </c>
    </row>
    <row r="25" customFormat="false" ht="15" hidden="false" customHeight="false" outlineLevel="0" collapsed="false">
      <c r="A25" s="12" t="s">
        <v>101</v>
      </c>
      <c r="B25" s="12" t="n">
        <v>4</v>
      </c>
      <c r="C25" s="12" t="s">
        <v>102</v>
      </c>
      <c r="D25" s="27" t="n">
        <v>1</v>
      </c>
      <c r="E25" s="12" t="s">
        <v>96</v>
      </c>
    </row>
    <row r="26" customFormat="false" ht="15" hidden="false" customHeight="false" outlineLevel="0" collapsed="false">
      <c r="A26" s="12" t="s">
        <v>103</v>
      </c>
      <c r="B26" s="12" t="n">
        <v>4</v>
      </c>
      <c r="C26" s="12" t="s">
        <v>104</v>
      </c>
      <c r="D26" s="27" t="n">
        <v>-1</v>
      </c>
      <c r="E26" s="12" t="s">
        <v>105</v>
      </c>
    </row>
    <row r="27" customFormat="false" ht="15" hidden="false" customHeight="false" outlineLevel="0" collapsed="false">
      <c r="A27" s="12" t="s">
        <v>106</v>
      </c>
      <c r="B27" s="12" t="n">
        <v>4</v>
      </c>
      <c r="C27" s="12" t="s">
        <v>107</v>
      </c>
      <c r="D27" s="27" t="n">
        <v>-1</v>
      </c>
      <c r="E27" s="12" t="s">
        <v>105</v>
      </c>
    </row>
    <row r="28" customFormat="false" ht="15" hidden="false" customHeight="false" outlineLevel="0" collapsed="false">
      <c r="A28" s="12" t="s">
        <v>108</v>
      </c>
      <c r="B28" s="12" t="n">
        <v>4</v>
      </c>
      <c r="C28" s="12" t="s">
        <v>109</v>
      </c>
      <c r="D28" s="27" t="n">
        <v>-1</v>
      </c>
      <c r="E28" s="12" t="s">
        <v>105</v>
      </c>
    </row>
    <row r="29" customFormat="false" ht="15" hidden="false" customHeight="false" outlineLevel="0" collapsed="false">
      <c r="A29" s="12" t="s">
        <v>110</v>
      </c>
      <c r="B29" s="12" t="n">
        <v>4</v>
      </c>
      <c r="C29" s="12" t="s">
        <v>111</v>
      </c>
      <c r="D29" s="27" t="n">
        <v>-1</v>
      </c>
      <c r="E29" s="12" t="s">
        <v>105</v>
      </c>
    </row>
    <row r="30" customFormat="false" ht="15" hidden="false" customHeight="false" outlineLevel="0" collapsed="false">
      <c r="A30" s="12" t="s">
        <v>112</v>
      </c>
      <c r="B30" s="12" t="n">
        <v>4</v>
      </c>
      <c r="C30" s="12" t="s">
        <v>113</v>
      </c>
      <c r="D30" s="27" t="n">
        <v>-1</v>
      </c>
      <c r="E30" s="12" t="s">
        <v>105</v>
      </c>
    </row>
    <row r="31" customFormat="false" ht="15" hidden="false" customHeight="false" outlineLevel="0" collapsed="false">
      <c r="A31" s="12" t="s">
        <v>114</v>
      </c>
      <c r="B31" s="12" t="n">
        <v>5</v>
      </c>
      <c r="C31" s="12" t="s">
        <v>115</v>
      </c>
      <c r="D31" s="27" t="n">
        <v>0</v>
      </c>
      <c r="E31" s="12" t="s">
        <v>52</v>
      </c>
    </row>
    <row r="32" customFormat="false" ht="15" hidden="false" customHeight="false" outlineLevel="0" collapsed="false">
      <c r="A32" s="12" t="s">
        <v>116</v>
      </c>
      <c r="B32" s="12" t="n">
        <v>5</v>
      </c>
      <c r="C32" s="12" t="s">
        <v>117</v>
      </c>
      <c r="D32" s="27" t="n">
        <v>0</v>
      </c>
      <c r="E32" s="12" t="s">
        <v>52</v>
      </c>
    </row>
    <row r="33" customFormat="false" ht="15" hidden="false" customHeight="false" outlineLevel="0" collapsed="false">
      <c r="A33" s="12" t="s">
        <v>118</v>
      </c>
      <c r="B33" s="12" t="n">
        <v>5</v>
      </c>
      <c r="C33" s="12" t="s">
        <v>119</v>
      </c>
      <c r="D33" s="27" t="n">
        <v>0</v>
      </c>
      <c r="E33" s="12" t="s">
        <v>52</v>
      </c>
    </row>
    <row r="34" customFormat="false" ht="15" hidden="false" customHeight="false" outlineLevel="0" collapsed="false">
      <c r="A34" s="12" t="s">
        <v>120</v>
      </c>
      <c r="B34" s="12" t="n">
        <v>5</v>
      </c>
      <c r="C34" s="12" t="s">
        <v>121</v>
      </c>
      <c r="D34" s="27" t="n">
        <v>0</v>
      </c>
      <c r="E34" s="12" t="s">
        <v>52</v>
      </c>
    </row>
    <row r="35" customFormat="false" ht="15" hidden="false" customHeight="false" outlineLevel="0" collapsed="false">
      <c r="A35" s="12" t="s">
        <v>122</v>
      </c>
      <c r="B35" s="12" t="n">
        <v>5</v>
      </c>
      <c r="C35" s="12" t="s">
        <v>123</v>
      </c>
      <c r="D35" s="27" t="n">
        <v>0</v>
      </c>
      <c r="E35" s="12" t="s">
        <v>52</v>
      </c>
    </row>
    <row r="36" customFormat="false" ht="15" hidden="false" customHeight="false" outlineLevel="0" collapsed="false">
      <c r="A36" s="12" t="s">
        <v>124</v>
      </c>
      <c r="B36" s="12" t="n">
        <v>5</v>
      </c>
      <c r="C36" s="12" t="s">
        <v>125</v>
      </c>
      <c r="D36" s="27" t="n">
        <v>0</v>
      </c>
      <c r="E36" s="12" t="s">
        <v>52</v>
      </c>
    </row>
    <row r="37" customFormat="false" ht="15" hidden="false" customHeight="false" outlineLevel="0" collapsed="false">
      <c r="A37" s="12" t="s">
        <v>126</v>
      </c>
      <c r="B37" s="12" t="n">
        <v>5</v>
      </c>
      <c r="C37" s="12" t="s">
        <v>127</v>
      </c>
      <c r="D37" s="27" t="n">
        <v>0</v>
      </c>
      <c r="E37" s="12" t="s">
        <v>52</v>
      </c>
    </row>
    <row r="38" customFormat="false" ht="15" hidden="false" customHeight="false" outlineLevel="0" collapsed="false">
      <c r="A38" s="12" t="s">
        <v>128</v>
      </c>
      <c r="B38" s="12" t="n">
        <v>5</v>
      </c>
      <c r="C38" s="12" t="s">
        <v>129</v>
      </c>
      <c r="D38" s="27" t="n">
        <v>0</v>
      </c>
      <c r="E38" s="12" t="s">
        <v>52</v>
      </c>
    </row>
    <row r="39" customFormat="false" ht="15" hidden="false" customHeight="false" outlineLevel="0" collapsed="false">
      <c r="A39" s="12" t="s">
        <v>130</v>
      </c>
      <c r="B39" s="12" t="n">
        <v>5</v>
      </c>
      <c r="C39" s="12" t="s">
        <v>131</v>
      </c>
      <c r="D39" s="27" t="n">
        <v>0</v>
      </c>
      <c r="E39" s="12" t="s">
        <v>52</v>
      </c>
    </row>
    <row r="40" customFormat="false" ht="15" hidden="false" customHeight="false" outlineLevel="0" collapsed="false">
      <c r="A40" s="12" t="s">
        <v>132</v>
      </c>
      <c r="B40" s="12" t="n">
        <v>5</v>
      </c>
      <c r="C40" s="12" t="s">
        <v>133</v>
      </c>
      <c r="D40" s="27" t="n">
        <v>0</v>
      </c>
      <c r="E40" s="12" t="s">
        <v>52</v>
      </c>
    </row>
    <row r="41" customFormat="false" ht="15" hidden="false" customHeight="false" outlineLevel="0" collapsed="false">
      <c r="A41" s="12" t="s">
        <v>134</v>
      </c>
      <c r="B41" s="12" t="n">
        <v>5</v>
      </c>
      <c r="C41" s="12" t="s">
        <v>135</v>
      </c>
      <c r="D41" s="27" t="n">
        <v>0</v>
      </c>
      <c r="E41" s="12" t="s">
        <v>52</v>
      </c>
    </row>
    <row r="42" customFormat="false" ht="15" hidden="false" customHeight="false" outlineLevel="0" collapsed="false">
      <c r="A42" s="12" t="s">
        <v>136</v>
      </c>
      <c r="B42" s="12" t="n">
        <v>5</v>
      </c>
      <c r="C42" s="12" t="s">
        <v>137</v>
      </c>
      <c r="D42" s="27" t="n">
        <v>0</v>
      </c>
      <c r="E42" s="12" t="s">
        <v>52</v>
      </c>
    </row>
    <row r="43" customFormat="false" ht="15" hidden="false" customHeight="false" outlineLevel="0" collapsed="false">
      <c r="A43" s="12" t="s">
        <v>138</v>
      </c>
      <c r="B43" s="12" t="n">
        <v>5</v>
      </c>
      <c r="C43" s="12" t="s">
        <v>139</v>
      </c>
      <c r="D43" s="27" t="n">
        <v>0</v>
      </c>
      <c r="E43" s="12" t="s">
        <v>52</v>
      </c>
    </row>
    <row r="44" customFormat="false" ht="15" hidden="false" customHeight="false" outlineLevel="0" collapsed="false">
      <c r="A44" s="12" t="s">
        <v>140</v>
      </c>
      <c r="B44" s="12" t="n">
        <v>5</v>
      </c>
      <c r="C44" s="12" t="s">
        <v>141</v>
      </c>
      <c r="D44" s="27" t="n">
        <v>0</v>
      </c>
      <c r="E44" s="12" t="s">
        <v>52</v>
      </c>
    </row>
    <row r="45" customFormat="false" ht="15" hidden="false" customHeight="false" outlineLevel="0" collapsed="false">
      <c r="A45" s="12" t="s">
        <v>142</v>
      </c>
      <c r="B45" s="12" t="n">
        <v>5</v>
      </c>
      <c r="C45" s="12" t="s">
        <v>143</v>
      </c>
      <c r="D45" s="27" t="n">
        <v>0</v>
      </c>
      <c r="E45" s="12" t="s">
        <v>52</v>
      </c>
    </row>
    <row r="46" customFormat="false" ht="15" hidden="false" customHeight="false" outlineLevel="0" collapsed="false">
      <c r="A46" s="12" t="s">
        <v>144</v>
      </c>
      <c r="B46" s="12" t="n">
        <v>5</v>
      </c>
      <c r="C46" s="12" t="s">
        <v>145</v>
      </c>
      <c r="D46" s="27" t="n">
        <v>0</v>
      </c>
      <c r="E46" s="12" t="s">
        <v>52</v>
      </c>
    </row>
    <row r="47" customFormat="false" ht="15" hidden="false" customHeight="false" outlineLevel="0" collapsed="false">
      <c r="A47" s="12" t="s">
        <v>146</v>
      </c>
      <c r="B47" s="12" t="n">
        <v>7</v>
      </c>
      <c r="C47" s="12" t="s">
        <v>147</v>
      </c>
      <c r="D47" s="27" t="n">
        <v>0</v>
      </c>
      <c r="E47" s="12" t="s">
        <v>52</v>
      </c>
    </row>
    <row r="48" customFormat="false" ht="15" hidden="false" customHeight="false" outlineLevel="0" collapsed="false">
      <c r="A48" s="12" t="s">
        <v>148</v>
      </c>
      <c r="B48" s="12" t="n">
        <v>7</v>
      </c>
      <c r="C48" s="12" t="s">
        <v>149</v>
      </c>
      <c r="D48" s="27" t="n">
        <v>0</v>
      </c>
      <c r="E48" s="12" t="s">
        <v>52</v>
      </c>
    </row>
    <row r="49" customFormat="false" ht="15" hidden="false" customHeight="false" outlineLevel="0" collapsed="false">
      <c r="A49" s="12" t="s">
        <v>150</v>
      </c>
      <c r="B49" s="12" t="n">
        <v>7</v>
      </c>
      <c r="C49" s="12" t="s">
        <v>151</v>
      </c>
      <c r="D49" s="27" t="n">
        <v>0</v>
      </c>
      <c r="E49" s="12" t="s">
        <v>52</v>
      </c>
    </row>
    <row r="50" customFormat="false" ht="15" hidden="false" customHeight="false" outlineLevel="0" collapsed="false">
      <c r="A50" s="12" t="s">
        <v>152</v>
      </c>
      <c r="B50" s="12" t="n">
        <v>7</v>
      </c>
      <c r="C50" s="12" t="s">
        <v>153</v>
      </c>
      <c r="D50" s="27" t="n">
        <v>0</v>
      </c>
      <c r="E50" s="12" t="s">
        <v>52</v>
      </c>
    </row>
    <row r="51" customFormat="false" ht="15" hidden="false" customHeight="false" outlineLevel="0" collapsed="false">
      <c r="A51" s="12" t="s">
        <v>154</v>
      </c>
      <c r="B51" s="12" t="n">
        <v>7</v>
      </c>
      <c r="C51" s="12" t="s">
        <v>155</v>
      </c>
      <c r="D51" s="27" t="n">
        <v>0</v>
      </c>
      <c r="E51" s="12" t="s">
        <v>52</v>
      </c>
    </row>
    <row r="52" customFormat="false" ht="15" hidden="false" customHeight="false" outlineLevel="0" collapsed="false">
      <c r="A52" s="12" t="s">
        <v>156</v>
      </c>
      <c r="B52" s="12" t="n">
        <v>7</v>
      </c>
      <c r="C52" s="12" t="s">
        <v>157</v>
      </c>
      <c r="D52" s="27" t="n">
        <v>0</v>
      </c>
      <c r="E52" s="12" t="s">
        <v>52</v>
      </c>
    </row>
    <row r="53" customFormat="false" ht="15" hidden="false" customHeight="false" outlineLevel="0" collapsed="false">
      <c r="A53" s="12" t="s">
        <v>158</v>
      </c>
      <c r="B53" s="12" t="n">
        <v>7</v>
      </c>
      <c r="C53" s="12" t="s">
        <v>159</v>
      </c>
      <c r="D53" s="27" t="n">
        <v>0</v>
      </c>
      <c r="E53" s="12" t="s">
        <v>52</v>
      </c>
    </row>
    <row r="54" customFormat="false" ht="15" hidden="false" customHeight="false" outlineLevel="0" collapsed="false">
      <c r="A54" s="12" t="s">
        <v>160</v>
      </c>
      <c r="B54" s="12" t="n">
        <v>7</v>
      </c>
      <c r="C54" s="12" t="s">
        <v>161</v>
      </c>
      <c r="D54" s="27" t="n">
        <v>0</v>
      </c>
      <c r="E54" s="12" t="s">
        <v>52</v>
      </c>
    </row>
    <row r="55" customFormat="false" ht="15" hidden="false" customHeight="false" outlineLevel="0" collapsed="false">
      <c r="A55" s="12" t="s">
        <v>162</v>
      </c>
      <c r="B55" s="12" t="n">
        <v>7</v>
      </c>
      <c r="C55" s="12" t="s">
        <v>163</v>
      </c>
      <c r="D55" s="27" t="n">
        <v>0</v>
      </c>
      <c r="E55" s="12" t="s">
        <v>52</v>
      </c>
    </row>
    <row r="56" customFormat="false" ht="15" hidden="false" customHeight="false" outlineLevel="0" collapsed="false">
      <c r="A56" s="12" t="s">
        <v>164</v>
      </c>
      <c r="B56" s="12" t="n">
        <v>7</v>
      </c>
      <c r="C56" s="12" t="s">
        <v>165</v>
      </c>
      <c r="D56" s="27" t="n">
        <v>0</v>
      </c>
      <c r="E56" s="12" t="s">
        <v>52</v>
      </c>
    </row>
    <row r="57" customFormat="false" ht="15" hidden="false" customHeight="false" outlineLevel="0" collapsed="false">
      <c r="A57" s="12" t="s">
        <v>166</v>
      </c>
      <c r="B57" s="12" t="n">
        <v>7</v>
      </c>
      <c r="C57" s="12" t="s">
        <v>167</v>
      </c>
      <c r="D57" s="27" t="n">
        <v>0</v>
      </c>
      <c r="E57" s="12" t="s">
        <v>52</v>
      </c>
    </row>
    <row r="58" customFormat="false" ht="15" hidden="false" customHeight="false" outlineLevel="0" collapsed="false">
      <c r="A58" s="12" t="s">
        <v>168</v>
      </c>
      <c r="B58" s="12" t="n">
        <v>7</v>
      </c>
      <c r="C58" s="12" t="s">
        <v>169</v>
      </c>
      <c r="D58" s="27" t="n">
        <v>0</v>
      </c>
      <c r="E58" s="12" t="s">
        <v>52</v>
      </c>
    </row>
    <row r="59" customFormat="false" ht="15" hidden="false" customHeight="false" outlineLevel="0" collapsed="false">
      <c r="A59" s="12" t="s">
        <v>170</v>
      </c>
      <c r="B59" s="12" t="n">
        <v>7</v>
      </c>
      <c r="C59" s="12" t="s">
        <v>171</v>
      </c>
      <c r="D59" s="27" t="n">
        <v>0</v>
      </c>
      <c r="E59" s="12" t="s">
        <v>52</v>
      </c>
    </row>
    <row r="60" customFormat="false" ht="15" hidden="false" customHeight="false" outlineLevel="0" collapsed="false">
      <c r="A60" s="12" t="s">
        <v>172</v>
      </c>
      <c r="B60" s="12" t="n">
        <v>7</v>
      </c>
      <c r="C60" s="12" t="s">
        <v>173</v>
      </c>
      <c r="D60" s="27" t="n">
        <v>0</v>
      </c>
      <c r="E60" s="12" t="s">
        <v>52</v>
      </c>
    </row>
    <row r="61" customFormat="false" ht="15" hidden="false" customHeight="false" outlineLevel="0" collapsed="false">
      <c r="A61" s="12" t="s">
        <v>174</v>
      </c>
      <c r="B61" s="12" t="n">
        <v>7</v>
      </c>
      <c r="C61" s="12" t="s">
        <v>147</v>
      </c>
      <c r="D61" s="27" t="n">
        <v>0</v>
      </c>
      <c r="E61" s="12" t="s">
        <v>52</v>
      </c>
    </row>
    <row r="62" customFormat="false" ht="15" hidden="false" customHeight="false" outlineLevel="0" collapsed="false">
      <c r="A62" s="12" t="s">
        <v>175</v>
      </c>
      <c r="B62" s="12" t="n">
        <v>9</v>
      </c>
      <c r="C62" s="12" t="s">
        <v>176</v>
      </c>
      <c r="D62" s="27" t="n">
        <v>0</v>
      </c>
      <c r="E62" s="12" t="s">
        <v>52</v>
      </c>
    </row>
    <row r="63" customFormat="false" ht="15" hidden="false" customHeight="false" outlineLevel="0" collapsed="false">
      <c r="A63" s="12" t="s">
        <v>177</v>
      </c>
      <c r="B63" s="12" t="n">
        <v>9</v>
      </c>
      <c r="C63" s="12" t="s">
        <v>178</v>
      </c>
      <c r="D63" s="27" t="n">
        <v>0</v>
      </c>
      <c r="E63" s="12" t="s">
        <v>52</v>
      </c>
    </row>
    <row r="64" customFormat="false" ht="15" hidden="false" customHeight="false" outlineLevel="0" collapsed="false">
      <c r="A64" s="12" t="s">
        <v>179</v>
      </c>
      <c r="B64" s="12" t="n">
        <v>9</v>
      </c>
      <c r="C64" s="12" t="s">
        <v>180</v>
      </c>
      <c r="D64" s="27" t="n">
        <v>0</v>
      </c>
      <c r="E64" s="12" t="s">
        <v>52</v>
      </c>
    </row>
    <row r="65" customFormat="false" ht="15" hidden="false" customHeight="false" outlineLevel="0" collapsed="false">
      <c r="A65" s="12" t="s">
        <v>181</v>
      </c>
      <c r="B65" s="12" t="n">
        <v>9</v>
      </c>
      <c r="C65" s="12" t="s">
        <v>182</v>
      </c>
      <c r="D65" s="27" t="n">
        <v>0</v>
      </c>
      <c r="E65" s="12" t="s">
        <v>52</v>
      </c>
    </row>
    <row r="66" customFormat="false" ht="15" hidden="false" customHeight="false" outlineLevel="0" collapsed="false">
      <c r="A66" s="12" t="s">
        <v>183</v>
      </c>
      <c r="B66" s="12" t="n">
        <v>9</v>
      </c>
      <c r="C66" s="12" t="s">
        <v>184</v>
      </c>
      <c r="D66" s="27" t="n">
        <v>0</v>
      </c>
      <c r="E66" s="12" t="s">
        <v>52</v>
      </c>
    </row>
    <row r="67" customFormat="false" ht="15" hidden="false" customHeight="false" outlineLevel="0" collapsed="false">
      <c r="A67" s="12" t="s">
        <v>185</v>
      </c>
      <c r="B67" s="12" t="n">
        <v>9</v>
      </c>
      <c r="C67" s="12" t="s">
        <v>186</v>
      </c>
      <c r="D67" s="27" t="n">
        <v>0</v>
      </c>
      <c r="E67" s="12" t="s">
        <v>52</v>
      </c>
    </row>
    <row r="68" customFormat="false" ht="15" hidden="false" customHeight="false" outlineLevel="0" collapsed="false">
      <c r="A68" s="12" t="s">
        <v>187</v>
      </c>
      <c r="B68" s="12" t="n">
        <v>9</v>
      </c>
      <c r="C68" s="12" t="s">
        <v>188</v>
      </c>
      <c r="D68" s="27" t="n">
        <v>0</v>
      </c>
      <c r="E68" s="12" t="s">
        <v>52</v>
      </c>
    </row>
    <row r="69" customFormat="false" ht="15" hidden="false" customHeight="false" outlineLevel="0" collapsed="false">
      <c r="A69" s="12" t="s">
        <v>189</v>
      </c>
      <c r="B69" s="12" t="n">
        <v>9</v>
      </c>
      <c r="C69" s="12" t="s">
        <v>190</v>
      </c>
      <c r="D69" s="27" t="n">
        <v>0</v>
      </c>
      <c r="E69" s="12" t="s">
        <v>52</v>
      </c>
    </row>
    <row r="70" customFormat="false" ht="15" hidden="false" customHeight="false" outlineLevel="0" collapsed="false">
      <c r="A70" s="12" t="s">
        <v>191</v>
      </c>
      <c r="B70" s="12" t="n">
        <v>9</v>
      </c>
      <c r="C70" s="12" t="s">
        <v>192</v>
      </c>
      <c r="D70" s="27" t="n">
        <v>0</v>
      </c>
      <c r="E70" s="12" t="s">
        <v>52</v>
      </c>
    </row>
    <row r="71" customFormat="false" ht="15" hidden="false" customHeight="false" outlineLevel="0" collapsed="false">
      <c r="A71" s="12" t="s">
        <v>193</v>
      </c>
      <c r="B71" s="12" t="n">
        <v>9</v>
      </c>
      <c r="C71" s="12" t="s">
        <v>194</v>
      </c>
      <c r="D71" s="27" t="n">
        <v>0</v>
      </c>
      <c r="E71" s="12" t="s">
        <v>52</v>
      </c>
    </row>
    <row r="72" customFormat="false" ht="15" hidden="false" customHeight="false" outlineLevel="0" collapsed="false">
      <c r="A72" s="12" t="s">
        <v>195</v>
      </c>
      <c r="B72" s="12" t="n">
        <v>9</v>
      </c>
      <c r="C72" s="12" t="s">
        <v>196</v>
      </c>
      <c r="D72" s="27" t="n">
        <v>0</v>
      </c>
      <c r="E72" s="12" t="s">
        <v>52</v>
      </c>
    </row>
    <row r="73" customFormat="false" ht="15" hidden="false" customHeight="false" outlineLevel="0" collapsed="false">
      <c r="A73" s="12" t="s">
        <v>197</v>
      </c>
      <c r="B73" s="12" t="n">
        <v>9</v>
      </c>
      <c r="C73" s="12" t="s">
        <v>198</v>
      </c>
      <c r="D73" s="27" t="n">
        <v>0</v>
      </c>
      <c r="E73" s="12" t="s">
        <v>52</v>
      </c>
    </row>
    <row r="74" customFormat="false" ht="15" hidden="false" customHeight="false" outlineLevel="0" collapsed="false">
      <c r="A74" s="12" t="s">
        <v>199</v>
      </c>
      <c r="B74" s="12" t="n">
        <v>9</v>
      </c>
      <c r="C74" s="12" t="s">
        <v>200</v>
      </c>
      <c r="D74" s="27" t="n">
        <v>-1</v>
      </c>
      <c r="E74" s="12" t="s">
        <v>201</v>
      </c>
    </row>
    <row r="75" customFormat="false" ht="15" hidden="false" customHeight="false" outlineLevel="0" collapsed="false">
      <c r="A75" s="12" t="s">
        <v>202</v>
      </c>
      <c r="B75" s="12" t="n">
        <v>10</v>
      </c>
      <c r="C75" s="12" t="s">
        <v>203</v>
      </c>
      <c r="D75" s="27" t="n">
        <v>1</v>
      </c>
      <c r="E75" s="12" t="s">
        <v>204</v>
      </c>
    </row>
    <row r="76" customFormat="false" ht="15" hidden="false" customHeight="false" outlineLevel="0" collapsed="false">
      <c r="A76" s="12" t="s">
        <v>205</v>
      </c>
      <c r="B76" s="12" t="n">
        <v>10</v>
      </c>
      <c r="C76" s="12" t="s">
        <v>206</v>
      </c>
      <c r="D76" s="27" t="n">
        <v>-1</v>
      </c>
      <c r="E76" s="12" t="s">
        <v>207</v>
      </c>
    </row>
    <row r="77" customFormat="false" ht="15" hidden="false" customHeight="false" outlineLevel="0" collapsed="false">
      <c r="A77" s="12" t="s">
        <v>208</v>
      </c>
      <c r="B77" s="12" t="n">
        <v>10</v>
      </c>
      <c r="C77" s="12" t="s">
        <v>209</v>
      </c>
      <c r="D77" s="27" t="n">
        <v>1</v>
      </c>
      <c r="E77" s="12" t="s">
        <v>204</v>
      </c>
    </row>
    <row r="78" customFormat="false" ht="15" hidden="false" customHeight="false" outlineLevel="0" collapsed="false">
      <c r="A78" s="12" t="s">
        <v>210</v>
      </c>
      <c r="B78" s="12" t="n">
        <v>10</v>
      </c>
      <c r="C78" s="12" t="s">
        <v>211</v>
      </c>
      <c r="D78" s="27" t="n">
        <v>1</v>
      </c>
      <c r="E78" s="12" t="s">
        <v>212</v>
      </c>
    </row>
    <row r="79" customFormat="false" ht="15" hidden="false" customHeight="false" outlineLevel="0" collapsed="false">
      <c r="A79" s="12" t="s">
        <v>213</v>
      </c>
      <c r="B79" s="12" t="n">
        <v>10</v>
      </c>
      <c r="C79" s="12" t="s">
        <v>214</v>
      </c>
      <c r="D79" s="27" t="n">
        <v>-1</v>
      </c>
      <c r="E79" s="12" t="s">
        <v>215</v>
      </c>
    </row>
    <row r="80" customFormat="false" ht="15" hidden="false" customHeight="false" outlineLevel="0" collapsed="false">
      <c r="A80" s="12" t="s">
        <v>216</v>
      </c>
      <c r="B80" s="12" t="n">
        <v>10</v>
      </c>
      <c r="C80" s="12" t="s">
        <v>217</v>
      </c>
      <c r="D80" s="27" t="n">
        <v>-1</v>
      </c>
      <c r="E80" s="12" t="s">
        <v>215</v>
      </c>
    </row>
    <row r="81" customFormat="false" ht="15" hidden="false" customHeight="false" outlineLevel="0" collapsed="false">
      <c r="A81" s="12" t="s">
        <v>218</v>
      </c>
      <c r="B81" s="12" t="n">
        <v>10</v>
      </c>
      <c r="C81" s="12" t="s">
        <v>219</v>
      </c>
      <c r="D81" s="27" t="n">
        <v>1</v>
      </c>
      <c r="E81" s="12" t="s">
        <v>220</v>
      </c>
    </row>
    <row r="82" customFormat="false" ht="15" hidden="false" customHeight="false" outlineLevel="0" collapsed="false">
      <c r="A82" s="12" t="s">
        <v>221</v>
      </c>
      <c r="B82" s="12" t="n">
        <v>10</v>
      </c>
      <c r="C82" s="12" t="s">
        <v>222</v>
      </c>
      <c r="D82" s="27" t="n">
        <v>1</v>
      </c>
      <c r="E82" s="12" t="s">
        <v>220</v>
      </c>
    </row>
    <row r="83" customFormat="false" ht="15" hidden="false" customHeight="false" outlineLevel="0" collapsed="false">
      <c r="A83" s="12" t="s">
        <v>223</v>
      </c>
      <c r="B83" s="12" t="n">
        <v>10</v>
      </c>
      <c r="C83" s="12" t="s">
        <v>224</v>
      </c>
      <c r="D83" s="27" t="n">
        <v>-1</v>
      </c>
      <c r="E83" s="12" t="s">
        <v>225</v>
      </c>
    </row>
    <row r="84" customFormat="false" ht="15" hidden="false" customHeight="false" outlineLevel="0" collapsed="false">
      <c r="A84" s="12" t="s">
        <v>226</v>
      </c>
      <c r="B84" s="12" t="n">
        <v>10</v>
      </c>
      <c r="C84" s="12" t="s">
        <v>227</v>
      </c>
      <c r="D84" s="27" t="n">
        <v>-1</v>
      </c>
      <c r="E84" s="12" t="s">
        <v>225</v>
      </c>
    </row>
    <row r="85" customFormat="false" ht="15" hidden="false" customHeight="false" outlineLevel="0" collapsed="false">
      <c r="A85" s="12" t="s">
        <v>228</v>
      </c>
      <c r="B85" s="12" t="n">
        <v>10</v>
      </c>
      <c r="C85" s="12" t="s">
        <v>229</v>
      </c>
      <c r="D85" s="27" t="n">
        <v>-1</v>
      </c>
      <c r="E85" s="12" t="s">
        <v>225</v>
      </c>
    </row>
    <row r="86" customFormat="false" ht="15" hidden="false" customHeight="false" outlineLevel="0" collapsed="false">
      <c r="A86" s="12" t="s">
        <v>230</v>
      </c>
      <c r="B86" s="12" t="n">
        <v>10</v>
      </c>
      <c r="C86" s="12" t="s">
        <v>231</v>
      </c>
      <c r="D86" s="27" t="n">
        <v>-1</v>
      </c>
      <c r="E86" s="12" t="s">
        <v>225</v>
      </c>
    </row>
    <row r="87" customFormat="false" ht="15" hidden="false" customHeight="false" outlineLevel="0" collapsed="false">
      <c r="A87" s="12" t="s">
        <v>232</v>
      </c>
      <c r="B87" s="12" t="n">
        <v>10</v>
      </c>
      <c r="C87" s="12" t="s">
        <v>233</v>
      </c>
      <c r="D87" s="27" t="n">
        <v>-1</v>
      </c>
      <c r="E87" s="12" t="s">
        <v>234</v>
      </c>
    </row>
    <row r="88" customFormat="false" ht="15" hidden="false" customHeight="false" outlineLevel="0" collapsed="false">
      <c r="A88" s="12" t="s">
        <v>235</v>
      </c>
      <c r="B88" s="12" t="n">
        <v>10</v>
      </c>
      <c r="C88" s="12" t="s">
        <v>236</v>
      </c>
      <c r="D88" s="27" t="n">
        <v>-1</v>
      </c>
      <c r="E88" s="12" t="s">
        <v>234</v>
      </c>
    </row>
    <row r="89" customFormat="false" ht="15" hidden="false" customHeight="false" outlineLevel="0" collapsed="false">
      <c r="A89" s="12" t="s">
        <v>237</v>
      </c>
      <c r="B89" s="12" t="n">
        <v>10</v>
      </c>
      <c r="C89" s="12" t="s">
        <v>238</v>
      </c>
      <c r="D89" s="27" t="n">
        <v>-1</v>
      </c>
      <c r="E89" s="12" t="s">
        <v>234</v>
      </c>
    </row>
    <row r="90" customFormat="false" ht="15" hidden="false" customHeight="false" outlineLevel="0" collapsed="false">
      <c r="A90" s="12" t="s">
        <v>239</v>
      </c>
      <c r="B90" s="12" t="n">
        <v>10</v>
      </c>
      <c r="C90" s="12" t="s">
        <v>240</v>
      </c>
      <c r="D90" s="27" t="n">
        <v>-1</v>
      </c>
      <c r="E90" s="12" t="s">
        <v>234</v>
      </c>
    </row>
    <row r="91" customFormat="false" ht="15" hidden="false" customHeight="false" outlineLevel="0" collapsed="false">
      <c r="A91" s="12" t="s">
        <v>241</v>
      </c>
      <c r="B91" s="12" t="n">
        <v>11</v>
      </c>
      <c r="C91" s="12" t="s">
        <v>242</v>
      </c>
      <c r="D91" s="27" t="n">
        <v>-1</v>
      </c>
      <c r="E91" s="12" t="s">
        <v>243</v>
      </c>
    </row>
    <row r="92" customFormat="false" ht="15" hidden="false" customHeight="false" outlineLevel="0" collapsed="false">
      <c r="A92" s="12" t="s">
        <v>244</v>
      </c>
      <c r="B92" s="12" t="n">
        <v>11</v>
      </c>
      <c r="C92" s="12" t="s">
        <v>245</v>
      </c>
      <c r="D92" s="27" t="n">
        <v>-1</v>
      </c>
      <c r="E92" s="12" t="s">
        <v>246</v>
      </c>
    </row>
    <row r="93" customFormat="false" ht="15" hidden="false" customHeight="false" outlineLevel="0" collapsed="false">
      <c r="A93" s="12" t="s">
        <v>247</v>
      </c>
      <c r="B93" s="12" t="n">
        <v>11</v>
      </c>
      <c r="C93" s="12" t="s">
        <v>248</v>
      </c>
      <c r="D93" s="27" t="n">
        <v>-1</v>
      </c>
      <c r="E93" s="12" t="s">
        <v>246</v>
      </c>
    </row>
    <row r="94" customFormat="false" ht="15" hidden="false" customHeight="false" outlineLevel="0" collapsed="false">
      <c r="A94" s="12" t="s">
        <v>249</v>
      </c>
      <c r="B94" s="12" t="n">
        <v>11</v>
      </c>
      <c r="C94" s="12" t="s">
        <v>250</v>
      </c>
      <c r="D94" s="27" t="n">
        <v>-1</v>
      </c>
      <c r="E94" s="12" t="s">
        <v>251</v>
      </c>
    </row>
    <row r="95" customFormat="false" ht="15" hidden="false" customHeight="false" outlineLevel="0" collapsed="false">
      <c r="A95" s="12" t="s">
        <v>252</v>
      </c>
      <c r="B95" s="12" t="n">
        <v>11</v>
      </c>
      <c r="C95" s="12" t="s">
        <v>253</v>
      </c>
      <c r="D95" s="27" t="n">
        <v>-1</v>
      </c>
      <c r="E95" s="12" t="s">
        <v>251</v>
      </c>
    </row>
    <row r="96" customFormat="false" ht="15" hidden="false" customHeight="false" outlineLevel="0" collapsed="false">
      <c r="A96" s="12" t="s">
        <v>254</v>
      </c>
      <c r="B96" s="12" t="n">
        <v>11</v>
      </c>
      <c r="C96" s="12" t="s">
        <v>255</v>
      </c>
      <c r="D96" s="27" t="n">
        <v>-1</v>
      </c>
      <c r="E96" s="12" t="s">
        <v>251</v>
      </c>
    </row>
    <row r="97" customFormat="false" ht="15" hidden="false" customHeight="false" outlineLevel="0" collapsed="false">
      <c r="A97" s="12" t="s">
        <v>256</v>
      </c>
      <c r="B97" s="12" t="n">
        <v>11</v>
      </c>
      <c r="C97" s="12" t="s">
        <v>257</v>
      </c>
      <c r="D97" s="27" t="n">
        <v>0</v>
      </c>
      <c r="E97" s="12" t="s">
        <v>52</v>
      </c>
    </row>
    <row r="98" customFormat="false" ht="15" hidden="false" customHeight="false" outlineLevel="0" collapsed="false">
      <c r="A98" s="12" t="s">
        <v>258</v>
      </c>
      <c r="B98" s="12" t="n">
        <v>11</v>
      </c>
      <c r="C98" s="12" t="s">
        <v>259</v>
      </c>
      <c r="D98" s="27" t="n">
        <v>0</v>
      </c>
      <c r="E98" s="12" t="s">
        <v>52</v>
      </c>
    </row>
    <row r="99" customFormat="false" ht="15" hidden="false" customHeight="false" outlineLevel="0" collapsed="false">
      <c r="A99" s="12" t="s">
        <v>260</v>
      </c>
      <c r="B99" s="12" t="n">
        <v>11</v>
      </c>
      <c r="C99" s="12" t="s">
        <v>261</v>
      </c>
      <c r="D99" s="27" t="n">
        <v>0</v>
      </c>
      <c r="E99" s="12" t="s">
        <v>52</v>
      </c>
    </row>
    <row r="100" customFormat="false" ht="15" hidden="false" customHeight="false" outlineLevel="0" collapsed="false">
      <c r="A100" s="12" t="s">
        <v>262</v>
      </c>
      <c r="B100" s="12" t="n">
        <v>11</v>
      </c>
      <c r="C100" s="12" t="s">
        <v>263</v>
      </c>
      <c r="D100" s="27" t="n">
        <v>0</v>
      </c>
      <c r="E100" s="12" t="s">
        <v>52</v>
      </c>
    </row>
  </sheetData>
  <dataValidations count="1">
    <dataValidation allowBlank="false" errorStyle="stop" operator="between" showDropDown="false" showErrorMessage="false" showInputMessage="false" sqref="D2:D100" type="list">
      <formula1>"1,-1,0"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5" min="5" style="0" width="6"/>
    <col collapsed="false" customWidth="true" hidden="false" outlineLevel="0" max="8" min="6" style="0" width="9"/>
    <col collapsed="false" customWidth="true" hidden="false" outlineLevel="0" max="13" min="9" style="0" width="8"/>
    <col collapsed="false" customWidth="true" hidden="false" outlineLevel="0" max="16" min="14" style="0" width="9"/>
    <col collapsed="false" customWidth="true" hidden="false" outlineLevel="0" max="17" min="17" style="0" width="8"/>
    <col collapsed="false" customWidth="true" hidden="false" outlineLevel="0" max="18" min="18" style="0" width="11"/>
    <col collapsed="false" customWidth="true" hidden="false" outlineLevel="0" max="19" min="19" style="0" width="13"/>
    <col collapsed="false" customWidth="true" hidden="false" outlineLevel="0" max="20" min="20" style="0" width="60"/>
    <col collapsed="false" customWidth="true" hidden="true" outlineLevel="0" max="21" min="21" style="0" width="12"/>
  </cols>
  <sheetData>
    <row r="1" customFormat="false" ht="45" hidden="false" customHeight="true" outlineLevel="0" collapsed="false">
      <c r="A1" s="6" t="s">
        <v>46</v>
      </c>
      <c r="B1" s="6" t="s">
        <v>264</v>
      </c>
      <c r="C1" s="6" t="s">
        <v>45</v>
      </c>
      <c r="D1" s="6" t="s">
        <v>47</v>
      </c>
      <c r="E1" s="6" t="s">
        <v>19</v>
      </c>
      <c r="F1" s="6" t="s">
        <v>265</v>
      </c>
      <c r="G1" s="6" t="s">
        <v>266</v>
      </c>
      <c r="H1" s="6" t="s">
        <v>267</v>
      </c>
      <c r="I1" s="6" t="s">
        <v>268</v>
      </c>
      <c r="J1" s="6" t="s">
        <v>269</v>
      </c>
      <c r="K1" s="6" t="s">
        <v>270</v>
      </c>
      <c r="L1" s="6" t="s">
        <v>271</v>
      </c>
      <c r="M1" s="6" t="s">
        <v>272</v>
      </c>
      <c r="N1" s="6" t="s">
        <v>273</v>
      </c>
      <c r="O1" s="6" t="s">
        <v>274</v>
      </c>
      <c r="P1" s="6" t="s">
        <v>275</v>
      </c>
      <c r="Q1" s="6" t="s">
        <v>276</v>
      </c>
      <c r="R1" s="6" t="s">
        <v>277</v>
      </c>
      <c r="S1" s="6" t="s">
        <v>278</v>
      </c>
      <c r="T1" s="6" t="s">
        <v>279</v>
      </c>
      <c r="U1" s="6" t="s">
        <v>280</v>
      </c>
    </row>
    <row r="2" customFormat="false" ht="15" hidden="false" customHeight="false" outlineLevel="0" collapsed="false">
      <c r="A2" s="12" t="n">
        <v>1</v>
      </c>
      <c r="B2" s="12" t="s">
        <v>42</v>
      </c>
      <c r="C2" s="12" t="s">
        <v>50</v>
      </c>
      <c r="D2" s="12" t="s">
        <v>51</v>
      </c>
      <c r="E2" s="12" t="s">
        <v>281</v>
      </c>
      <c r="F2" s="12" t="s">
        <v>27</v>
      </c>
      <c r="G2" s="12" t="n">
        <v>323</v>
      </c>
      <c r="H2" s="12" t="n">
        <v>341.785</v>
      </c>
      <c r="I2" s="12" t="s">
        <v>282</v>
      </c>
      <c r="J2" s="12" t="n">
        <v>1</v>
      </c>
      <c r="K2" s="12" t="n">
        <v>1</v>
      </c>
      <c r="L2" s="28" t="n">
        <v>1</v>
      </c>
      <c r="M2" s="12" t="n">
        <f aca="false">IF(L2=1,COUNTIFS($C$2:$C$1090,C2,$L$2:$L$1090,1),"")</f>
        <v>11</v>
      </c>
      <c r="N2" s="12" t="n">
        <f aca="false">IF(L2=1,1+COUNTIFS($C$2:$C$1090,C2,$L$2:$L$1090,1,$G$2:$G$1090,"&gt;"&amp;G2),"")</f>
        <v>1</v>
      </c>
      <c r="O2" s="12" t="n">
        <f aca="false">IF(L2=1,1+COUNTIFS($C$2:$C$1090,C2,$L$2:$L$1090,1,$H$2:$H$1090,"&gt;"&amp;H2),"")</f>
        <v>1</v>
      </c>
      <c r="P2" s="12" t="n">
        <f aca="false">IF(L2=1,N2-O2,"")</f>
        <v>0</v>
      </c>
      <c r="Q2" s="12" t="n">
        <f aca="false">INDEX(Directions!$D$2:$D$100,MATCH(C2,Directions!$A$2:$A$100,0))</f>
        <v>0</v>
      </c>
      <c r="R2" s="12" t="n">
        <f aca="false">IF(L2=1,P2*Q2,"")</f>
        <v>0</v>
      </c>
      <c r="S2" s="12" t="str">
        <f aca="false">IF(L2&lt;&gt;1,"Excluded",IF(Q2=0,"No direction",IF(R2&gt;0,"Better",IF(R2&lt;0,"Worse","No change"))))</f>
        <v>No direction</v>
      </c>
      <c r="T2" s="12"/>
      <c r="U2" s="12" t="str">
        <f aca="false">C2&amp;"|"&amp;E2</f>
        <v>F1_01|USA</v>
      </c>
    </row>
    <row r="3" customFormat="false" ht="15" hidden="false" customHeight="false" outlineLevel="0" collapsed="false">
      <c r="A3" s="12" t="n">
        <v>1</v>
      </c>
      <c r="B3" s="12" t="s">
        <v>42</v>
      </c>
      <c r="C3" s="12" t="s">
        <v>50</v>
      </c>
      <c r="D3" s="12" t="s">
        <v>51</v>
      </c>
      <c r="E3" s="12" t="s">
        <v>283</v>
      </c>
      <c r="F3" s="12" t="s">
        <v>28</v>
      </c>
      <c r="G3" s="12" t="n">
        <v>66</v>
      </c>
      <c r="H3" s="12" t="n">
        <v>69.487</v>
      </c>
      <c r="I3" s="12" t="s">
        <v>282</v>
      </c>
      <c r="J3" s="12" t="n">
        <v>4</v>
      </c>
      <c r="K3" s="12" t="n">
        <v>4</v>
      </c>
      <c r="L3" s="28" t="n">
        <v>1</v>
      </c>
      <c r="M3" s="12" t="n">
        <f aca="false">IF(L3=1,COUNTIFS($C$2:$C$1090,C3,$L$2:$L$1090,1),"")</f>
        <v>11</v>
      </c>
      <c r="N3" s="12" t="n">
        <f aca="false">IF(L3=1,1+COUNTIFS($C$2:$C$1090,C3,$L$2:$L$1090,1,$G$2:$G$1090,"&gt;"&amp;G3),"")</f>
        <v>4</v>
      </c>
      <c r="O3" s="12" t="n">
        <f aca="false">IF(L3=1,1+COUNTIFS($C$2:$C$1090,C3,$L$2:$L$1090,1,$H$2:$H$1090,"&gt;"&amp;H3),"")</f>
        <v>4</v>
      </c>
      <c r="P3" s="12" t="n">
        <f aca="false">IF(L3=1,N3-O3,"")</f>
        <v>0</v>
      </c>
      <c r="Q3" s="12" t="n">
        <f aca="false">INDEX(Directions!$D$2:$D$100,MATCH(C3,Directions!$A$2:$A$100,0))</f>
        <v>0</v>
      </c>
      <c r="R3" s="12" t="n">
        <f aca="false">IF(L3=1,P3*Q3,"")</f>
        <v>0</v>
      </c>
      <c r="S3" s="12" t="str">
        <f aca="false">IF(L3&lt;&gt;1,"Excluded",IF(Q3=0,"No direction",IF(R3&gt;0,"Better",IF(R3&lt;0,"Worse","No change"))))</f>
        <v>No direction</v>
      </c>
      <c r="T3" s="12"/>
      <c r="U3" s="12" t="str">
        <f aca="false">C3&amp;"|"&amp;E3</f>
        <v>F1_01|GBR</v>
      </c>
    </row>
    <row r="4" customFormat="false" ht="15" hidden="false" customHeight="false" outlineLevel="0" collapsed="false">
      <c r="A4" s="12" t="n">
        <v>1</v>
      </c>
      <c r="B4" s="12" t="s">
        <v>42</v>
      </c>
      <c r="C4" s="12" t="s">
        <v>50</v>
      </c>
      <c r="D4" s="12" t="s">
        <v>51</v>
      </c>
      <c r="E4" s="12" t="s">
        <v>284</v>
      </c>
      <c r="F4" s="12" t="s">
        <v>29</v>
      </c>
      <c r="G4" s="12" t="n">
        <v>83</v>
      </c>
      <c r="H4" s="12" t="n">
        <v>83.491</v>
      </c>
      <c r="I4" s="12" t="s">
        <v>282</v>
      </c>
      <c r="J4" s="12" t="n">
        <v>3</v>
      </c>
      <c r="K4" s="12" t="n">
        <v>3</v>
      </c>
      <c r="L4" s="28" t="n">
        <v>1</v>
      </c>
      <c r="M4" s="12" t="n">
        <f aca="false">IF(L4=1,COUNTIFS($C$2:$C$1090,C4,$L$2:$L$1090,1),"")</f>
        <v>11</v>
      </c>
      <c r="N4" s="12" t="n">
        <f aca="false">IF(L4=1,1+COUNTIFS($C$2:$C$1090,C4,$L$2:$L$1090,1,$G$2:$G$1090,"&gt;"&amp;G4),"")</f>
        <v>3</v>
      </c>
      <c r="O4" s="12" t="n">
        <f aca="false">IF(L4=1,1+COUNTIFS($C$2:$C$1090,C4,$L$2:$L$1090,1,$H$2:$H$1090,"&gt;"&amp;H4),"")</f>
        <v>3</v>
      </c>
      <c r="P4" s="12" t="n">
        <f aca="false">IF(L4=1,N4-O4,"")</f>
        <v>0</v>
      </c>
      <c r="Q4" s="12" t="n">
        <f aca="false">INDEX(Directions!$D$2:$D$100,MATCH(C4,Directions!$A$2:$A$100,0))</f>
        <v>0</v>
      </c>
      <c r="R4" s="12" t="n">
        <f aca="false">IF(L4=1,P4*Q4,"")</f>
        <v>0</v>
      </c>
      <c r="S4" s="12" t="str">
        <f aca="false">IF(L4&lt;&gt;1,"Excluded",IF(Q4=0,"No direction",IF(R4&gt;0,"Better",IF(R4&lt;0,"Worse","No change"))))</f>
        <v>No direction</v>
      </c>
      <c r="T4" s="12"/>
      <c r="U4" s="12" t="str">
        <f aca="false">C4&amp;"|"&amp;E4</f>
        <v>F1_01|DEU</v>
      </c>
    </row>
    <row r="5" customFormat="false" ht="15" hidden="false" customHeight="false" outlineLevel="0" collapsed="false">
      <c r="A5" s="12" t="n">
        <v>1</v>
      </c>
      <c r="B5" s="12" t="s">
        <v>42</v>
      </c>
      <c r="C5" s="12" t="s">
        <v>50</v>
      </c>
      <c r="D5" s="12" t="s">
        <v>51</v>
      </c>
      <c r="E5" s="12" t="s">
        <v>285</v>
      </c>
      <c r="F5" s="12" t="s">
        <v>30</v>
      </c>
      <c r="G5" s="12" t="n">
        <v>10</v>
      </c>
      <c r="H5" s="12" t="n">
        <v>10.597</v>
      </c>
      <c r="I5" s="12" t="s">
        <v>282</v>
      </c>
      <c r="J5" s="12" t="n">
        <v>9</v>
      </c>
      <c r="K5" s="12" t="n">
        <v>9</v>
      </c>
      <c r="L5" s="28" t="n">
        <v>1</v>
      </c>
      <c r="M5" s="12" t="n">
        <f aca="false">IF(L5=1,COUNTIFS($C$2:$C$1090,C5,$L$2:$L$1090,1),"")</f>
        <v>11</v>
      </c>
      <c r="N5" s="12" t="n">
        <f aca="false">IF(L5=1,1+COUNTIFS($C$2:$C$1090,C5,$L$2:$L$1090,1,$G$2:$G$1090,"&gt;"&amp;G5),"")</f>
        <v>9</v>
      </c>
      <c r="O5" s="12" t="n">
        <f aca="false">IF(L5=1,1+COUNTIFS($C$2:$C$1090,C5,$L$2:$L$1090,1,$H$2:$H$1090,"&gt;"&amp;H5),"")</f>
        <v>9</v>
      </c>
      <c r="P5" s="12" t="n">
        <f aca="false">IF(L5=1,N5-O5,"")</f>
        <v>0</v>
      </c>
      <c r="Q5" s="12" t="n">
        <f aca="false">INDEX(Directions!$D$2:$D$100,MATCH(C5,Directions!$A$2:$A$100,0))</f>
        <v>0</v>
      </c>
      <c r="R5" s="12" t="n">
        <f aca="false">IF(L5=1,P5*Q5,"")</f>
        <v>0</v>
      </c>
      <c r="S5" s="12" t="str">
        <f aca="false">IF(L5&lt;&gt;1,"Excluded",IF(Q5=0,"No direction",IF(R5&gt;0,"Better",IF(R5&lt;0,"Worse","No change"))))</f>
        <v>No direction</v>
      </c>
      <c r="T5" s="12"/>
      <c r="U5" s="12" t="str">
        <f aca="false">C5&amp;"|"&amp;E5</f>
        <v>F1_01|SWE</v>
      </c>
    </row>
    <row r="6" customFormat="false" ht="15" hidden="false" customHeight="false" outlineLevel="0" collapsed="false">
      <c r="A6" s="12" t="n">
        <v>1</v>
      </c>
      <c r="B6" s="12" t="s">
        <v>42</v>
      </c>
      <c r="C6" s="12" t="s">
        <v>50</v>
      </c>
      <c r="D6" s="12" t="s">
        <v>51</v>
      </c>
      <c r="E6" s="12" t="s">
        <v>286</v>
      </c>
      <c r="F6" s="12" t="s">
        <v>31</v>
      </c>
      <c r="G6" s="12" t="n">
        <v>64</v>
      </c>
      <c r="H6" s="12" t="n">
        <v>68.72</v>
      </c>
      <c r="I6" s="12" t="s">
        <v>282</v>
      </c>
      <c r="J6" s="12" t="n">
        <v>5</v>
      </c>
      <c r="K6" s="12" t="n">
        <v>5</v>
      </c>
      <c r="L6" s="28" t="n">
        <v>1</v>
      </c>
      <c r="M6" s="12" t="n">
        <f aca="false">IF(L6=1,COUNTIFS($C$2:$C$1090,C6,$L$2:$L$1090,1),"")</f>
        <v>11</v>
      </c>
      <c r="N6" s="12" t="n">
        <f aca="false">IF(L6=1,1+COUNTIFS($C$2:$C$1090,C6,$L$2:$L$1090,1,$G$2:$G$1090,"&gt;"&amp;G6),"")</f>
        <v>5</v>
      </c>
      <c r="O6" s="12" t="n">
        <f aca="false">IF(L6=1,1+COUNTIFS($C$2:$C$1090,C6,$L$2:$L$1090,1,$H$2:$H$1090,"&gt;"&amp;H6),"")</f>
        <v>5</v>
      </c>
      <c r="P6" s="12" t="n">
        <f aca="false">IF(L6=1,N6-O6,"")</f>
        <v>0</v>
      </c>
      <c r="Q6" s="12" t="n">
        <f aca="false">INDEX(Directions!$D$2:$D$100,MATCH(C6,Directions!$A$2:$A$100,0))</f>
        <v>0</v>
      </c>
      <c r="R6" s="12" t="n">
        <f aca="false">IF(L6=1,P6*Q6,"")</f>
        <v>0</v>
      </c>
      <c r="S6" s="12" t="str">
        <f aca="false">IF(L6&lt;&gt;1,"Excluded",IF(Q6=0,"No direction",IF(R6&gt;0,"Better",IF(R6&lt;0,"Worse","No change"))))</f>
        <v>No direction</v>
      </c>
      <c r="T6" s="12"/>
      <c r="U6" s="12" t="str">
        <f aca="false">C6&amp;"|"&amp;E6</f>
        <v>F1_01|FRA</v>
      </c>
    </row>
    <row r="7" customFormat="false" ht="15" hidden="false" customHeight="false" outlineLevel="0" collapsed="false">
      <c r="A7" s="12" t="n">
        <v>1</v>
      </c>
      <c r="B7" s="12" t="s">
        <v>42</v>
      </c>
      <c r="C7" s="12" t="s">
        <v>50</v>
      </c>
      <c r="D7" s="12" t="s">
        <v>51</v>
      </c>
      <c r="E7" s="12" t="s">
        <v>32</v>
      </c>
      <c r="F7" s="12" t="s">
        <v>32</v>
      </c>
      <c r="G7" s="12" t="n">
        <v>17</v>
      </c>
      <c r="H7" s="12" t="n">
        <v>18.088</v>
      </c>
      <c r="I7" s="12" t="s">
        <v>282</v>
      </c>
      <c r="J7" s="12" t="n">
        <v>8</v>
      </c>
      <c r="K7" s="12" t="n">
        <v>8</v>
      </c>
      <c r="L7" s="28" t="n">
        <v>1</v>
      </c>
      <c r="M7" s="12" t="n">
        <f aca="false">IF(L7=1,COUNTIFS($C$2:$C$1090,C7,$L$2:$L$1090,1),"")</f>
        <v>11</v>
      </c>
      <c r="N7" s="12" t="n">
        <f aca="false">IF(L7=1,1+COUNTIFS($C$2:$C$1090,C7,$L$2:$L$1090,1,$G$2:$G$1090,"&gt;"&amp;G7),"")</f>
        <v>8</v>
      </c>
      <c r="O7" s="12" t="n">
        <f aca="false">IF(L7=1,1+COUNTIFS($C$2:$C$1090,C7,$L$2:$L$1090,1,$H$2:$H$1090,"&gt;"&amp;H7),"")</f>
        <v>8</v>
      </c>
      <c r="P7" s="12" t="n">
        <f aca="false">IF(L7=1,N7-O7,"")</f>
        <v>0</v>
      </c>
      <c r="Q7" s="12" t="n">
        <f aca="false">INDEX(Directions!$D$2:$D$100,MATCH(C7,Directions!$A$2:$A$100,0))</f>
        <v>0</v>
      </c>
      <c r="R7" s="12" t="n">
        <f aca="false">IF(L7=1,P7*Q7,"")</f>
        <v>0</v>
      </c>
      <c r="S7" s="12" t="str">
        <f aca="false">IF(L7&lt;&gt;1,"Excluded",IF(Q7=0,"No direction",IF(R7&gt;0,"Better",IF(R7&lt;0,"Worse","No change"))))</f>
        <v>No direction</v>
      </c>
      <c r="T7" s="12"/>
      <c r="U7" s="12" t="str">
        <f aca="false">C7&amp;"|"&amp;E7</f>
        <v>F1_01|NLD</v>
      </c>
    </row>
    <row r="8" customFormat="false" ht="15" hidden="false" customHeight="false" outlineLevel="0" collapsed="false">
      <c r="A8" s="12" t="n">
        <v>1</v>
      </c>
      <c r="B8" s="12" t="s">
        <v>42</v>
      </c>
      <c r="C8" s="12" t="s">
        <v>50</v>
      </c>
      <c r="D8" s="12" t="s">
        <v>51</v>
      </c>
      <c r="E8" s="12" t="s">
        <v>33</v>
      </c>
      <c r="F8" s="12" t="s">
        <v>33</v>
      </c>
      <c r="G8" s="12" t="n">
        <v>8</v>
      </c>
      <c r="H8" s="12" t="n">
        <v>9.092</v>
      </c>
      <c r="I8" s="12" t="s">
        <v>282</v>
      </c>
      <c r="J8" s="12" t="n">
        <v>10</v>
      </c>
      <c r="K8" s="12" t="n">
        <v>10</v>
      </c>
      <c r="L8" s="28" t="n">
        <v>1</v>
      </c>
      <c r="M8" s="12" t="n">
        <f aca="false">IF(L8=1,COUNTIFS($C$2:$C$1090,C8,$L$2:$L$1090,1),"")</f>
        <v>11</v>
      </c>
      <c r="N8" s="12" t="n">
        <f aca="false">IF(L8=1,1+COUNTIFS($C$2:$C$1090,C8,$L$2:$L$1090,1,$G$2:$G$1090,"&gt;"&amp;G8),"")</f>
        <v>10</v>
      </c>
      <c r="O8" s="12" t="n">
        <f aca="false">IF(L8=1,1+COUNTIFS($C$2:$C$1090,C8,$L$2:$L$1090,1,$H$2:$H$1090,"&gt;"&amp;H8),"")</f>
        <v>10</v>
      </c>
      <c r="P8" s="12" t="n">
        <f aca="false">IF(L8=1,N8-O8,"")</f>
        <v>0</v>
      </c>
      <c r="Q8" s="12" t="n">
        <f aca="false">INDEX(Directions!$D$2:$D$100,MATCH(C8,Directions!$A$2:$A$100,0))</f>
        <v>0</v>
      </c>
      <c r="R8" s="12" t="n">
        <f aca="false">IF(L8=1,P8*Q8,"")</f>
        <v>0</v>
      </c>
      <c r="S8" s="12" t="str">
        <f aca="false">IF(L8&lt;&gt;1,"Excluded",IF(Q8=0,"No direction",IF(R8&gt;0,"Better",IF(R8&lt;0,"Worse","No change"))))</f>
        <v>No direction</v>
      </c>
      <c r="T8" s="12"/>
      <c r="U8" s="12" t="str">
        <f aca="false">C8&amp;"|"&amp;E8</f>
        <v>F1_01|CHE</v>
      </c>
    </row>
    <row r="9" customFormat="false" ht="15" hidden="false" customHeight="false" outlineLevel="0" collapsed="false">
      <c r="A9" s="12" t="n">
        <v>1</v>
      </c>
      <c r="B9" s="12" t="s">
        <v>42</v>
      </c>
      <c r="C9" s="12" t="s">
        <v>50</v>
      </c>
      <c r="D9" s="12" t="s">
        <v>51</v>
      </c>
      <c r="E9" s="12" t="s">
        <v>287</v>
      </c>
      <c r="F9" s="12" t="s">
        <v>34</v>
      </c>
      <c r="G9" s="12" t="n">
        <v>6</v>
      </c>
      <c r="H9" s="12" t="n">
        <v>6.009</v>
      </c>
      <c r="I9" s="12" t="s">
        <v>282</v>
      </c>
      <c r="J9" s="12" t="n">
        <v>11</v>
      </c>
      <c r="K9" s="12" t="n">
        <v>11</v>
      </c>
      <c r="L9" s="28" t="n">
        <v>1</v>
      </c>
      <c r="M9" s="12" t="n">
        <f aca="false">IF(L9=1,COUNTIFS($C$2:$C$1090,C9,$L$2:$L$1090,1),"")</f>
        <v>11</v>
      </c>
      <c r="N9" s="12" t="n">
        <f aca="false">IF(L9=1,1+COUNTIFS($C$2:$C$1090,C9,$L$2:$L$1090,1,$G$2:$G$1090,"&gt;"&amp;G9),"")</f>
        <v>11</v>
      </c>
      <c r="O9" s="12" t="n">
        <f aca="false">IF(L9=1,1+COUNTIFS($C$2:$C$1090,C9,$L$2:$L$1090,1,$H$2:$H$1090,"&gt;"&amp;H9),"")</f>
        <v>11</v>
      </c>
      <c r="P9" s="12" t="n">
        <f aca="false">IF(L9=1,N9-O9,"")</f>
        <v>0</v>
      </c>
      <c r="Q9" s="12" t="n">
        <f aca="false">INDEX(Directions!$D$2:$D$100,MATCH(C9,Directions!$A$2:$A$100,0))</f>
        <v>0</v>
      </c>
      <c r="R9" s="12" t="n">
        <f aca="false">IF(L9=1,P9*Q9,"")</f>
        <v>0</v>
      </c>
      <c r="S9" s="12" t="str">
        <f aca="false">IF(L9&lt;&gt;1,"Excluded",IF(Q9=0,"No direction",IF(R9&gt;0,"Better",IF(R9&lt;0,"Worse","No change"))))</f>
        <v>No direction</v>
      </c>
      <c r="T9" s="12"/>
      <c r="U9" s="12" t="str">
        <f aca="false">C9&amp;"|"&amp;E9</f>
        <v>F1_01|DNK</v>
      </c>
    </row>
    <row r="10" customFormat="false" ht="15" hidden="false" customHeight="false" outlineLevel="0" collapsed="false">
      <c r="A10" s="12" t="n">
        <v>1</v>
      </c>
      <c r="B10" s="12" t="s">
        <v>42</v>
      </c>
      <c r="C10" s="12" t="s">
        <v>50</v>
      </c>
      <c r="D10" s="12" t="s">
        <v>51</v>
      </c>
      <c r="E10" s="12" t="s">
        <v>288</v>
      </c>
      <c r="F10" s="12" t="s">
        <v>35</v>
      </c>
      <c r="G10" s="12" t="n">
        <v>36</v>
      </c>
      <c r="H10" s="12" t="n">
        <v>41.652</v>
      </c>
      <c r="I10" s="12" t="s">
        <v>282</v>
      </c>
      <c r="J10" s="12" t="n">
        <v>6</v>
      </c>
      <c r="K10" s="12" t="n">
        <v>6</v>
      </c>
      <c r="L10" s="28" t="n">
        <v>1</v>
      </c>
      <c r="M10" s="12" t="n">
        <f aca="false">IF(L10=1,COUNTIFS($C$2:$C$1090,C10,$L$2:$L$1090,1),"")</f>
        <v>11</v>
      </c>
      <c r="N10" s="12" t="n">
        <f aca="false">IF(L10=1,1+COUNTIFS($C$2:$C$1090,C10,$L$2:$L$1090,1,$G$2:$G$1090,"&gt;"&amp;G10),"")</f>
        <v>6</v>
      </c>
      <c r="O10" s="12" t="n">
        <f aca="false">IF(L10=1,1+COUNTIFS($C$2:$C$1090,C10,$L$2:$L$1090,1,$H$2:$H$1090,"&gt;"&amp;H10),"")</f>
        <v>6</v>
      </c>
      <c r="P10" s="12" t="n">
        <f aca="false">IF(L10=1,N10-O10,"")</f>
        <v>0</v>
      </c>
      <c r="Q10" s="12" t="n">
        <f aca="false">INDEX(Directions!$D$2:$D$100,MATCH(C10,Directions!$A$2:$A$100,0))</f>
        <v>0</v>
      </c>
      <c r="R10" s="12" t="n">
        <f aca="false">IF(L10=1,P10*Q10,"")</f>
        <v>0</v>
      </c>
      <c r="S10" s="12" t="str">
        <f aca="false">IF(L10&lt;&gt;1,"Excluded",IF(Q10=0,"No direction",IF(R10&gt;0,"Better",IF(R10&lt;0,"Worse","No change"))))</f>
        <v>No direction</v>
      </c>
      <c r="T10" s="12"/>
      <c r="U10" s="12" t="str">
        <f aca="false">C10&amp;"|"&amp;E10</f>
        <v>F1_01|CAN</v>
      </c>
    </row>
    <row r="11" customFormat="false" ht="15" hidden="false" customHeight="false" outlineLevel="0" collapsed="false">
      <c r="A11" s="12" t="n">
        <v>1</v>
      </c>
      <c r="B11" s="12" t="s">
        <v>42</v>
      </c>
      <c r="C11" s="12" t="s">
        <v>50</v>
      </c>
      <c r="D11" s="12" t="s">
        <v>51</v>
      </c>
      <c r="E11" s="12" t="s">
        <v>289</v>
      </c>
      <c r="F11" s="12" t="s">
        <v>36</v>
      </c>
      <c r="G11" s="12" t="n">
        <v>127</v>
      </c>
      <c r="H11" s="12" t="n">
        <v>123.367</v>
      </c>
      <c r="I11" s="12" t="s">
        <v>282</v>
      </c>
      <c r="J11" s="12" t="n">
        <v>2</v>
      </c>
      <c r="K11" s="12" t="n">
        <v>2</v>
      </c>
      <c r="L11" s="28" t="n">
        <v>1</v>
      </c>
      <c r="M11" s="12" t="n">
        <f aca="false">IF(L11=1,COUNTIFS($C$2:$C$1090,C11,$L$2:$L$1090,1),"")</f>
        <v>11</v>
      </c>
      <c r="N11" s="12" t="n">
        <f aca="false">IF(L11=1,1+COUNTIFS($C$2:$C$1090,C11,$L$2:$L$1090,1,$G$2:$G$1090,"&gt;"&amp;G11),"")</f>
        <v>2</v>
      </c>
      <c r="O11" s="12" t="n">
        <f aca="false">IF(L11=1,1+COUNTIFS($C$2:$C$1090,C11,$L$2:$L$1090,1,$H$2:$H$1090,"&gt;"&amp;H11),"")</f>
        <v>2</v>
      </c>
      <c r="P11" s="12" t="n">
        <f aca="false">IF(L11=1,N11-O11,"")</f>
        <v>0</v>
      </c>
      <c r="Q11" s="12" t="n">
        <f aca="false">INDEX(Directions!$D$2:$D$100,MATCH(C11,Directions!$A$2:$A$100,0))</f>
        <v>0</v>
      </c>
      <c r="R11" s="12" t="n">
        <f aca="false">IF(L11=1,P11*Q11,"")</f>
        <v>0</v>
      </c>
      <c r="S11" s="12" t="str">
        <f aca="false">IF(L11&lt;&gt;1,"Excluded",IF(Q11=0,"No direction",IF(R11&gt;0,"Better",IF(R11&lt;0,"Worse","No change"))))</f>
        <v>No direction</v>
      </c>
      <c r="T11" s="12"/>
      <c r="U11" s="12" t="str">
        <f aca="false">C11&amp;"|"&amp;E11</f>
        <v>F1_01|JPN</v>
      </c>
    </row>
    <row r="12" customFormat="false" ht="15" hidden="false" customHeight="false" outlineLevel="0" collapsed="false">
      <c r="A12" s="12" t="n">
        <v>1</v>
      </c>
      <c r="B12" s="12" t="s">
        <v>42</v>
      </c>
      <c r="C12" s="12" t="s">
        <v>50</v>
      </c>
      <c r="D12" s="12" t="s">
        <v>51</v>
      </c>
      <c r="E12" s="12" t="s">
        <v>290</v>
      </c>
      <c r="F12" s="12" t="s">
        <v>37</v>
      </c>
      <c r="G12" s="12" t="n">
        <v>24</v>
      </c>
      <c r="H12" s="12" t="n">
        <v>27.614</v>
      </c>
      <c r="I12" s="12" t="s">
        <v>282</v>
      </c>
      <c r="J12" s="12" t="n">
        <v>7</v>
      </c>
      <c r="K12" s="12" t="n">
        <v>7</v>
      </c>
      <c r="L12" s="28" t="n">
        <v>1</v>
      </c>
      <c r="M12" s="12" t="n">
        <f aca="false">IF(L12=1,COUNTIFS($C$2:$C$1090,C12,$L$2:$L$1090,1),"")</f>
        <v>11</v>
      </c>
      <c r="N12" s="12" t="n">
        <f aca="false">IF(L12=1,1+COUNTIFS($C$2:$C$1090,C12,$L$2:$L$1090,1,$G$2:$G$1090,"&gt;"&amp;G12),"")</f>
        <v>7</v>
      </c>
      <c r="O12" s="12" t="n">
        <f aca="false">IF(L12=1,1+COUNTIFS($C$2:$C$1090,C12,$L$2:$L$1090,1,$H$2:$H$1090,"&gt;"&amp;H12),"")</f>
        <v>7</v>
      </c>
      <c r="P12" s="12" t="n">
        <f aca="false">IF(L12=1,N12-O12,"")</f>
        <v>0</v>
      </c>
      <c r="Q12" s="12" t="n">
        <f aca="false">INDEX(Directions!$D$2:$D$100,MATCH(C12,Directions!$A$2:$A$100,0))</f>
        <v>0</v>
      </c>
      <c r="R12" s="12" t="n">
        <f aca="false">IF(L12=1,P12*Q12,"")</f>
        <v>0</v>
      </c>
      <c r="S12" s="12" t="str">
        <f aca="false">IF(L12&lt;&gt;1,"Excluded",IF(Q12=0,"No direction",IF(R12&gt;0,"Better",IF(R12&lt;0,"Worse","No change"))))</f>
        <v>No direction</v>
      </c>
      <c r="T12" s="12"/>
      <c r="U12" s="12" t="str">
        <f aca="false">C12&amp;"|"&amp;E12</f>
        <v>F1_01|AUS</v>
      </c>
    </row>
    <row r="13" customFormat="false" ht="15" hidden="false" customHeight="false" outlineLevel="0" collapsed="false">
      <c r="A13" s="12" t="n">
        <v>1</v>
      </c>
      <c r="B13" s="12" t="s">
        <v>42</v>
      </c>
      <c r="C13" s="12" t="s">
        <v>53</v>
      </c>
      <c r="D13" s="12" t="s">
        <v>54</v>
      </c>
      <c r="E13" s="12" t="s">
        <v>281</v>
      </c>
      <c r="F13" s="12" t="s">
        <v>27</v>
      </c>
      <c r="G13" s="12" t="n">
        <v>14.5</v>
      </c>
      <c r="H13" s="12" t="n">
        <v>18.9</v>
      </c>
      <c r="I13" s="12" t="s">
        <v>282</v>
      </c>
      <c r="J13" s="12" t="n">
        <v>11</v>
      </c>
      <c r="K13" s="12" t="n">
        <v>10</v>
      </c>
      <c r="L13" s="28" t="n">
        <v>1</v>
      </c>
      <c r="M13" s="12" t="n">
        <f aca="false">IF(L13=1,COUNTIFS($C$2:$C$1090,C13,$L$2:$L$1090,1),"")</f>
        <v>11</v>
      </c>
      <c r="N13" s="12" t="n">
        <f aca="false">IF(L13=1,1+COUNTIFS($C$2:$C$1090,C13,$L$2:$L$1090,1,$G$2:$G$1090,"&gt;"&amp;G13),"")</f>
        <v>11</v>
      </c>
      <c r="O13" s="12" t="n">
        <f aca="false">IF(L13=1,1+COUNTIFS($C$2:$C$1090,C13,$L$2:$L$1090,1,$H$2:$H$1090,"&gt;"&amp;H13),"")</f>
        <v>10</v>
      </c>
      <c r="P13" s="12" t="n">
        <f aca="false">IF(L13=1,N13-O13,"")</f>
        <v>1</v>
      </c>
      <c r="Q13" s="12" t="n">
        <f aca="false">INDEX(Directions!$D$2:$D$100,MATCH(C13,Directions!$A$2:$A$100,0))</f>
        <v>0</v>
      </c>
      <c r="R13" s="12" t="n">
        <f aca="false">IF(L13=1,P13*Q13,"")</f>
        <v>0</v>
      </c>
      <c r="S13" s="12" t="str">
        <f aca="false">IF(L13&lt;&gt;1,"Excluded",IF(Q13=0,"No direction",IF(R13&gt;0,"Better",IF(R13&lt;0,"Worse","No change"))))</f>
        <v>No direction</v>
      </c>
      <c r="T13" s="12"/>
      <c r="U13" s="12" t="str">
        <f aca="false">C13&amp;"|"&amp;E13</f>
        <v>F1_02|USA</v>
      </c>
    </row>
    <row r="14" customFormat="false" ht="15" hidden="false" customHeight="false" outlineLevel="0" collapsed="false">
      <c r="A14" s="12" t="n">
        <v>1</v>
      </c>
      <c r="B14" s="12" t="s">
        <v>42</v>
      </c>
      <c r="C14" s="12" t="s">
        <v>53</v>
      </c>
      <c r="D14" s="12" t="s">
        <v>54</v>
      </c>
      <c r="E14" s="12" t="s">
        <v>283</v>
      </c>
      <c r="F14" s="12" t="s">
        <v>28</v>
      </c>
      <c r="G14" s="12" t="n">
        <v>17.3</v>
      </c>
      <c r="H14" s="12" t="n">
        <v>19.3</v>
      </c>
      <c r="I14" s="12" t="s">
        <v>282</v>
      </c>
      <c r="J14" s="12" t="n">
        <v>7</v>
      </c>
      <c r="K14" s="12" t="n">
        <v>9</v>
      </c>
      <c r="L14" s="28" t="n">
        <v>1</v>
      </c>
      <c r="M14" s="12" t="n">
        <f aca="false">IF(L14=1,COUNTIFS($C$2:$C$1090,C14,$L$2:$L$1090,1),"")</f>
        <v>11</v>
      </c>
      <c r="N14" s="12" t="n">
        <f aca="false">IF(L14=1,1+COUNTIFS($C$2:$C$1090,C14,$L$2:$L$1090,1,$G$2:$G$1090,"&gt;"&amp;G14),"")</f>
        <v>7</v>
      </c>
      <c r="O14" s="12" t="n">
        <f aca="false">IF(L14=1,1+COUNTIFS($C$2:$C$1090,C14,$L$2:$L$1090,1,$H$2:$H$1090,"&gt;"&amp;H14),"")</f>
        <v>9</v>
      </c>
      <c r="P14" s="12" t="n">
        <f aca="false">IF(L14=1,N14-O14,"")</f>
        <v>-2</v>
      </c>
      <c r="Q14" s="12" t="n">
        <f aca="false">INDEX(Directions!$D$2:$D$100,MATCH(C14,Directions!$A$2:$A$100,0))</f>
        <v>0</v>
      </c>
      <c r="R14" s="12" t="n">
        <f aca="false">IF(L14=1,P14*Q14,"")</f>
        <v>-0</v>
      </c>
      <c r="S14" s="12" t="str">
        <f aca="false">IF(L14&lt;&gt;1,"Excluded",IF(Q14=0,"No direction",IF(R14&gt;0,"Better",IF(R14&lt;0,"Worse","No change"))))</f>
        <v>No direction</v>
      </c>
      <c r="T14" s="12"/>
      <c r="U14" s="12" t="str">
        <f aca="false">C14&amp;"|"&amp;E14</f>
        <v>F1_02|GBR</v>
      </c>
    </row>
    <row r="15" customFormat="false" ht="15" hidden="false" customHeight="false" outlineLevel="0" collapsed="false">
      <c r="A15" s="12" t="n">
        <v>1</v>
      </c>
      <c r="B15" s="12" t="s">
        <v>42</v>
      </c>
      <c r="C15" s="12" t="s">
        <v>53</v>
      </c>
      <c r="D15" s="12" t="s">
        <v>54</v>
      </c>
      <c r="E15" s="12" t="s">
        <v>284</v>
      </c>
      <c r="F15" s="12" t="s">
        <v>29</v>
      </c>
      <c r="G15" s="12" t="n">
        <v>21.4</v>
      </c>
      <c r="H15" s="12" t="n">
        <v>22.9</v>
      </c>
      <c r="I15" s="12" t="s">
        <v>282</v>
      </c>
      <c r="J15" s="12" t="n">
        <v>2</v>
      </c>
      <c r="K15" s="12" t="n">
        <v>2</v>
      </c>
      <c r="L15" s="28" t="n">
        <v>1</v>
      </c>
      <c r="M15" s="12" t="n">
        <f aca="false">IF(L15=1,COUNTIFS($C$2:$C$1090,C15,$L$2:$L$1090,1),"")</f>
        <v>11</v>
      </c>
      <c r="N15" s="12" t="n">
        <f aca="false">IF(L15=1,1+COUNTIFS($C$2:$C$1090,C15,$L$2:$L$1090,1,$G$2:$G$1090,"&gt;"&amp;G15),"")</f>
        <v>2</v>
      </c>
      <c r="O15" s="12" t="n">
        <f aca="false">IF(L15=1,1+COUNTIFS($C$2:$C$1090,C15,$L$2:$L$1090,1,$H$2:$H$1090,"&gt;"&amp;H15),"")</f>
        <v>2</v>
      </c>
      <c r="P15" s="12" t="n">
        <f aca="false">IF(L15=1,N15-O15,"")</f>
        <v>0</v>
      </c>
      <c r="Q15" s="12" t="n">
        <f aca="false">INDEX(Directions!$D$2:$D$100,MATCH(C15,Directions!$A$2:$A$100,0))</f>
        <v>0</v>
      </c>
      <c r="R15" s="12" t="n">
        <f aca="false">IF(L15=1,P15*Q15,"")</f>
        <v>0</v>
      </c>
      <c r="S15" s="12" t="str">
        <f aca="false">IF(L15&lt;&gt;1,"Excluded",IF(Q15=0,"No direction",IF(R15&gt;0,"Better",IF(R15&lt;0,"Worse","No change"))))</f>
        <v>No direction</v>
      </c>
      <c r="T15" s="12"/>
      <c r="U15" s="12" t="str">
        <f aca="false">C15&amp;"|"&amp;E15</f>
        <v>F1_02|DEU</v>
      </c>
    </row>
    <row r="16" customFormat="false" ht="15" hidden="false" customHeight="false" outlineLevel="0" collapsed="false">
      <c r="A16" s="12" t="n">
        <v>1</v>
      </c>
      <c r="B16" s="12" t="s">
        <v>42</v>
      </c>
      <c r="C16" s="12" t="s">
        <v>53</v>
      </c>
      <c r="D16" s="12" t="s">
        <v>54</v>
      </c>
      <c r="E16" s="12" t="s">
        <v>285</v>
      </c>
      <c r="F16" s="12" t="s">
        <v>30</v>
      </c>
      <c r="G16" s="12" t="n">
        <v>19.9</v>
      </c>
      <c r="H16" s="12" t="n">
        <v>21.5</v>
      </c>
      <c r="I16" s="12" t="s">
        <v>282</v>
      </c>
      <c r="J16" s="12" t="n">
        <v>3</v>
      </c>
      <c r="K16" s="12" t="n">
        <v>4</v>
      </c>
      <c r="L16" s="28" t="n">
        <v>1</v>
      </c>
      <c r="M16" s="12" t="n">
        <f aca="false">IF(L16=1,COUNTIFS($C$2:$C$1090,C16,$L$2:$L$1090,1),"")</f>
        <v>11</v>
      </c>
      <c r="N16" s="12" t="n">
        <f aca="false">IF(L16=1,1+COUNTIFS($C$2:$C$1090,C16,$L$2:$L$1090,1,$G$2:$G$1090,"&gt;"&amp;G16),"")</f>
        <v>3</v>
      </c>
      <c r="O16" s="12" t="n">
        <f aca="false">IF(L16=1,1+COUNTIFS($C$2:$C$1090,C16,$L$2:$L$1090,1,$H$2:$H$1090,"&gt;"&amp;H16),"")</f>
        <v>4</v>
      </c>
      <c r="P16" s="12" t="n">
        <f aca="false">IF(L16=1,N16-O16,"")</f>
        <v>-1</v>
      </c>
      <c r="Q16" s="12" t="n">
        <f aca="false">INDEX(Directions!$D$2:$D$100,MATCH(C16,Directions!$A$2:$A$100,0))</f>
        <v>0</v>
      </c>
      <c r="R16" s="12" t="n">
        <f aca="false">IF(L16=1,P16*Q16,"")</f>
        <v>-0</v>
      </c>
      <c r="S16" s="12" t="str">
        <f aca="false">IF(L16&lt;&gt;1,"Excluded",IF(Q16=0,"No direction",IF(R16&gt;0,"Better",IF(R16&lt;0,"Worse","No change"))))</f>
        <v>No direction</v>
      </c>
      <c r="T16" s="12"/>
      <c r="U16" s="12" t="str">
        <f aca="false">C16&amp;"|"&amp;E16</f>
        <v>F1_02|SWE</v>
      </c>
    </row>
    <row r="17" customFormat="false" ht="15" hidden="false" customHeight="false" outlineLevel="0" collapsed="false">
      <c r="A17" s="12" t="n">
        <v>1</v>
      </c>
      <c r="B17" s="12" t="s">
        <v>42</v>
      </c>
      <c r="C17" s="12" t="s">
        <v>53</v>
      </c>
      <c r="D17" s="12" t="s">
        <v>54</v>
      </c>
      <c r="E17" s="12" t="s">
        <v>286</v>
      </c>
      <c r="F17" s="12" t="s">
        <v>31</v>
      </c>
      <c r="G17" s="12" t="n">
        <v>18.2</v>
      </c>
      <c r="H17" s="12" t="n">
        <v>22</v>
      </c>
      <c r="I17" s="12" t="s">
        <v>282</v>
      </c>
      <c r="J17" s="12" t="n">
        <v>4</v>
      </c>
      <c r="K17" s="12" t="n">
        <v>3</v>
      </c>
      <c r="L17" s="28" t="n">
        <v>1</v>
      </c>
      <c r="M17" s="12" t="n">
        <f aca="false">IF(L17=1,COUNTIFS($C$2:$C$1090,C17,$L$2:$L$1090,1),"")</f>
        <v>11</v>
      </c>
      <c r="N17" s="12" t="n">
        <f aca="false">IF(L17=1,1+COUNTIFS($C$2:$C$1090,C17,$L$2:$L$1090,1,$G$2:$G$1090,"&gt;"&amp;G17),"")</f>
        <v>4</v>
      </c>
      <c r="O17" s="12" t="n">
        <f aca="false">IF(L17=1,1+COUNTIFS($C$2:$C$1090,C17,$L$2:$L$1090,1,$H$2:$H$1090,"&gt;"&amp;H17),"")</f>
        <v>3</v>
      </c>
      <c r="P17" s="12" t="n">
        <f aca="false">IF(L17=1,N17-O17,"")</f>
        <v>1</v>
      </c>
      <c r="Q17" s="12" t="n">
        <f aca="false">INDEX(Directions!$D$2:$D$100,MATCH(C17,Directions!$A$2:$A$100,0))</f>
        <v>0</v>
      </c>
      <c r="R17" s="12" t="n">
        <f aca="false">IF(L17=1,P17*Q17,"")</f>
        <v>0</v>
      </c>
      <c r="S17" s="12" t="str">
        <f aca="false">IF(L17&lt;&gt;1,"Excluded",IF(Q17=0,"No direction",IF(R17&gt;0,"Better",IF(R17&lt;0,"Worse","No change"))))</f>
        <v>No direction</v>
      </c>
      <c r="T17" s="12"/>
      <c r="U17" s="12" t="str">
        <f aca="false">C17&amp;"|"&amp;E17</f>
        <v>F1_02|FRA</v>
      </c>
    </row>
    <row r="18" customFormat="false" ht="15" hidden="false" customHeight="false" outlineLevel="0" collapsed="false">
      <c r="A18" s="12" t="n">
        <v>1</v>
      </c>
      <c r="B18" s="12" t="s">
        <v>42</v>
      </c>
      <c r="C18" s="12" t="s">
        <v>53</v>
      </c>
      <c r="D18" s="12" t="s">
        <v>54</v>
      </c>
      <c r="E18" s="12" t="s">
        <v>32</v>
      </c>
      <c r="F18" s="12" t="s">
        <v>32</v>
      </c>
      <c r="G18" s="12" t="n">
        <v>17.3</v>
      </c>
      <c r="H18" s="12" t="n">
        <v>21</v>
      </c>
      <c r="I18" s="12" t="s">
        <v>282</v>
      </c>
      <c r="J18" s="12" t="n">
        <v>8</v>
      </c>
      <c r="K18" s="12" t="n">
        <v>5</v>
      </c>
      <c r="L18" s="28" t="n">
        <v>1</v>
      </c>
      <c r="M18" s="12" t="n">
        <f aca="false">IF(L18=1,COUNTIFS($C$2:$C$1090,C18,$L$2:$L$1090,1),"")</f>
        <v>11</v>
      </c>
      <c r="N18" s="12" t="n">
        <f aca="false">IF(L18=1,1+COUNTIFS($C$2:$C$1090,C18,$L$2:$L$1090,1,$G$2:$G$1090,"&gt;"&amp;G18),"")</f>
        <v>7</v>
      </c>
      <c r="O18" s="12" t="n">
        <f aca="false">IF(L18=1,1+COUNTIFS($C$2:$C$1090,C18,$L$2:$L$1090,1,$H$2:$H$1090,"&gt;"&amp;H18),"")</f>
        <v>5</v>
      </c>
      <c r="P18" s="12" t="n">
        <f aca="false">IF(L18=1,N18-O18,"")</f>
        <v>2</v>
      </c>
      <c r="Q18" s="12" t="n">
        <f aca="false">INDEX(Directions!$D$2:$D$100,MATCH(C18,Directions!$A$2:$A$100,0))</f>
        <v>0</v>
      </c>
      <c r="R18" s="12" t="n">
        <f aca="false">IF(L18=1,P18*Q18,"")</f>
        <v>0</v>
      </c>
      <c r="S18" s="12" t="str">
        <f aca="false">IF(L18&lt;&gt;1,"Excluded",IF(Q18=0,"No direction",IF(R18&gt;0,"Better",IF(R18&lt;0,"Worse","No change"))))</f>
        <v>No direction</v>
      </c>
      <c r="T18" s="12"/>
      <c r="U18" s="12" t="str">
        <f aca="false">C18&amp;"|"&amp;E18</f>
        <v>F1_02|NLD</v>
      </c>
    </row>
    <row r="19" customFormat="false" ht="15" hidden="false" customHeight="false" outlineLevel="0" collapsed="false">
      <c r="A19" s="12" t="n">
        <v>1</v>
      </c>
      <c r="B19" s="12" t="s">
        <v>42</v>
      </c>
      <c r="C19" s="12" t="s">
        <v>53</v>
      </c>
      <c r="D19" s="12" t="s">
        <v>54</v>
      </c>
      <c r="E19" s="12" t="s">
        <v>33</v>
      </c>
      <c r="F19" s="12" t="s">
        <v>33</v>
      </c>
      <c r="G19" s="12" t="n">
        <v>17.5</v>
      </c>
      <c r="H19" s="12" t="n">
        <v>19.7</v>
      </c>
      <c r="I19" s="12" t="s">
        <v>282</v>
      </c>
      <c r="J19" s="12" t="n">
        <v>6</v>
      </c>
      <c r="K19" s="12" t="n">
        <v>7</v>
      </c>
      <c r="L19" s="28" t="n">
        <v>1</v>
      </c>
      <c r="M19" s="12" t="n">
        <f aca="false">IF(L19=1,COUNTIFS($C$2:$C$1090,C19,$L$2:$L$1090,1),"")</f>
        <v>11</v>
      </c>
      <c r="N19" s="12" t="n">
        <f aca="false">IF(L19=1,1+COUNTIFS($C$2:$C$1090,C19,$L$2:$L$1090,1,$G$2:$G$1090,"&gt;"&amp;G19),"")</f>
        <v>6</v>
      </c>
      <c r="O19" s="12" t="n">
        <f aca="false">IF(L19=1,1+COUNTIFS($C$2:$C$1090,C19,$L$2:$L$1090,1,$H$2:$H$1090,"&gt;"&amp;H19),"")</f>
        <v>7</v>
      </c>
      <c r="P19" s="12" t="n">
        <f aca="false">IF(L19=1,N19-O19,"")</f>
        <v>-1</v>
      </c>
      <c r="Q19" s="12" t="n">
        <f aca="false">INDEX(Directions!$D$2:$D$100,MATCH(C19,Directions!$A$2:$A$100,0))</f>
        <v>0</v>
      </c>
      <c r="R19" s="12" t="n">
        <f aca="false">IF(L19=1,P19*Q19,"")</f>
        <v>-0</v>
      </c>
      <c r="S19" s="12" t="str">
        <f aca="false">IF(L19&lt;&gt;1,"Excluded",IF(Q19=0,"No direction",IF(R19&gt;0,"Better",IF(R19&lt;0,"Worse","No change"))))</f>
        <v>No direction</v>
      </c>
      <c r="T19" s="12"/>
      <c r="U19" s="12" t="str">
        <f aca="false">C19&amp;"|"&amp;E19</f>
        <v>F1_02|CHE</v>
      </c>
    </row>
    <row r="20" customFormat="false" ht="15" hidden="false" customHeight="false" outlineLevel="0" collapsed="false">
      <c r="A20" s="12" t="n">
        <v>1</v>
      </c>
      <c r="B20" s="12" t="s">
        <v>42</v>
      </c>
      <c r="C20" s="12" t="s">
        <v>53</v>
      </c>
      <c r="D20" s="12" t="s">
        <v>54</v>
      </c>
      <c r="E20" s="12" t="s">
        <v>287</v>
      </c>
      <c r="F20" s="12" t="s">
        <v>34</v>
      </c>
      <c r="G20" s="12" t="n">
        <v>18.1</v>
      </c>
      <c r="H20" s="12" t="n">
        <v>21</v>
      </c>
      <c r="I20" s="12" t="s">
        <v>282</v>
      </c>
      <c r="J20" s="12" t="n">
        <v>5</v>
      </c>
      <c r="K20" s="12" t="n">
        <v>6</v>
      </c>
      <c r="L20" s="28" t="n">
        <v>1</v>
      </c>
      <c r="M20" s="12" t="n">
        <f aca="false">IF(L20=1,COUNTIFS($C$2:$C$1090,C20,$L$2:$L$1090,1),"")</f>
        <v>11</v>
      </c>
      <c r="N20" s="12" t="n">
        <f aca="false">IF(L20=1,1+COUNTIFS($C$2:$C$1090,C20,$L$2:$L$1090,1,$G$2:$G$1090,"&gt;"&amp;G20),"")</f>
        <v>5</v>
      </c>
      <c r="O20" s="12" t="n">
        <f aca="false">IF(L20=1,1+COUNTIFS($C$2:$C$1090,C20,$L$2:$L$1090,1,$H$2:$H$1090,"&gt;"&amp;H20),"")</f>
        <v>5</v>
      </c>
      <c r="P20" s="12" t="n">
        <f aca="false">IF(L20=1,N20-O20,"")</f>
        <v>0</v>
      </c>
      <c r="Q20" s="12" t="n">
        <f aca="false">INDEX(Directions!$D$2:$D$100,MATCH(C20,Directions!$A$2:$A$100,0))</f>
        <v>0</v>
      </c>
      <c r="R20" s="12" t="n">
        <f aca="false">IF(L20=1,P20*Q20,"")</f>
        <v>0</v>
      </c>
      <c r="S20" s="12" t="str">
        <f aca="false">IF(L20&lt;&gt;1,"Excluded",IF(Q20=0,"No direction",IF(R20&gt;0,"Better",IF(R20&lt;0,"Worse","No change"))))</f>
        <v>No direction</v>
      </c>
      <c r="T20" s="12"/>
      <c r="U20" s="12" t="str">
        <f aca="false">C20&amp;"|"&amp;E20</f>
        <v>F1_02|DNK</v>
      </c>
    </row>
    <row r="21" customFormat="false" ht="15" hidden="false" customHeight="false" outlineLevel="0" collapsed="false">
      <c r="A21" s="12" t="n">
        <v>1</v>
      </c>
      <c r="B21" s="12" t="s">
        <v>42</v>
      </c>
      <c r="C21" s="12" t="s">
        <v>53</v>
      </c>
      <c r="D21" s="12" t="s">
        <v>54</v>
      </c>
      <c r="E21" s="12" t="s">
        <v>288</v>
      </c>
      <c r="F21" s="12" t="s">
        <v>35</v>
      </c>
      <c r="G21" s="12" t="n">
        <v>15.7</v>
      </c>
      <c r="H21" s="12" t="n">
        <v>19.5</v>
      </c>
      <c r="I21" s="12" t="s">
        <v>282</v>
      </c>
      <c r="J21" s="12" t="n">
        <v>9</v>
      </c>
      <c r="K21" s="12" t="n">
        <v>8</v>
      </c>
      <c r="L21" s="28" t="n">
        <v>1</v>
      </c>
      <c r="M21" s="12" t="n">
        <f aca="false">IF(L21=1,COUNTIFS($C$2:$C$1090,C21,$L$2:$L$1090,1),"")</f>
        <v>11</v>
      </c>
      <c r="N21" s="12" t="n">
        <f aca="false">IF(L21=1,1+COUNTIFS($C$2:$C$1090,C21,$L$2:$L$1090,1,$G$2:$G$1090,"&gt;"&amp;G21),"")</f>
        <v>9</v>
      </c>
      <c r="O21" s="12" t="n">
        <f aca="false">IF(L21=1,1+COUNTIFS($C$2:$C$1090,C21,$L$2:$L$1090,1,$H$2:$H$1090,"&gt;"&amp;H21),"")</f>
        <v>8</v>
      </c>
      <c r="P21" s="12" t="n">
        <f aca="false">IF(L21=1,N21-O21,"")</f>
        <v>1</v>
      </c>
      <c r="Q21" s="12" t="n">
        <f aca="false">INDEX(Directions!$D$2:$D$100,MATCH(C21,Directions!$A$2:$A$100,0))</f>
        <v>0</v>
      </c>
      <c r="R21" s="12" t="n">
        <f aca="false">IF(L21=1,P21*Q21,"")</f>
        <v>0</v>
      </c>
      <c r="S21" s="12" t="str">
        <f aca="false">IF(L21&lt;&gt;1,"Excluded",IF(Q21=0,"No direction",IF(R21&gt;0,"Better",IF(R21&lt;0,"Worse","No change"))))</f>
        <v>No direction</v>
      </c>
      <c r="T21" s="12"/>
      <c r="U21" s="12" t="str">
        <f aca="false">C21&amp;"|"&amp;E21</f>
        <v>F1_02|CAN</v>
      </c>
    </row>
    <row r="22" customFormat="false" ht="15" hidden="false" customHeight="false" outlineLevel="0" collapsed="false">
      <c r="A22" s="12" t="n">
        <v>1</v>
      </c>
      <c r="B22" s="12" t="s">
        <v>42</v>
      </c>
      <c r="C22" s="12" t="s">
        <v>53</v>
      </c>
      <c r="D22" s="12" t="s">
        <v>54</v>
      </c>
      <c r="E22" s="12" t="s">
        <v>289</v>
      </c>
      <c r="F22" s="12" t="s">
        <v>36</v>
      </c>
      <c r="G22" s="12" t="n">
        <v>25.1</v>
      </c>
      <c r="H22" s="12" t="n">
        <v>29.4</v>
      </c>
      <c r="I22" s="12" t="s">
        <v>282</v>
      </c>
      <c r="J22" s="12" t="n">
        <v>1</v>
      </c>
      <c r="K22" s="12" t="n">
        <v>1</v>
      </c>
      <c r="L22" s="28" t="n">
        <v>1</v>
      </c>
      <c r="M22" s="12" t="n">
        <f aca="false">IF(L22=1,COUNTIFS($C$2:$C$1090,C22,$L$2:$L$1090,1),"")</f>
        <v>11</v>
      </c>
      <c r="N22" s="12" t="n">
        <f aca="false">IF(L22=1,1+COUNTIFS($C$2:$C$1090,C22,$L$2:$L$1090,1,$G$2:$G$1090,"&gt;"&amp;G22),"")</f>
        <v>1</v>
      </c>
      <c r="O22" s="12" t="n">
        <f aca="false">IF(L22=1,1+COUNTIFS($C$2:$C$1090,C22,$L$2:$L$1090,1,$H$2:$H$1090,"&gt;"&amp;H22),"")</f>
        <v>1</v>
      </c>
      <c r="P22" s="12" t="n">
        <f aca="false">IF(L22=1,N22-O22,"")</f>
        <v>0</v>
      </c>
      <c r="Q22" s="12" t="n">
        <f aca="false">INDEX(Directions!$D$2:$D$100,MATCH(C22,Directions!$A$2:$A$100,0))</f>
        <v>0</v>
      </c>
      <c r="R22" s="12" t="n">
        <f aca="false">IF(L22=1,P22*Q22,"")</f>
        <v>0</v>
      </c>
      <c r="S22" s="12" t="str">
        <f aca="false">IF(L22&lt;&gt;1,"Excluded",IF(Q22=0,"No direction",IF(R22&gt;0,"Better",IF(R22&lt;0,"Worse","No change"))))</f>
        <v>No direction</v>
      </c>
      <c r="T22" s="12"/>
      <c r="U22" s="12" t="str">
        <f aca="false">C22&amp;"|"&amp;E22</f>
        <v>F1_02|JPN</v>
      </c>
    </row>
    <row r="23" customFormat="false" ht="15" hidden="false" customHeight="false" outlineLevel="0" collapsed="false">
      <c r="A23" s="12" t="n">
        <v>1</v>
      </c>
      <c r="B23" s="12" t="s">
        <v>42</v>
      </c>
      <c r="C23" s="12" t="s">
        <v>53</v>
      </c>
      <c r="D23" s="12" t="s">
        <v>54</v>
      </c>
      <c r="E23" s="12" t="s">
        <v>290</v>
      </c>
      <c r="F23" s="12" t="s">
        <v>37</v>
      </c>
      <c r="G23" s="12" t="n">
        <v>14.7</v>
      </c>
      <c r="H23" s="12" t="n">
        <v>17.5</v>
      </c>
      <c r="I23" s="12" t="s">
        <v>282</v>
      </c>
      <c r="J23" s="12" t="n">
        <v>10</v>
      </c>
      <c r="K23" s="12" t="n">
        <v>11</v>
      </c>
      <c r="L23" s="28" t="n">
        <v>1</v>
      </c>
      <c r="M23" s="12" t="n">
        <f aca="false">IF(L23=1,COUNTIFS($C$2:$C$1090,C23,$L$2:$L$1090,1),"")</f>
        <v>11</v>
      </c>
      <c r="N23" s="12" t="n">
        <f aca="false">IF(L23=1,1+COUNTIFS($C$2:$C$1090,C23,$L$2:$L$1090,1,$G$2:$G$1090,"&gt;"&amp;G23),"")</f>
        <v>10</v>
      </c>
      <c r="O23" s="12" t="n">
        <f aca="false">IF(L23=1,1+COUNTIFS($C$2:$C$1090,C23,$L$2:$L$1090,1,$H$2:$H$1090,"&gt;"&amp;H23),"")</f>
        <v>11</v>
      </c>
      <c r="P23" s="12" t="n">
        <f aca="false">IF(L23=1,N23-O23,"")</f>
        <v>-1</v>
      </c>
      <c r="Q23" s="12" t="n">
        <f aca="false">INDEX(Directions!$D$2:$D$100,MATCH(C23,Directions!$A$2:$A$100,0))</f>
        <v>0</v>
      </c>
      <c r="R23" s="12" t="n">
        <f aca="false">IF(L23=1,P23*Q23,"")</f>
        <v>-0</v>
      </c>
      <c r="S23" s="12" t="str">
        <f aca="false">IF(L23&lt;&gt;1,"Excluded",IF(Q23=0,"No direction",IF(R23&gt;0,"Better",IF(R23&lt;0,"Worse","No change"))))</f>
        <v>No direction</v>
      </c>
      <c r="T23" s="12"/>
      <c r="U23" s="12" t="str">
        <f aca="false">C23&amp;"|"&amp;E23</f>
        <v>F1_02|AUS</v>
      </c>
    </row>
    <row r="24" customFormat="false" ht="15" hidden="false" customHeight="false" outlineLevel="0" collapsed="false">
      <c r="A24" s="12" t="n">
        <v>1</v>
      </c>
      <c r="B24" s="12" t="s">
        <v>42</v>
      </c>
      <c r="C24" s="12" t="s">
        <v>55</v>
      </c>
      <c r="D24" s="12" t="s">
        <v>56</v>
      </c>
      <c r="E24" s="12" t="s">
        <v>281</v>
      </c>
      <c r="F24" s="12" t="s">
        <v>27</v>
      </c>
      <c r="G24" s="12" t="n">
        <v>52.1</v>
      </c>
      <c r="H24" s="12" t="n">
        <v>89.98</v>
      </c>
      <c r="I24" s="12" t="s">
        <v>282</v>
      </c>
      <c r="J24" s="12" t="n">
        <v>3</v>
      </c>
      <c r="K24" s="12" t="n">
        <v>2</v>
      </c>
      <c r="L24" s="28" t="n">
        <v>1</v>
      </c>
      <c r="M24" s="12" t="n">
        <f aca="false">IF(L24=1,COUNTIFS($C$2:$C$1090,C24,$L$2:$L$1090,1),"")</f>
        <v>11</v>
      </c>
      <c r="N24" s="12" t="n">
        <f aca="false">IF(L24=1,1+COUNTIFS($C$2:$C$1090,C24,$L$2:$L$1090,1,$G$2:$G$1090,"&gt;"&amp;G24),"")</f>
        <v>3</v>
      </c>
      <c r="O24" s="12" t="n">
        <f aca="false">IF(L24=1,1+COUNTIFS($C$2:$C$1090,C24,$L$2:$L$1090,1,$H$2:$H$1090,"&gt;"&amp;H24),"")</f>
        <v>2</v>
      </c>
      <c r="P24" s="12" t="n">
        <f aca="false">IF(L24=1,N24-O24,"")</f>
        <v>1</v>
      </c>
      <c r="Q24" s="12" t="n">
        <f aca="false">INDEX(Directions!$D$2:$D$100,MATCH(C24,Directions!$A$2:$A$100,0))</f>
        <v>0</v>
      </c>
      <c r="R24" s="12" t="n">
        <f aca="false">IF(L24=1,P24*Q24,"")</f>
        <v>0</v>
      </c>
      <c r="S24" s="12" t="str">
        <f aca="false">IF(L24&lt;&gt;1,"Excluded",IF(Q24=0,"No direction",IF(R24&gt;0,"Better",IF(R24&lt;0,"Worse","No change"))))</f>
        <v>No direction</v>
      </c>
      <c r="T24" s="12"/>
      <c r="U24" s="12" t="str">
        <f aca="false">C24&amp;"|"&amp;E24</f>
        <v>F1_03|USA</v>
      </c>
    </row>
    <row r="25" customFormat="false" ht="15" hidden="false" customHeight="false" outlineLevel="0" collapsed="false">
      <c r="A25" s="12" t="n">
        <v>1</v>
      </c>
      <c r="B25" s="12" t="s">
        <v>42</v>
      </c>
      <c r="C25" s="12" t="s">
        <v>55</v>
      </c>
      <c r="D25" s="12" t="s">
        <v>56</v>
      </c>
      <c r="E25" s="12" t="s">
        <v>283</v>
      </c>
      <c r="F25" s="12" t="s">
        <v>28</v>
      </c>
      <c r="G25" s="12" t="n">
        <v>38.5</v>
      </c>
      <c r="H25" s="12" t="n">
        <v>64.47</v>
      </c>
      <c r="I25" s="12" t="s">
        <v>282</v>
      </c>
      <c r="J25" s="12" t="n">
        <v>10</v>
      </c>
      <c r="K25" s="12" t="n">
        <v>9</v>
      </c>
      <c r="L25" s="28" t="n">
        <v>1</v>
      </c>
      <c r="M25" s="12" t="n">
        <f aca="false">IF(L25=1,COUNTIFS($C$2:$C$1090,C25,$L$2:$L$1090,1),"")</f>
        <v>11</v>
      </c>
      <c r="N25" s="12" t="n">
        <f aca="false">IF(L25=1,1+COUNTIFS($C$2:$C$1090,C25,$L$2:$L$1090,1,$G$2:$G$1090,"&gt;"&amp;G25),"")</f>
        <v>10</v>
      </c>
      <c r="O25" s="12" t="n">
        <f aca="false">IF(L25=1,1+COUNTIFS($C$2:$C$1090,C25,$L$2:$L$1090,1,$H$2:$H$1090,"&gt;"&amp;H25),"")</f>
        <v>9</v>
      </c>
      <c r="P25" s="12" t="n">
        <f aca="false">IF(L25=1,N25-O25,"")</f>
        <v>1</v>
      </c>
      <c r="Q25" s="12" t="n">
        <f aca="false">INDEX(Directions!$D$2:$D$100,MATCH(C25,Directions!$A$2:$A$100,0))</f>
        <v>0</v>
      </c>
      <c r="R25" s="12" t="n">
        <f aca="false">IF(L25=1,P25*Q25,"")</f>
        <v>0</v>
      </c>
      <c r="S25" s="12" t="str">
        <f aca="false">IF(L25&lt;&gt;1,"Excluded",IF(Q25=0,"No direction",IF(R25&gt;0,"Better",IF(R25&lt;0,"Worse","No change"))))</f>
        <v>No direction</v>
      </c>
      <c r="T25" s="12"/>
      <c r="U25" s="12" t="str">
        <f aca="false">C25&amp;"|"&amp;E25</f>
        <v>F1_03|GBR</v>
      </c>
    </row>
    <row r="26" customFormat="false" ht="15" hidden="false" customHeight="false" outlineLevel="0" collapsed="false">
      <c r="A26" s="12" t="n">
        <v>1</v>
      </c>
      <c r="B26" s="12" t="s">
        <v>42</v>
      </c>
      <c r="C26" s="12" t="s">
        <v>55</v>
      </c>
      <c r="D26" s="12" t="s">
        <v>56</v>
      </c>
      <c r="E26" s="12" t="s">
        <v>284</v>
      </c>
      <c r="F26" s="12" t="s">
        <v>29</v>
      </c>
      <c r="G26" s="12" t="n">
        <v>42.9</v>
      </c>
      <c r="H26" s="12" t="n">
        <v>75.39</v>
      </c>
      <c r="I26" s="12" t="s">
        <v>282</v>
      </c>
      <c r="J26" s="12" t="n">
        <v>7</v>
      </c>
      <c r="K26" s="12" t="n">
        <v>5</v>
      </c>
      <c r="L26" s="28" t="n">
        <v>1</v>
      </c>
      <c r="M26" s="12" t="n">
        <f aca="false">IF(L26=1,COUNTIFS($C$2:$C$1090,C26,$L$2:$L$1090,1),"")</f>
        <v>11</v>
      </c>
      <c r="N26" s="12" t="n">
        <f aca="false">IF(L26=1,1+COUNTIFS($C$2:$C$1090,C26,$L$2:$L$1090,1,$G$2:$G$1090,"&gt;"&amp;G26),"")</f>
        <v>7</v>
      </c>
      <c r="O26" s="12" t="n">
        <f aca="false">IF(L26=1,1+COUNTIFS($C$2:$C$1090,C26,$L$2:$L$1090,1,$H$2:$H$1090,"&gt;"&amp;H26),"")</f>
        <v>5</v>
      </c>
      <c r="P26" s="12" t="n">
        <f aca="false">IF(L26=1,N26-O26,"")</f>
        <v>2</v>
      </c>
      <c r="Q26" s="12" t="n">
        <f aca="false">INDEX(Directions!$D$2:$D$100,MATCH(C26,Directions!$A$2:$A$100,0))</f>
        <v>0</v>
      </c>
      <c r="R26" s="12" t="n">
        <f aca="false">IF(L26=1,P26*Q26,"")</f>
        <v>0</v>
      </c>
      <c r="S26" s="12" t="str">
        <f aca="false">IF(L26&lt;&gt;1,"Excluded",IF(Q26=0,"No direction",IF(R26&gt;0,"Better",IF(R26&lt;0,"Worse","No change"))))</f>
        <v>No direction</v>
      </c>
      <c r="T26" s="12"/>
      <c r="U26" s="12" t="str">
        <f aca="false">C26&amp;"|"&amp;E26</f>
        <v>F1_03|DEU</v>
      </c>
    </row>
    <row r="27" customFormat="false" ht="15" hidden="false" customHeight="false" outlineLevel="0" collapsed="false">
      <c r="A27" s="12" t="n">
        <v>1</v>
      </c>
      <c r="B27" s="12" t="s">
        <v>42</v>
      </c>
      <c r="C27" s="12" t="s">
        <v>55</v>
      </c>
      <c r="D27" s="12" t="s">
        <v>56</v>
      </c>
      <c r="E27" s="12" t="s">
        <v>285</v>
      </c>
      <c r="F27" s="12" t="s">
        <v>30</v>
      </c>
      <c r="G27" s="12" t="n">
        <v>51.6</v>
      </c>
      <c r="H27" s="12" t="n">
        <v>72.92</v>
      </c>
      <c r="I27" s="12" t="s">
        <v>282</v>
      </c>
      <c r="J27" s="12" t="n">
        <v>4</v>
      </c>
      <c r="K27" s="12" t="n">
        <v>7</v>
      </c>
      <c r="L27" s="28" t="n">
        <v>1</v>
      </c>
      <c r="M27" s="12" t="n">
        <f aca="false">IF(L27=1,COUNTIFS($C$2:$C$1090,C27,$L$2:$L$1090,1),"")</f>
        <v>11</v>
      </c>
      <c r="N27" s="12" t="n">
        <f aca="false">IF(L27=1,1+COUNTIFS($C$2:$C$1090,C27,$L$2:$L$1090,1,$G$2:$G$1090,"&gt;"&amp;G27),"")</f>
        <v>4</v>
      </c>
      <c r="O27" s="12" t="n">
        <f aca="false">IF(L27=1,1+COUNTIFS($C$2:$C$1090,C27,$L$2:$L$1090,1,$H$2:$H$1090,"&gt;"&amp;H27),"")</f>
        <v>7</v>
      </c>
      <c r="P27" s="12" t="n">
        <f aca="false">IF(L27=1,N27-O27,"")</f>
        <v>-3</v>
      </c>
      <c r="Q27" s="12" t="n">
        <f aca="false">INDEX(Directions!$D$2:$D$100,MATCH(C27,Directions!$A$2:$A$100,0))</f>
        <v>0</v>
      </c>
      <c r="R27" s="12" t="n">
        <f aca="false">IF(L27=1,P27*Q27,"")</f>
        <v>-0</v>
      </c>
      <c r="S27" s="12" t="str">
        <f aca="false">IF(L27&lt;&gt;1,"Excluded",IF(Q27=0,"No direction",IF(R27&gt;0,"Better",IF(R27&lt;0,"Worse","No change"))))</f>
        <v>No direction</v>
      </c>
      <c r="T27" s="12"/>
      <c r="U27" s="12" t="str">
        <f aca="false">C27&amp;"|"&amp;E27</f>
        <v>F1_03|SWE</v>
      </c>
    </row>
    <row r="28" customFormat="false" ht="15" hidden="false" customHeight="false" outlineLevel="0" collapsed="false">
      <c r="A28" s="12" t="n">
        <v>1</v>
      </c>
      <c r="B28" s="12" t="s">
        <v>42</v>
      </c>
      <c r="C28" s="12" t="s">
        <v>55</v>
      </c>
      <c r="D28" s="12" t="s">
        <v>56</v>
      </c>
      <c r="E28" s="12" t="s">
        <v>286</v>
      </c>
      <c r="F28" s="12" t="s">
        <v>31</v>
      </c>
      <c r="G28" s="12" t="n">
        <v>41</v>
      </c>
      <c r="H28" s="12" t="n">
        <v>63.97</v>
      </c>
      <c r="I28" s="12" t="s">
        <v>282</v>
      </c>
      <c r="J28" s="12" t="n">
        <v>9</v>
      </c>
      <c r="K28" s="12" t="n">
        <v>10</v>
      </c>
      <c r="L28" s="28" t="n">
        <v>1</v>
      </c>
      <c r="M28" s="12" t="n">
        <f aca="false">IF(L28=1,COUNTIFS($C$2:$C$1090,C28,$L$2:$L$1090,1),"")</f>
        <v>11</v>
      </c>
      <c r="N28" s="12" t="n">
        <f aca="false">IF(L28=1,1+COUNTIFS($C$2:$C$1090,C28,$L$2:$L$1090,1,$G$2:$G$1090,"&gt;"&amp;G28),"")</f>
        <v>9</v>
      </c>
      <c r="O28" s="12" t="n">
        <f aca="false">IF(L28=1,1+COUNTIFS($C$2:$C$1090,C28,$L$2:$L$1090,1,$H$2:$H$1090,"&gt;"&amp;H28),"")</f>
        <v>10</v>
      </c>
      <c r="P28" s="12" t="n">
        <f aca="false">IF(L28=1,N28-O28,"")</f>
        <v>-1</v>
      </c>
      <c r="Q28" s="12" t="n">
        <f aca="false">INDEX(Directions!$D$2:$D$100,MATCH(C28,Directions!$A$2:$A$100,0))</f>
        <v>0</v>
      </c>
      <c r="R28" s="12" t="n">
        <f aca="false">IF(L28=1,P28*Q28,"")</f>
        <v>-0</v>
      </c>
      <c r="S28" s="12" t="str">
        <f aca="false">IF(L28&lt;&gt;1,"Excluded",IF(Q28=0,"No direction",IF(R28&gt;0,"Better",IF(R28&lt;0,"Worse","No change"))))</f>
        <v>No direction</v>
      </c>
      <c r="T28" s="12"/>
      <c r="U28" s="12" t="str">
        <f aca="false">C28&amp;"|"&amp;E28</f>
        <v>F1_03|FRA</v>
      </c>
    </row>
    <row r="29" customFormat="false" ht="15" hidden="false" customHeight="false" outlineLevel="0" collapsed="false">
      <c r="A29" s="12" t="n">
        <v>1</v>
      </c>
      <c r="B29" s="12" t="s">
        <v>42</v>
      </c>
      <c r="C29" s="12" t="s">
        <v>55</v>
      </c>
      <c r="D29" s="12" t="s">
        <v>56</v>
      </c>
      <c r="E29" s="12" t="s">
        <v>32</v>
      </c>
      <c r="F29" s="12" t="s">
        <v>32</v>
      </c>
      <c r="G29" s="12" t="n">
        <v>46.3</v>
      </c>
      <c r="H29" s="12" t="n">
        <v>86.66</v>
      </c>
      <c r="I29" s="12" t="s">
        <v>282</v>
      </c>
      <c r="J29" s="12" t="n">
        <v>5</v>
      </c>
      <c r="K29" s="12" t="n">
        <v>3</v>
      </c>
      <c r="L29" s="28" t="n">
        <v>1</v>
      </c>
      <c r="M29" s="12" t="n">
        <f aca="false">IF(L29=1,COUNTIFS($C$2:$C$1090,C29,$L$2:$L$1090,1),"")</f>
        <v>11</v>
      </c>
      <c r="N29" s="12" t="n">
        <f aca="false">IF(L29=1,1+COUNTIFS($C$2:$C$1090,C29,$L$2:$L$1090,1,$G$2:$G$1090,"&gt;"&amp;G29),"")</f>
        <v>5</v>
      </c>
      <c r="O29" s="12" t="n">
        <f aca="false">IF(L29=1,1+COUNTIFS($C$2:$C$1090,C29,$L$2:$L$1090,1,$H$2:$H$1090,"&gt;"&amp;H29),"")</f>
        <v>3</v>
      </c>
      <c r="P29" s="12" t="n">
        <f aca="false">IF(L29=1,N29-O29,"")</f>
        <v>2</v>
      </c>
      <c r="Q29" s="12" t="n">
        <f aca="false">INDEX(Directions!$D$2:$D$100,MATCH(C29,Directions!$A$2:$A$100,0))</f>
        <v>0</v>
      </c>
      <c r="R29" s="12" t="n">
        <f aca="false">IF(L29=1,P29*Q29,"")</f>
        <v>0</v>
      </c>
      <c r="S29" s="12" t="str">
        <f aca="false">IF(L29&lt;&gt;1,"Excluded",IF(Q29=0,"No direction",IF(R29&gt;0,"Better",IF(R29&lt;0,"Worse","No change"))))</f>
        <v>No direction</v>
      </c>
      <c r="T29" s="12"/>
      <c r="U29" s="12" t="str">
        <f aca="false">C29&amp;"|"&amp;E29</f>
        <v>F1_03|NLD</v>
      </c>
    </row>
    <row r="30" customFormat="false" ht="15" hidden="false" customHeight="false" outlineLevel="0" collapsed="false">
      <c r="A30" s="12" t="n">
        <v>1</v>
      </c>
      <c r="B30" s="12" t="s">
        <v>42</v>
      </c>
      <c r="C30" s="12" t="s">
        <v>55</v>
      </c>
      <c r="D30" s="12" t="s">
        <v>56</v>
      </c>
      <c r="E30" s="12" t="s">
        <v>33</v>
      </c>
      <c r="F30" s="12" t="s">
        <v>33</v>
      </c>
      <c r="G30" s="12" t="n">
        <v>54</v>
      </c>
      <c r="H30" s="12" t="n">
        <v>102.49</v>
      </c>
      <c r="I30" s="12" t="s">
        <v>282</v>
      </c>
      <c r="J30" s="12" t="n">
        <v>1</v>
      </c>
      <c r="K30" s="12" t="n">
        <v>1</v>
      </c>
      <c r="L30" s="28" t="n">
        <v>1</v>
      </c>
      <c r="M30" s="12" t="n">
        <f aca="false">IF(L30=1,COUNTIFS($C$2:$C$1090,C30,$L$2:$L$1090,1),"")</f>
        <v>11</v>
      </c>
      <c r="N30" s="12" t="n">
        <f aca="false">IF(L30=1,1+COUNTIFS($C$2:$C$1090,C30,$L$2:$L$1090,1,$G$2:$G$1090,"&gt;"&amp;G30),"")</f>
        <v>1</v>
      </c>
      <c r="O30" s="12" t="n">
        <f aca="false">IF(L30=1,1+COUNTIFS($C$2:$C$1090,C30,$L$2:$L$1090,1,$H$2:$H$1090,"&gt;"&amp;H30),"")</f>
        <v>1</v>
      </c>
      <c r="P30" s="12" t="n">
        <f aca="false">IF(L30=1,N30-O30,"")</f>
        <v>0</v>
      </c>
      <c r="Q30" s="12" t="n">
        <f aca="false">INDEX(Directions!$D$2:$D$100,MATCH(C30,Directions!$A$2:$A$100,0))</f>
        <v>0</v>
      </c>
      <c r="R30" s="12" t="n">
        <f aca="false">IF(L30=1,P30*Q30,"")</f>
        <v>0</v>
      </c>
      <c r="S30" s="12" t="str">
        <f aca="false">IF(L30&lt;&gt;1,"Excluded",IF(Q30=0,"No direction",IF(R30&gt;0,"Better",IF(R30&lt;0,"Worse","No change"))))</f>
        <v>No direction</v>
      </c>
      <c r="T30" s="12"/>
      <c r="U30" s="12" t="str">
        <f aca="false">C30&amp;"|"&amp;E30</f>
        <v>F1_03|CHE</v>
      </c>
    </row>
    <row r="31" customFormat="false" ht="15" hidden="false" customHeight="false" outlineLevel="0" collapsed="false">
      <c r="A31" s="12" t="n">
        <v>1</v>
      </c>
      <c r="B31" s="12" t="s">
        <v>42</v>
      </c>
      <c r="C31" s="12" t="s">
        <v>55</v>
      </c>
      <c r="D31" s="12" t="s">
        <v>56</v>
      </c>
      <c r="E31" s="12" t="s">
        <v>287</v>
      </c>
      <c r="F31" s="12" t="s">
        <v>34</v>
      </c>
      <c r="G31" s="12" t="n">
        <v>53.4</v>
      </c>
      <c r="H31" s="12" t="n">
        <v>84.75</v>
      </c>
      <c r="I31" s="12" t="s">
        <v>282</v>
      </c>
      <c r="J31" s="12" t="n">
        <v>2</v>
      </c>
      <c r="K31" s="12" t="n">
        <v>4</v>
      </c>
      <c r="L31" s="28" t="n">
        <v>1</v>
      </c>
      <c r="M31" s="12" t="n">
        <f aca="false">IF(L31=1,COUNTIFS($C$2:$C$1090,C31,$L$2:$L$1090,1),"")</f>
        <v>11</v>
      </c>
      <c r="N31" s="12" t="n">
        <f aca="false">IF(L31=1,1+COUNTIFS($C$2:$C$1090,C31,$L$2:$L$1090,1,$G$2:$G$1090,"&gt;"&amp;G31),"")</f>
        <v>2</v>
      </c>
      <c r="O31" s="12" t="n">
        <f aca="false">IF(L31=1,1+COUNTIFS($C$2:$C$1090,C31,$L$2:$L$1090,1,$H$2:$H$1090,"&gt;"&amp;H31),"")</f>
        <v>4</v>
      </c>
      <c r="P31" s="12" t="n">
        <f aca="false">IF(L31=1,N31-O31,"")</f>
        <v>-2</v>
      </c>
      <c r="Q31" s="12" t="n">
        <f aca="false">INDEX(Directions!$D$2:$D$100,MATCH(C31,Directions!$A$2:$A$100,0))</f>
        <v>0</v>
      </c>
      <c r="R31" s="12" t="n">
        <f aca="false">IF(L31=1,P31*Q31,"")</f>
        <v>-0</v>
      </c>
      <c r="S31" s="12" t="str">
        <f aca="false">IF(L31&lt;&gt;1,"Excluded",IF(Q31=0,"No direction",IF(R31&gt;0,"Better",IF(R31&lt;0,"Worse","No change"))))</f>
        <v>No direction</v>
      </c>
      <c r="T31" s="12"/>
      <c r="U31" s="12" t="str">
        <f aca="false">C31&amp;"|"&amp;E31</f>
        <v>F1_03|DNK</v>
      </c>
    </row>
    <row r="32" customFormat="false" ht="15" hidden="false" customHeight="false" outlineLevel="0" collapsed="false">
      <c r="A32" s="12" t="n">
        <v>1</v>
      </c>
      <c r="B32" s="12" t="s">
        <v>42</v>
      </c>
      <c r="C32" s="12" t="s">
        <v>55</v>
      </c>
      <c r="D32" s="12" t="s">
        <v>56</v>
      </c>
      <c r="E32" s="12" t="s">
        <v>288</v>
      </c>
      <c r="F32" s="12" t="s">
        <v>35</v>
      </c>
      <c r="G32" s="12" t="n">
        <v>42.4</v>
      </c>
      <c r="H32" s="12" t="n">
        <v>66.86</v>
      </c>
      <c r="I32" s="12" t="s">
        <v>282</v>
      </c>
      <c r="J32" s="12" t="n">
        <v>8</v>
      </c>
      <c r="K32" s="12" t="n">
        <v>8</v>
      </c>
      <c r="L32" s="28" t="n">
        <v>1</v>
      </c>
      <c r="M32" s="12" t="n">
        <f aca="false">IF(L32=1,COUNTIFS($C$2:$C$1090,C32,$L$2:$L$1090,1),"")</f>
        <v>11</v>
      </c>
      <c r="N32" s="12" t="n">
        <f aca="false">IF(L32=1,1+COUNTIFS($C$2:$C$1090,C32,$L$2:$L$1090,1,$G$2:$G$1090,"&gt;"&amp;G32),"")</f>
        <v>8</v>
      </c>
      <c r="O32" s="12" t="n">
        <f aca="false">IF(L32=1,1+COUNTIFS($C$2:$C$1090,C32,$L$2:$L$1090,1,$H$2:$H$1090,"&gt;"&amp;H32),"")</f>
        <v>8</v>
      </c>
      <c r="P32" s="12" t="n">
        <f aca="false">IF(L32=1,N32-O32,"")</f>
        <v>0</v>
      </c>
      <c r="Q32" s="12" t="n">
        <f aca="false">INDEX(Directions!$D$2:$D$100,MATCH(C32,Directions!$A$2:$A$100,0))</f>
        <v>0</v>
      </c>
      <c r="R32" s="12" t="n">
        <f aca="false">IF(L32=1,P32*Q32,"")</f>
        <v>0</v>
      </c>
      <c r="S32" s="12" t="str">
        <f aca="false">IF(L32&lt;&gt;1,"Excluded",IF(Q32=0,"No direction",IF(R32&gt;0,"Better",IF(R32&lt;0,"Worse","No change"))))</f>
        <v>No direction</v>
      </c>
      <c r="T32" s="12"/>
      <c r="U32" s="12" t="str">
        <f aca="false">C32&amp;"|"&amp;E32</f>
        <v>F1_03|CAN</v>
      </c>
    </row>
    <row r="33" customFormat="false" ht="15" hidden="false" customHeight="false" outlineLevel="0" collapsed="false">
      <c r="A33" s="12" t="n">
        <v>1</v>
      </c>
      <c r="B33" s="12" t="s">
        <v>42</v>
      </c>
      <c r="C33" s="12" t="s">
        <v>55</v>
      </c>
      <c r="D33" s="12" t="s">
        <v>56</v>
      </c>
      <c r="E33" s="12" t="s">
        <v>289</v>
      </c>
      <c r="F33" s="12" t="s">
        <v>36</v>
      </c>
      <c r="G33" s="12" t="n">
        <v>37.5</v>
      </c>
      <c r="H33" s="12" t="n">
        <v>55.49</v>
      </c>
      <c r="I33" s="12" t="s">
        <v>282</v>
      </c>
      <c r="J33" s="12" t="n">
        <v>11</v>
      </c>
      <c r="K33" s="12" t="n">
        <v>11</v>
      </c>
      <c r="L33" s="28" t="n">
        <v>1</v>
      </c>
      <c r="M33" s="12" t="n">
        <f aca="false">IF(L33=1,COUNTIFS($C$2:$C$1090,C33,$L$2:$L$1090,1),"")</f>
        <v>11</v>
      </c>
      <c r="N33" s="12" t="n">
        <f aca="false">IF(L33=1,1+COUNTIFS($C$2:$C$1090,C33,$L$2:$L$1090,1,$G$2:$G$1090,"&gt;"&amp;G33),"")</f>
        <v>11</v>
      </c>
      <c r="O33" s="12" t="n">
        <f aca="false">IF(L33=1,1+COUNTIFS($C$2:$C$1090,C33,$L$2:$L$1090,1,$H$2:$H$1090,"&gt;"&amp;H33),"")</f>
        <v>11</v>
      </c>
      <c r="P33" s="12" t="n">
        <f aca="false">IF(L33=1,N33-O33,"")</f>
        <v>0</v>
      </c>
      <c r="Q33" s="12" t="n">
        <f aca="false">INDEX(Directions!$D$2:$D$100,MATCH(C33,Directions!$A$2:$A$100,0))</f>
        <v>0</v>
      </c>
      <c r="R33" s="12" t="n">
        <f aca="false">IF(L33=1,P33*Q33,"")</f>
        <v>0</v>
      </c>
      <c r="S33" s="12" t="str">
        <f aca="false">IF(L33&lt;&gt;1,"Excluded",IF(Q33=0,"No direction",IF(R33&gt;0,"Better",IF(R33&lt;0,"Worse","No change"))))</f>
        <v>No direction</v>
      </c>
      <c r="T33" s="12"/>
      <c r="U33" s="12" t="str">
        <f aca="false">C33&amp;"|"&amp;E33</f>
        <v>F1_03|JPN</v>
      </c>
    </row>
    <row r="34" customFormat="false" ht="15" hidden="false" customHeight="false" outlineLevel="0" collapsed="false">
      <c r="A34" s="12" t="n">
        <v>1</v>
      </c>
      <c r="B34" s="12" t="s">
        <v>42</v>
      </c>
      <c r="C34" s="12" t="s">
        <v>55</v>
      </c>
      <c r="D34" s="12" t="s">
        <v>56</v>
      </c>
      <c r="E34" s="12" t="s">
        <v>290</v>
      </c>
      <c r="F34" s="12" t="s">
        <v>37</v>
      </c>
      <c r="G34" s="12" t="n">
        <v>45.1</v>
      </c>
      <c r="H34" s="12" t="n">
        <v>75.21</v>
      </c>
      <c r="I34" s="12" t="s">
        <v>282</v>
      </c>
      <c r="J34" s="12" t="n">
        <v>6</v>
      </c>
      <c r="K34" s="12" t="n">
        <v>6</v>
      </c>
      <c r="L34" s="28" t="n">
        <v>1</v>
      </c>
      <c r="M34" s="12" t="n">
        <f aca="false">IF(L34=1,COUNTIFS($C$2:$C$1090,C34,$L$2:$L$1090,1),"")</f>
        <v>11</v>
      </c>
      <c r="N34" s="12" t="n">
        <f aca="false">IF(L34=1,1+COUNTIFS($C$2:$C$1090,C34,$L$2:$L$1090,1,$G$2:$G$1090,"&gt;"&amp;G34),"")</f>
        <v>6</v>
      </c>
      <c r="O34" s="12" t="n">
        <f aca="false">IF(L34=1,1+COUNTIFS($C$2:$C$1090,C34,$L$2:$L$1090,1,$H$2:$H$1090,"&gt;"&amp;H34),"")</f>
        <v>6</v>
      </c>
      <c r="P34" s="12" t="n">
        <f aca="false">IF(L34=1,N34-O34,"")</f>
        <v>0</v>
      </c>
      <c r="Q34" s="12" t="n">
        <f aca="false">INDEX(Directions!$D$2:$D$100,MATCH(C34,Directions!$A$2:$A$100,0))</f>
        <v>0</v>
      </c>
      <c r="R34" s="12" t="n">
        <f aca="false">IF(L34=1,P34*Q34,"")</f>
        <v>0</v>
      </c>
      <c r="S34" s="12" t="str">
        <f aca="false">IF(L34&lt;&gt;1,"Excluded",IF(Q34=0,"No direction",IF(R34&gt;0,"Better",IF(R34&lt;0,"Worse","No change"))))</f>
        <v>No direction</v>
      </c>
      <c r="T34" s="12"/>
      <c r="U34" s="12" t="str">
        <f aca="false">C34&amp;"|"&amp;E34</f>
        <v>F1_03|AUS</v>
      </c>
    </row>
    <row r="35" customFormat="false" ht="15" hidden="false" customHeight="false" outlineLevel="0" collapsed="false">
      <c r="A35" s="12" t="n">
        <v>1</v>
      </c>
      <c r="B35" s="12" t="s">
        <v>42</v>
      </c>
      <c r="C35" s="12" t="s">
        <v>57</v>
      </c>
      <c r="D35" s="12" t="s">
        <v>58</v>
      </c>
      <c r="E35" s="12" t="s">
        <v>281</v>
      </c>
      <c r="F35" s="12" t="s">
        <v>27</v>
      </c>
      <c r="G35" s="12" t="n">
        <v>9834</v>
      </c>
      <c r="H35" s="12" t="n">
        <v>9147.4</v>
      </c>
      <c r="I35" s="12" t="s">
        <v>291</v>
      </c>
      <c r="J35" s="12" t="n">
        <v>2</v>
      </c>
      <c r="K35" s="12" t="n">
        <v>1</v>
      </c>
      <c r="L35" s="28" t="n">
        <v>1</v>
      </c>
      <c r="M35" s="12" t="n">
        <f aca="false">IF(L35=1,COUNTIFS($C$2:$C$1090,C35,$L$2:$L$1090,1),"")</f>
        <v>11</v>
      </c>
      <c r="N35" s="12" t="n">
        <f aca="false">IF(L35=1,1+COUNTIFS($C$2:$C$1090,C35,$L$2:$L$1090,1,$G$2:$G$1090,"&gt;"&amp;G35),"")</f>
        <v>2</v>
      </c>
      <c r="O35" s="12" t="n">
        <f aca="false">IF(L35=1,1+COUNTIFS($C$2:$C$1090,C35,$L$2:$L$1090,1,$H$2:$H$1090,"&gt;"&amp;H35),"")</f>
        <v>1</v>
      </c>
      <c r="P35" s="12" t="n">
        <f aca="false">IF(L35=1,N35-O35,"")</f>
        <v>1</v>
      </c>
      <c r="Q35" s="12" t="n">
        <f aca="false">INDEX(Directions!$D$2:$D$100,MATCH(C35,Directions!$A$2:$A$100,0))</f>
        <v>0</v>
      </c>
      <c r="R35" s="12" t="n">
        <f aca="false">IF(L35=1,P35*Q35,"")</f>
        <v>0</v>
      </c>
      <c r="S35" s="12" t="str">
        <f aca="false">IF(L35&lt;&gt;1,"Excluded",IF(Q35=0,"No direction",IF(R35&gt;0,"Better",IF(R35&lt;0,"Worse","No change"))))</f>
        <v>No direction</v>
      </c>
      <c r="T35" s="12" t="s">
        <v>292</v>
      </c>
      <c r="U35" s="12" t="str">
        <f aca="false">C35&amp;"|"&amp;E35</f>
        <v>F1_04|USA</v>
      </c>
    </row>
    <row r="36" customFormat="false" ht="15" hidden="false" customHeight="false" outlineLevel="0" collapsed="false">
      <c r="A36" s="12" t="n">
        <v>1</v>
      </c>
      <c r="B36" s="12" t="s">
        <v>42</v>
      </c>
      <c r="C36" s="12" t="s">
        <v>57</v>
      </c>
      <c r="D36" s="12" t="s">
        <v>58</v>
      </c>
      <c r="E36" s="12" t="s">
        <v>283</v>
      </c>
      <c r="F36" s="12" t="s">
        <v>28</v>
      </c>
      <c r="G36" s="12" t="n">
        <v>244</v>
      </c>
      <c r="H36" s="12" t="n">
        <v>241.9</v>
      </c>
      <c r="I36" s="12" t="s">
        <v>291</v>
      </c>
      <c r="J36" s="12" t="n">
        <v>8</v>
      </c>
      <c r="K36" s="12" t="n">
        <v>8</v>
      </c>
      <c r="L36" s="28" t="n">
        <v>1</v>
      </c>
      <c r="M36" s="12" t="n">
        <f aca="false">IF(L36=1,COUNTIFS($C$2:$C$1090,C36,$L$2:$L$1090,1),"")</f>
        <v>11</v>
      </c>
      <c r="N36" s="12" t="n">
        <f aca="false">IF(L36=1,1+COUNTIFS($C$2:$C$1090,C36,$L$2:$L$1090,1,$G$2:$G$1090,"&gt;"&amp;G36),"")</f>
        <v>8</v>
      </c>
      <c r="O36" s="12" t="n">
        <f aca="false">IF(L36=1,1+COUNTIFS($C$2:$C$1090,C36,$L$2:$L$1090,1,$H$2:$H$1090,"&gt;"&amp;H36),"")</f>
        <v>8</v>
      </c>
      <c r="P36" s="12" t="n">
        <f aca="false">IF(L36=1,N36-O36,"")</f>
        <v>0</v>
      </c>
      <c r="Q36" s="12" t="n">
        <f aca="false">INDEX(Directions!$D$2:$D$100,MATCH(C36,Directions!$A$2:$A$100,0))</f>
        <v>0</v>
      </c>
      <c r="R36" s="12" t="n">
        <f aca="false">IF(L36=1,P36*Q36,"")</f>
        <v>0</v>
      </c>
      <c r="S36" s="12" t="str">
        <f aca="false">IF(L36&lt;&gt;1,"Excluded",IF(Q36=0,"No direction",IF(R36&gt;0,"Better",IF(R36&lt;0,"Worse","No change"))))</f>
        <v>No direction</v>
      </c>
      <c r="T36" s="12" t="s">
        <v>292</v>
      </c>
      <c r="U36" s="12" t="str">
        <f aca="false">C36&amp;"|"&amp;E36</f>
        <v>F1_04|GBR</v>
      </c>
    </row>
    <row r="37" customFormat="false" ht="15" hidden="false" customHeight="false" outlineLevel="0" collapsed="false">
      <c r="A37" s="12" t="n">
        <v>1</v>
      </c>
      <c r="B37" s="12" t="s">
        <v>42</v>
      </c>
      <c r="C37" s="12" t="s">
        <v>57</v>
      </c>
      <c r="D37" s="12" t="s">
        <v>58</v>
      </c>
      <c r="E37" s="12" t="s">
        <v>284</v>
      </c>
      <c r="F37" s="12" t="s">
        <v>29</v>
      </c>
      <c r="G37" s="12" t="n">
        <v>357</v>
      </c>
      <c r="H37" s="12" t="n">
        <v>349.4</v>
      </c>
      <c r="I37" s="12" t="s">
        <v>291</v>
      </c>
      <c r="J37" s="12" t="n">
        <v>7</v>
      </c>
      <c r="K37" s="12" t="n">
        <v>7</v>
      </c>
      <c r="L37" s="28" t="n">
        <v>1</v>
      </c>
      <c r="M37" s="12" t="n">
        <f aca="false">IF(L37=1,COUNTIFS($C$2:$C$1090,C37,$L$2:$L$1090,1),"")</f>
        <v>11</v>
      </c>
      <c r="N37" s="12" t="n">
        <f aca="false">IF(L37=1,1+COUNTIFS($C$2:$C$1090,C37,$L$2:$L$1090,1,$G$2:$G$1090,"&gt;"&amp;G37),"")</f>
        <v>7</v>
      </c>
      <c r="O37" s="12" t="n">
        <f aca="false">IF(L37=1,1+COUNTIFS($C$2:$C$1090,C37,$L$2:$L$1090,1,$H$2:$H$1090,"&gt;"&amp;H37),"")</f>
        <v>7</v>
      </c>
      <c r="P37" s="12" t="n">
        <f aca="false">IF(L37=1,N37-O37,"")</f>
        <v>0</v>
      </c>
      <c r="Q37" s="12" t="n">
        <f aca="false">INDEX(Directions!$D$2:$D$100,MATCH(C37,Directions!$A$2:$A$100,0))</f>
        <v>0</v>
      </c>
      <c r="R37" s="12" t="n">
        <f aca="false">IF(L37=1,P37*Q37,"")</f>
        <v>0</v>
      </c>
      <c r="S37" s="12" t="str">
        <f aca="false">IF(L37&lt;&gt;1,"Excluded",IF(Q37=0,"No direction",IF(R37&gt;0,"Better",IF(R37&lt;0,"Worse","No change"))))</f>
        <v>No direction</v>
      </c>
      <c r="T37" s="12" t="s">
        <v>292</v>
      </c>
      <c r="U37" s="12" t="str">
        <f aca="false">C37&amp;"|"&amp;E37</f>
        <v>F1_04|DEU</v>
      </c>
    </row>
    <row r="38" customFormat="false" ht="15" hidden="false" customHeight="false" outlineLevel="0" collapsed="false">
      <c r="A38" s="12" t="n">
        <v>1</v>
      </c>
      <c r="B38" s="12" t="s">
        <v>42</v>
      </c>
      <c r="C38" s="12" t="s">
        <v>57</v>
      </c>
      <c r="D38" s="12" t="s">
        <v>58</v>
      </c>
      <c r="E38" s="12" t="s">
        <v>285</v>
      </c>
      <c r="F38" s="12" t="s">
        <v>30</v>
      </c>
      <c r="G38" s="12" t="n">
        <v>450</v>
      </c>
      <c r="H38" s="12" t="n">
        <v>407.3</v>
      </c>
      <c r="I38" s="12" t="s">
        <v>291</v>
      </c>
      <c r="J38" s="12" t="n">
        <v>5</v>
      </c>
      <c r="K38" s="12" t="n">
        <v>5</v>
      </c>
      <c r="L38" s="28" t="n">
        <v>1</v>
      </c>
      <c r="M38" s="12" t="n">
        <f aca="false">IF(L38=1,COUNTIFS($C$2:$C$1090,C38,$L$2:$L$1090,1),"")</f>
        <v>11</v>
      </c>
      <c r="N38" s="12" t="n">
        <f aca="false">IF(L38=1,1+COUNTIFS($C$2:$C$1090,C38,$L$2:$L$1090,1,$G$2:$G$1090,"&gt;"&amp;G38),"")</f>
        <v>5</v>
      </c>
      <c r="O38" s="12" t="n">
        <f aca="false">IF(L38=1,1+COUNTIFS($C$2:$C$1090,C38,$L$2:$L$1090,1,$H$2:$H$1090,"&gt;"&amp;H38),"")</f>
        <v>5</v>
      </c>
      <c r="P38" s="12" t="n">
        <f aca="false">IF(L38=1,N38-O38,"")</f>
        <v>0</v>
      </c>
      <c r="Q38" s="12" t="n">
        <f aca="false">INDEX(Directions!$D$2:$D$100,MATCH(C38,Directions!$A$2:$A$100,0))</f>
        <v>0</v>
      </c>
      <c r="R38" s="12" t="n">
        <f aca="false">IF(L38=1,P38*Q38,"")</f>
        <v>0</v>
      </c>
      <c r="S38" s="12" t="str">
        <f aca="false">IF(L38&lt;&gt;1,"Excluded",IF(Q38=0,"No direction",IF(R38&gt;0,"Better",IF(R38&lt;0,"Worse","No change"))))</f>
        <v>No direction</v>
      </c>
      <c r="T38" s="12" t="s">
        <v>292</v>
      </c>
      <c r="U38" s="12" t="str">
        <f aca="false">C38&amp;"|"&amp;E38</f>
        <v>F1_04|SWE</v>
      </c>
    </row>
    <row r="39" customFormat="false" ht="15" hidden="false" customHeight="false" outlineLevel="0" collapsed="false">
      <c r="A39" s="12" t="n">
        <v>1</v>
      </c>
      <c r="B39" s="12" t="s">
        <v>42</v>
      </c>
      <c r="C39" s="12" t="s">
        <v>57</v>
      </c>
      <c r="D39" s="12" t="s">
        <v>58</v>
      </c>
      <c r="E39" s="12" t="s">
        <v>286</v>
      </c>
      <c r="F39" s="12" t="s">
        <v>31</v>
      </c>
      <c r="G39" s="12" t="n">
        <v>549</v>
      </c>
      <c r="H39" s="12" t="n">
        <v>539</v>
      </c>
      <c r="I39" s="12" t="s">
        <v>291</v>
      </c>
      <c r="J39" s="12" t="n">
        <v>4</v>
      </c>
      <c r="K39" s="12" t="n">
        <v>4</v>
      </c>
      <c r="L39" s="28" t="n">
        <v>1</v>
      </c>
      <c r="M39" s="12" t="n">
        <f aca="false">IF(L39=1,COUNTIFS($C$2:$C$1090,C39,$L$2:$L$1090,1),"")</f>
        <v>11</v>
      </c>
      <c r="N39" s="12" t="n">
        <f aca="false">IF(L39=1,1+COUNTIFS($C$2:$C$1090,C39,$L$2:$L$1090,1,$G$2:$G$1090,"&gt;"&amp;G39),"")</f>
        <v>4</v>
      </c>
      <c r="O39" s="12" t="n">
        <f aca="false">IF(L39=1,1+COUNTIFS($C$2:$C$1090,C39,$L$2:$L$1090,1,$H$2:$H$1090,"&gt;"&amp;H39),"")</f>
        <v>4</v>
      </c>
      <c r="P39" s="12" t="n">
        <f aca="false">IF(L39=1,N39-O39,"")</f>
        <v>0</v>
      </c>
      <c r="Q39" s="12" t="n">
        <f aca="false">INDEX(Directions!$D$2:$D$100,MATCH(C39,Directions!$A$2:$A$100,0))</f>
        <v>0</v>
      </c>
      <c r="R39" s="12" t="n">
        <f aca="false">IF(L39=1,P39*Q39,"")</f>
        <v>0</v>
      </c>
      <c r="S39" s="12" t="str">
        <f aca="false">IF(L39&lt;&gt;1,"Excluded",IF(Q39=0,"No direction",IF(R39&gt;0,"Better",IF(R39&lt;0,"Worse","No change"))))</f>
        <v>No direction</v>
      </c>
      <c r="T39" s="12" t="s">
        <v>292</v>
      </c>
      <c r="U39" s="12" t="str">
        <f aca="false">C39&amp;"|"&amp;E39</f>
        <v>F1_04|FRA</v>
      </c>
    </row>
    <row r="40" customFormat="false" ht="15" hidden="false" customHeight="false" outlineLevel="0" collapsed="false">
      <c r="A40" s="12" t="n">
        <v>1</v>
      </c>
      <c r="B40" s="12" t="s">
        <v>42</v>
      </c>
      <c r="C40" s="12" t="s">
        <v>57</v>
      </c>
      <c r="D40" s="12" t="s">
        <v>58</v>
      </c>
      <c r="E40" s="12" t="s">
        <v>32</v>
      </c>
      <c r="F40" s="12" t="s">
        <v>32</v>
      </c>
      <c r="G40" s="12" t="n">
        <v>42</v>
      </c>
      <c r="H40" s="12" t="n">
        <v>33.7</v>
      </c>
      <c r="I40" s="12" t="s">
        <v>291</v>
      </c>
      <c r="J40" s="12" t="n">
        <v>10</v>
      </c>
      <c r="K40" s="12" t="n">
        <v>11</v>
      </c>
      <c r="L40" s="28" t="n">
        <v>1</v>
      </c>
      <c r="M40" s="12" t="n">
        <f aca="false">IF(L40=1,COUNTIFS($C$2:$C$1090,C40,$L$2:$L$1090,1),"")</f>
        <v>11</v>
      </c>
      <c r="N40" s="12" t="n">
        <f aca="false">IF(L40=1,1+COUNTIFS($C$2:$C$1090,C40,$L$2:$L$1090,1,$G$2:$G$1090,"&gt;"&amp;G40),"")</f>
        <v>10</v>
      </c>
      <c r="O40" s="12" t="n">
        <f aca="false">IF(L40=1,1+COUNTIFS($C$2:$C$1090,C40,$L$2:$L$1090,1,$H$2:$H$1090,"&gt;"&amp;H40),"")</f>
        <v>11</v>
      </c>
      <c r="P40" s="12" t="n">
        <f aca="false">IF(L40=1,N40-O40,"")</f>
        <v>-1</v>
      </c>
      <c r="Q40" s="12" t="n">
        <f aca="false">INDEX(Directions!$D$2:$D$100,MATCH(C40,Directions!$A$2:$A$100,0))</f>
        <v>0</v>
      </c>
      <c r="R40" s="12" t="n">
        <f aca="false">IF(L40=1,P40*Q40,"")</f>
        <v>-0</v>
      </c>
      <c r="S40" s="12" t="str">
        <f aca="false">IF(L40&lt;&gt;1,"Excluded",IF(Q40=0,"No direction",IF(R40&gt;0,"Better",IF(R40&lt;0,"Worse","No change"))))</f>
        <v>No direction</v>
      </c>
      <c r="T40" s="12" t="s">
        <v>292</v>
      </c>
      <c r="U40" s="12" t="str">
        <f aca="false">C40&amp;"|"&amp;E40</f>
        <v>F1_04|NLD</v>
      </c>
    </row>
    <row r="41" customFormat="false" ht="15" hidden="false" customHeight="false" outlineLevel="0" collapsed="false">
      <c r="A41" s="12" t="n">
        <v>1</v>
      </c>
      <c r="B41" s="12" t="s">
        <v>42</v>
      </c>
      <c r="C41" s="12" t="s">
        <v>57</v>
      </c>
      <c r="D41" s="12" t="s">
        <v>58</v>
      </c>
      <c r="E41" s="12" t="s">
        <v>33</v>
      </c>
      <c r="F41" s="12" t="s">
        <v>33</v>
      </c>
      <c r="G41" s="12" t="n">
        <v>42</v>
      </c>
      <c r="H41" s="12" t="n">
        <v>39.5</v>
      </c>
      <c r="I41" s="12" t="s">
        <v>291</v>
      </c>
      <c r="J41" s="12" t="n">
        <v>11</v>
      </c>
      <c r="K41" s="12" t="n">
        <v>10</v>
      </c>
      <c r="L41" s="28" t="n">
        <v>1</v>
      </c>
      <c r="M41" s="12" t="n">
        <f aca="false">IF(L41=1,COUNTIFS($C$2:$C$1090,C41,$L$2:$L$1090,1),"")</f>
        <v>11</v>
      </c>
      <c r="N41" s="12" t="n">
        <f aca="false">IF(L41=1,1+COUNTIFS($C$2:$C$1090,C41,$L$2:$L$1090,1,$G$2:$G$1090,"&gt;"&amp;G41),"")</f>
        <v>10</v>
      </c>
      <c r="O41" s="12" t="n">
        <f aca="false">IF(L41=1,1+COUNTIFS($C$2:$C$1090,C41,$L$2:$L$1090,1,$H$2:$H$1090,"&gt;"&amp;H41),"")</f>
        <v>10</v>
      </c>
      <c r="P41" s="12" t="n">
        <f aca="false">IF(L41=1,N41-O41,"")</f>
        <v>0</v>
      </c>
      <c r="Q41" s="12" t="n">
        <f aca="false">INDEX(Directions!$D$2:$D$100,MATCH(C41,Directions!$A$2:$A$100,0))</f>
        <v>0</v>
      </c>
      <c r="R41" s="12" t="n">
        <f aca="false">IF(L41=1,P41*Q41,"")</f>
        <v>0</v>
      </c>
      <c r="S41" s="12" t="str">
        <f aca="false">IF(L41&lt;&gt;1,"Excluded",IF(Q41=0,"No direction",IF(R41&gt;0,"Better",IF(R41&lt;0,"Worse","No change"))))</f>
        <v>No direction</v>
      </c>
      <c r="T41" s="12" t="s">
        <v>292</v>
      </c>
      <c r="U41" s="12" t="str">
        <f aca="false">C41&amp;"|"&amp;E41</f>
        <v>F1_04|CHE</v>
      </c>
    </row>
    <row r="42" customFormat="false" ht="15" hidden="false" customHeight="false" outlineLevel="0" collapsed="false">
      <c r="A42" s="12" t="n">
        <v>1</v>
      </c>
      <c r="B42" s="12" t="s">
        <v>42</v>
      </c>
      <c r="C42" s="12" t="s">
        <v>57</v>
      </c>
      <c r="D42" s="12" t="s">
        <v>58</v>
      </c>
      <c r="E42" s="12" t="s">
        <v>287</v>
      </c>
      <c r="F42" s="12" t="s">
        <v>34</v>
      </c>
      <c r="G42" s="12" t="n">
        <v>43</v>
      </c>
      <c r="H42" s="12" t="n">
        <v>40</v>
      </c>
      <c r="I42" s="12" t="s">
        <v>291</v>
      </c>
      <c r="J42" s="12" t="n">
        <v>9</v>
      </c>
      <c r="K42" s="12" t="n">
        <v>9</v>
      </c>
      <c r="L42" s="28" t="n">
        <v>1</v>
      </c>
      <c r="M42" s="12" t="n">
        <f aca="false">IF(L42=1,COUNTIFS($C$2:$C$1090,C42,$L$2:$L$1090,1),"")</f>
        <v>11</v>
      </c>
      <c r="N42" s="12" t="n">
        <f aca="false">IF(L42=1,1+COUNTIFS($C$2:$C$1090,C42,$L$2:$L$1090,1,$G$2:$G$1090,"&gt;"&amp;G42),"")</f>
        <v>9</v>
      </c>
      <c r="O42" s="12" t="n">
        <f aca="false">IF(L42=1,1+COUNTIFS($C$2:$C$1090,C42,$L$2:$L$1090,1,$H$2:$H$1090,"&gt;"&amp;H42),"")</f>
        <v>9</v>
      </c>
      <c r="P42" s="12" t="n">
        <f aca="false">IF(L42=1,N42-O42,"")</f>
        <v>0</v>
      </c>
      <c r="Q42" s="12" t="n">
        <f aca="false">INDEX(Directions!$D$2:$D$100,MATCH(C42,Directions!$A$2:$A$100,0))</f>
        <v>0</v>
      </c>
      <c r="R42" s="12" t="n">
        <f aca="false">IF(L42=1,P42*Q42,"")</f>
        <v>0</v>
      </c>
      <c r="S42" s="12" t="str">
        <f aca="false">IF(L42&lt;&gt;1,"Excluded",IF(Q42=0,"No direction",IF(R42&gt;0,"Better",IF(R42&lt;0,"Worse","No change"))))</f>
        <v>No direction</v>
      </c>
      <c r="T42" s="12" t="s">
        <v>292</v>
      </c>
      <c r="U42" s="12" t="str">
        <f aca="false">C42&amp;"|"&amp;E42</f>
        <v>F1_04|DNK</v>
      </c>
    </row>
    <row r="43" customFormat="false" ht="15" hidden="false" customHeight="false" outlineLevel="0" collapsed="false">
      <c r="A43" s="12" t="n">
        <v>1</v>
      </c>
      <c r="B43" s="12" t="s">
        <v>42</v>
      </c>
      <c r="C43" s="12" t="s">
        <v>57</v>
      </c>
      <c r="D43" s="12" t="s">
        <v>58</v>
      </c>
      <c r="E43" s="12" t="s">
        <v>288</v>
      </c>
      <c r="F43" s="12" t="s">
        <v>35</v>
      </c>
      <c r="G43" s="12" t="n">
        <v>9985</v>
      </c>
      <c r="H43" s="12" t="n">
        <v>8788.7</v>
      </c>
      <c r="I43" s="12" t="s">
        <v>291</v>
      </c>
      <c r="J43" s="12" t="n">
        <v>1</v>
      </c>
      <c r="K43" s="12" t="n">
        <v>2</v>
      </c>
      <c r="L43" s="28" t="n">
        <v>1</v>
      </c>
      <c r="M43" s="12" t="n">
        <f aca="false">IF(L43=1,COUNTIFS($C$2:$C$1090,C43,$L$2:$L$1090,1),"")</f>
        <v>11</v>
      </c>
      <c r="N43" s="12" t="n">
        <f aca="false">IF(L43=1,1+COUNTIFS($C$2:$C$1090,C43,$L$2:$L$1090,1,$G$2:$G$1090,"&gt;"&amp;G43),"")</f>
        <v>1</v>
      </c>
      <c r="O43" s="12" t="n">
        <f aca="false">IF(L43=1,1+COUNTIFS($C$2:$C$1090,C43,$L$2:$L$1090,1,$H$2:$H$1090,"&gt;"&amp;H43),"")</f>
        <v>2</v>
      </c>
      <c r="P43" s="12" t="n">
        <f aca="false">IF(L43=1,N43-O43,"")</f>
        <v>-1</v>
      </c>
      <c r="Q43" s="12" t="n">
        <f aca="false">INDEX(Directions!$D$2:$D$100,MATCH(C43,Directions!$A$2:$A$100,0))</f>
        <v>0</v>
      </c>
      <c r="R43" s="12" t="n">
        <f aca="false">IF(L43=1,P43*Q43,"")</f>
        <v>-0</v>
      </c>
      <c r="S43" s="12" t="str">
        <f aca="false">IF(L43&lt;&gt;1,"Excluded",IF(Q43=0,"No direction",IF(R43&gt;0,"Better",IF(R43&lt;0,"Worse","No change"))))</f>
        <v>No direction</v>
      </c>
      <c r="T43" s="12" t="s">
        <v>292</v>
      </c>
      <c r="U43" s="12" t="str">
        <f aca="false">C43&amp;"|"&amp;E43</f>
        <v>F1_04|CAN</v>
      </c>
    </row>
    <row r="44" customFormat="false" ht="15" hidden="false" customHeight="false" outlineLevel="0" collapsed="false">
      <c r="A44" s="12" t="n">
        <v>1</v>
      </c>
      <c r="B44" s="12" t="s">
        <v>42</v>
      </c>
      <c r="C44" s="12" t="s">
        <v>57</v>
      </c>
      <c r="D44" s="12" t="s">
        <v>58</v>
      </c>
      <c r="E44" s="12" t="s">
        <v>289</v>
      </c>
      <c r="F44" s="12" t="s">
        <v>36</v>
      </c>
      <c r="G44" s="12" t="n">
        <v>378</v>
      </c>
      <c r="H44" s="12" t="n">
        <v>364.6</v>
      </c>
      <c r="I44" s="12" t="s">
        <v>291</v>
      </c>
      <c r="J44" s="12" t="n">
        <v>6</v>
      </c>
      <c r="K44" s="12" t="n">
        <v>6</v>
      </c>
      <c r="L44" s="28" t="n">
        <v>1</v>
      </c>
      <c r="M44" s="12" t="n">
        <f aca="false">IF(L44=1,COUNTIFS($C$2:$C$1090,C44,$L$2:$L$1090,1),"")</f>
        <v>11</v>
      </c>
      <c r="N44" s="12" t="n">
        <f aca="false">IF(L44=1,1+COUNTIFS($C$2:$C$1090,C44,$L$2:$L$1090,1,$G$2:$G$1090,"&gt;"&amp;G44),"")</f>
        <v>6</v>
      </c>
      <c r="O44" s="12" t="n">
        <f aca="false">IF(L44=1,1+COUNTIFS($C$2:$C$1090,C44,$L$2:$L$1090,1,$H$2:$H$1090,"&gt;"&amp;H44),"")</f>
        <v>6</v>
      </c>
      <c r="P44" s="12" t="n">
        <f aca="false">IF(L44=1,N44-O44,"")</f>
        <v>0</v>
      </c>
      <c r="Q44" s="12" t="n">
        <f aca="false">INDEX(Directions!$D$2:$D$100,MATCH(C44,Directions!$A$2:$A$100,0))</f>
        <v>0</v>
      </c>
      <c r="R44" s="12" t="n">
        <f aca="false">IF(L44=1,P44*Q44,"")</f>
        <v>0</v>
      </c>
      <c r="S44" s="12" t="str">
        <f aca="false">IF(L44&lt;&gt;1,"Excluded",IF(Q44=0,"No direction",IF(R44&gt;0,"Better",IF(R44&lt;0,"Worse","No change"))))</f>
        <v>No direction</v>
      </c>
      <c r="T44" s="12" t="s">
        <v>292</v>
      </c>
      <c r="U44" s="12" t="str">
        <f aca="false">C44&amp;"|"&amp;E44</f>
        <v>F1_04|JPN</v>
      </c>
    </row>
    <row r="45" customFormat="false" ht="15" hidden="false" customHeight="false" outlineLevel="0" collapsed="false">
      <c r="A45" s="12" t="n">
        <v>1</v>
      </c>
      <c r="B45" s="12" t="s">
        <v>42</v>
      </c>
      <c r="C45" s="12" t="s">
        <v>57</v>
      </c>
      <c r="D45" s="12" t="s">
        <v>58</v>
      </c>
      <c r="E45" s="12" t="s">
        <v>290</v>
      </c>
      <c r="F45" s="12" t="s">
        <v>37</v>
      </c>
      <c r="G45" s="12" t="n">
        <v>7741</v>
      </c>
      <c r="H45" s="12" t="n">
        <v>7692</v>
      </c>
      <c r="I45" s="12" t="s">
        <v>291</v>
      </c>
      <c r="J45" s="12" t="n">
        <v>3</v>
      </c>
      <c r="K45" s="12" t="n">
        <v>3</v>
      </c>
      <c r="L45" s="28" t="n">
        <v>1</v>
      </c>
      <c r="M45" s="12" t="n">
        <f aca="false">IF(L45=1,COUNTIFS($C$2:$C$1090,C45,$L$2:$L$1090,1),"")</f>
        <v>11</v>
      </c>
      <c r="N45" s="12" t="n">
        <f aca="false">IF(L45=1,1+COUNTIFS($C$2:$C$1090,C45,$L$2:$L$1090,1,$G$2:$G$1090,"&gt;"&amp;G45),"")</f>
        <v>3</v>
      </c>
      <c r="O45" s="12" t="n">
        <f aca="false">IF(L45=1,1+COUNTIFS($C$2:$C$1090,C45,$L$2:$L$1090,1,$H$2:$H$1090,"&gt;"&amp;H45),"")</f>
        <v>3</v>
      </c>
      <c r="P45" s="12" t="n">
        <f aca="false">IF(L45=1,N45-O45,"")</f>
        <v>0</v>
      </c>
      <c r="Q45" s="12" t="n">
        <f aca="false">INDEX(Directions!$D$2:$D$100,MATCH(C45,Directions!$A$2:$A$100,0))</f>
        <v>0</v>
      </c>
      <c r="R45" s="12" t="n">
        <f aca="false">IF(L45=1,P45*Q45,"")</f>
        <v>0</v>
      </c>
      <c r="S45" s="12" t="str">
        <f aca="false">IF(L45&lt;&gt;1,"Excluded",IF(Q45=0,"No direction",IF(R45&gt;0,"Better",IF(R45&lt;0,"Worse","No change"))))</f>
        <v>No direction</v>
      </c>
      <c r="T45" s="12" t="s">
        <v>292</v>
      </c>
      <c r="U45" s="12" t="str">
        <f aca="false">C45&amp;"|"&amp;E45</f>
        <v>F1_04|AUS</v>
      </c>
    </row>
    <row r="46" customFormat="false" ht="15" hidden="false" customHeight="false" outlineLevel="0" collapsed="false">
      <c r="A46" s="12" t="n">
        <v>1</v>
      </c>
      <c r="B46" s="12" t="s">
        <v>42</v>
      </c>
      <c r="C46" s="12" t="s">
        <v>59</v>
      </c>
      <c r="D46" s="12" t="s">
        <v>60</v>
      </c>
      <c r="E46" s="12" t="s">
        <v>281</v>
      </c>
      <c r="F46" s="12" t="s">
        <v>27</v>
      </c>
      <c r="G46" s="12" t="n">
        <v>24</v>
      </c>
      <c r="H46" s="12" t="n">
        <v>25.1</v>
      </c>
      <c r="I46" s="12" t="s">
        <v>291</v>
      </c>
      <c r="J46" s="12" t="n">
        <v>1</v>
      </c>
      <c r="K46" s="12" t="n">
        <v>1</v>
      </c>
      <c r="L46" s="28" t="n">
        <v>1</v>
      </c>
      <c r="M46" s="12" t="n">
        <f aca="false">IF(L46=1,COUNTIFS($C$2:$C$1090,C46,$L$2:$L$1090,1),"")</f>
        <v>11</v>
      </c>
      <c r="N46" s="12" t="n">
        <f aca="false">IF(L46=1,1+COUNTIFS($C$2:$C$1090,C46,$L$2:$L$1090,1,$G$2:$G$1090,"&gt;"&amp;G46),"")</f>
        <v>1</v>
      </c>
      <c r="O46" s="12" t="n">
        <f aca="false">IF(L46=1,1+COUNTIFS($C$2:$C$1090,C46,$L$2:$L$1090,1,$H$2:$H$1090,"&gt;"&amp;H46),"")</f>
        <v>1</v>
      </c>
      <c r="P46" s="12" t="n">
        <f aca="false">IF(L46=1,N46-O46,"")</f>
        <v>0</v>
      </c>
      <c r="Q46" s="12" t="n">
        <f aca="false">INDEX(Directions!$D$2:$D$100,MATCH(C46,Directions!$A$2:$A$100,0))</f>
        <v>-1</v>
      </c>
      <c r="R46" s="12" t="n">
        <f aca="false">IF(L46=1,P46*Q46,"")</f>
        <v>-0</v>
      </c>
      <c r="S46" s="12" t="str">
        <f aca="false">IF(L46&lt;&gt;1,"Excluded",IF(Q46=0,"No direction",IF(R46&gt;0,"Better",IF(R46&lt;0,"Worse","No change"))))</f>
        <v>No change</v>
      </c>
      <c r="T46" s="12"/>
      <c r="U46" s="12" t="str">
        <f aca="false">C46&amp;"|"&amp;E46</f>
        <v>F1_05|USA</v>
      </c>
    </row>
    <row r="47" customFormat="false" ht="15" hidden="false" customHeight="false" outlineLevel="0" collapsed="false">
      <c r="A47" s="12" t="n">
        <v>1</v>
      </c>
      <c r="B47" s="12" t="s">
        <v>42</v>
      </c>
      <c r="C47" s="12" t="s">
        <v>59</v>
      </c>
      <c r="D47" s="12" t="s">
        <v>60</v>
      </c>
      <c r="E47" s="12" t="s">
        <v>283</v>
      </c>
      <c r="F47" s="12" t="s">
        <v>28</v>
      </c>
      <c r="G47" s="12" t="n">
        <v>18</v>
      </c>
      <c r="H47" s="12" t="n">
        <v>18.4</v>
      </c>
      <c r="I47" s="12" t="s">
        <v>291</v>
      </c>
      <c r="J47" s="12" t="n">
        <v>5</v>
      </c>
      <c r="K47" s="12" t="n">
        <v>5</v>
      </c>
      <c r="L47" s="28" t="n">
        <v>1</v>
      </c>
      <c r="M47" s="12" t="n">
        <f aca="false">IF(L47=1,COUNTIFS($C$2:$C$1090,C47,$L$2:$L$1090,1),"")</f>
        <v>11</v>
      </c>
      <c r="N47" s="12" t="n">
        <f aca="false">IF(L47=1,1+COUNTIFS($C$2:$C$1090,C47,$L$2:$L$1090,1,$G$2:$G$1090,"&gt;"&amp;G47),"")</f>
        <v>5</v>
      </c>
      <c r="O47" s="12" t="n">
        <f aca="false">IF(L47=1,1+COUNTIFS($C$2:$C$1090,C47,$L$2:$L$1090,1,$H$2:$H$1090,"&gt;"&amp;H47),"")</f>
        <v>5</v>
      </c>
      <c r="P47" s="12" t="n">
        <f aca="false">IF(L47=1,N47-O47,"")</f>
        <v>0</v>
      </c>
      <c r="Q47" s="12" t="n">
        <f aca="false">INDEX(Directions!$D$2:$D$100,MATCH(C47,Directions!$A$2:$A$100,0))</f>
        <v>-1</v>
      </c>
      <c r="R47" s="12" t="n">
        <f aca="false">IF(L47=1,P47*Q47,"")</f>
        <v>-0</v>
      </c>
      <c r="S47" s="12" t="str">
        <f aca="false">IF(L47&lt;&gt;1,"Excluded",IF(Q47=0,"No direction",IF(R47&gt;0,"Better",IF(R47&lt;0,"Worse","No change"))))</f>
        <v>No change</v>
      </c>
      <c r="T47" s="12"/>
      <c r="U47" s="12" t="str">
        <f aca="false">C47&amp;"|"&amp;E47</f>
        <v>F1_05|GBR</v>
      </c>
    </row>
    <row r="48" customFormat="false" ht="15" hidden="false" customHeight="false" outlineLevel="0" collapsed="false">
      <c r="A48" s="12" t="n">
        <v>1</v>
      </c>
      <c r="B48" s="12" t="s">
        <v>42</v>
      </c>
      <c r="C48" s="12" t="s">
        <v>59</v>
      </c>
      <c r="D48" s="12" t="s">
        <v>60</v>
      </c>
      <c r="E48" s="12" t="s">
        <v>284</v>
      </c>
      <c r="F48" s="12" t="s">
        <v>29</v>
      </c>
      <c r="G48" s="12" t="n">
        <v>16</v>
      </c>
      <c r="H48" s="12" t="n">
        <v>17.5</v>
      </c>
      <c r="I48" s="12" t="s">
        <v>291</v>
      </c>
      <c r="J48" s="12" t="n">
        <v>8</v>
      </c>
      <c r="K48" s="12" t="n">
        <v>6</v>
      </c>
      <c r="L48" s="28" t="n">
        <v>1</v>
      </c>
      <c r="M48" s="12" t="n">
        <f aca="false">IF(L48=1,COUNTIFS($C$2:$C$1090,C48,$L$2:$L$1090,1),"")</f>
        <v>11</v>
      </c>
      <c r="N48" s="12" t="n">
        <f aca="false">IF(L48=1,1+COUNTIFS($C$2:$C$1090,C48,$L$2:$L$1090,1,$G$2:$G$1090,"&gt;"&amp;G48),"")</f>
        <v>8</v>
      </c>
      <c r="O48" s="12" t="n">
        <f aca="false">IF(L48=1,1+COUNTIFS($C$2:$C$1090,C48,$L$2:$L$1090,1,$H$2:$H$1090,"&gt;"&amp;H48),"")</f>
        <v>6</v>
      </c>
      <c r="P48" s="12" t="n">
        <f aca="false">IF(L48=1,N48-O48,"")</f>
        <v>2</v>
      </c>
      <c r="Q48" s="12" t="n">
        <f aca="false">INDEX(Directions!$D$2:$D$100,MATCH(C48,Directions!$A$2:$A$100,0))</f>
        <v>-1</v>
      </c>
      <c r="R48" s="12" t="n">
        <f aca="false">IF(L48=1,P48*Q48,"")</f>
        <v>-2</v>
      </c>
      <c r="S48" s="12" t="str">
        <f aca="false">IF(L48&lt;&gt;1,"Excluded",IF(Q48=0,"No direction",IF(R48&gt;0,"Better",IF(R48&lt;0,"Worse","No change"))))</f>
        <v>Worse</v>
      </c>
      <c r="T48" s="12"/>
      <c r="U48" s="12" t="str">
        <f aca="false">C48&amp;"|"&amp;E48</f>
        <v>F1_05|DEU</v>
      </c>
    </row>
    <row r="49" customFormat="false" ht="15" hidden="false" customHeight="false" outlineLevel="0" collapsed="false">
      <c r="A49" s="12" t="n">
        <v>1</v>
      </c>
      <c r="B49" s="12" t="s">
        <v>42</v>
      </c>
      <c r="C49" s="12" t="s">
        <v>59</v>
      </c>
      <c r="D49" s="12" t="s">
        <v>60</v>
      </c>
      <c r="E49" s="12" t="s">
        <v>285</v>
      </c>
      <c r="F49" s="12" t="s">
        <v>30</v>
      </c>
      <c r="G49" s="12" t="n">
        <v>17</v>
      </c>
      <c r="H49" s="12" t="n">
        <v>15.5</v>
      </c>
      <c r="I49" s="12" t="s">
        <v>293</v>
      </c>
      <c r="J49" s="12" t="n">
        <v>6</v>
      </c>
      <c r="K49" s="12" t="n">
        <v>8</v>
      </c>
      <c r="L49" s="28" t="n">
        <v>1</v>
      </c>
      <c r="M49" s="12" t="n">
        <f aca="false">IF(L49=1,COUNTIFS($C$2:$C$1090,C49,$L$2:$L$1090,1),"")</f>
        <v>11</v>
      </c>
      <c r="N49" s="12" t="n">
        <f aca="false">IF(L49=1,1+COUNTIFS($C$2:$C$1090,C49,$L$2:$L$1090,1,$G$2:$G$1090,"&gt;"&amp;G49),"")</f>
        <v>6</v>
      </c>
      <c r="O49" s="12" t="n">
        <f aca="false">IF(L49=1,1+COUNTIFS($C$2:$C$1090,C49,$L$2:$L$1090,1,$H$2:$H$1090,"&gt;"&amp;H49),"")</f>
        <v>8</v>
      </c>
      <c r="P49" s="12" t="n">
        <f aca="false">IF(L49=1,N49-O49,"")</f>
        <v>-2</v>
      </c>
      <c r="Q49" s="12" t="n">
        <f aca="false">INDEX(Directions!$D$2:$D$100,MATCH(C49,Directions!$A$2:$A$100,0))</f>
        <v>-1</v>
      </c>
      <c r="R49" s="12" t="n">
        <f aca="false">IF(L49=1,P49*Q49,"")</f>
        <v>2</v>
      </c>
      <c r="S49" s="12" t="str">
        <f aca="false">IF(L49&lt;&gt;1,"Excluded",IF(Q49=0,"No direction",IF(R49&gt;0,"Better",IF(R49&lt;0,"Worse","No change"))))</f>
        <v>Better</v>
      </c>
      <c r="T49" s="12"/>
      <c r="U49" s="12" t="str">
        <f aca="false">C49&amp;"|"&amp;E49</f>
        <v>F1_05|SWE</v>
      </c>
    </row>
    <row r="50" customFormat="false" ht="15" hidden="false" customHeight="false" outlineLevel="0" collapsed="false">
      <c r="A50" s="12" t="n">
        <v>1</v>
      </c>
      <c r="B50" s="12" t="s">
        <v>42</v>
      </c>
      <c r="C50" s="12" t="s">
        <v>59</v>
      </c>
      <c r="D50" s="12" t="s">
        <v>60</v>
      </c>
      <c r="E50" s="12" t="s">
        <v>286</v>
      </c>
      <c r="F50" s="12" t="s">
        <v>31</v>
      </c>
      <c r="G50" s="12" t="n">
        <v>15</v>
      </c>
      <c r="H50" s="12" t="n">
        <v>15.4</v>
      </c>
      <c r="I50" s="12" t="s">
        <v>291</v>
      </c>
      <c r="J50" s="12" t="n">
        <v>9</v>
      </c>
      <c r="K50" s="12" t="n">
        <v>9</v>
      </c>
      <c r="L50" s="28" t="n">
        <v>1</v>
      </c>
      <c r="M50" s="12" t="n">
        <f aca="false">IF(L50=1,COUNTIFS($C$2:$C$1090,C50,$L$2:$L$1090,1),"")</f>
        <v>11</v>
      </c>
      <c r="N50" s="12" t="n">
        <f aca="false">IF(L50=1,1+COUNTIFS($C$2:$C$1090,C50,$L$2:$L$1090,1,$G$2:$G$1090,"&gt;"&amp;G50),"")</f>
        <v>9</v>
      </c>
      <c r="O50" s="12" t="n">
        <f aca="false">IF(L50=1,1+COUNTIFS($C$2:$C$1090,C50,$L$2:$L$1090,1,$H$2:$H$1090,"&gt;"&amp;H50),"")</f>
        <v>9</v>
      </c>
      <c r="P50" s="12" t="n">
        <f aca="false">IF(L50=1,N50-O50,"")</f>
        <v>0</v>
      </c>
      <c r="Q50" s="12" t="n">
        <f aca="false">INDEX(Directions!$D$2:$D$100,MATCH(C50,Directions!$A$2:$A$100,0))</f>
        <v>-1</v>
      </c>
      <c r="R50" s="12" t="n">
        <f aca="false">IF(L50=1,P50*Q50,"")</f>
        <v>-0</v>
      </c>
      <c r="S50" s="12" t="str">
        <f aca="false">IF(L50&lt;&gt;1,"Excluded",IF(Q50=0,"No direction",IF(R50&gt;0,"Better",IF(R50&lt;0,"Worse","No change"))))</f>
        <v>No change</v>
      </c>
      <c r="T50" s="12"/>
      <c r="U50" s="12" t="str">
        <f aca="false">C50&amp;"|"&amp;E50</f>
        <v>F1_05|FRA</v>
      </c>
    </row>
    <row r="51" customFormat="false" ht="15" hidden="false" customHeight="false" outlineLevel="0" collapsed="false">
      <c r="A51" s="12" t="n">
        <v>1</v>
      </c>
      <c r="B51" s="12" t="s">
        <v>42</v>
      </c>
      <c r="C51" s="12" t="s">
        <v>59</v>
      </c>
      <c r="D51" s="12" t="s">
        <v>60</v>
      </c>
      <c r="E51" s="12" t="s">
        <v>32</v>
      </c>
      <c r="F51" s="12" t="s">
        <v>32</v>
      </c>
      <c r="G51" s="12" t="n">
        <v>15</v>
      </c>
      <c r="H51" s="12" t="n">
        <v>15</v>
      </c>
      <c r="I51" s="12" t="s">
        <v>293</v>
      </c>
      <c r="J51" s="12" t="n">
        <v>10</v>
      </c>
      <c r="K51" s="12" t="n">
        <v>10</v>
      </c>
      <c r="L51" s="28" t="n">
        <v>1</v>
      </c>
      <c r="M51" s="12" t="n">
        <f aca="false">IF(L51=1,COUNTIFS($C$2:$C$1090,C51,$L$2:$L$1090,1),"")</f>
        <v>11</v>
      </c>
      <c r="N51" s="12" t="n">
        <f aca="false">IF(L51=1,1+COUNTIFS($C$2:$C$1090,C51,$L$2:$L$1090,1,$G$2:$G$1090,"&gt;"&amp;G51),"")</f>
        <v>9</v>
      </c>
      <c r="O51" s="12" t="n">
        <f aca="false">IF(L51=1,1+COUNTIFS($C$2:$C$1090,C51,$L$2:$L$1090,1,$H$2:$H$1090,"&gt;"&amp;H51),"")</f>
        <v>10</v>
      </c>
      <c r="P51" s="12" t="n">
        <f aca="false">IF(L51=1,N51-O51,"")</f>
        <v>-1</v>
      </c>
      <c r="Q51" s="12" t="n">
        <f aca="false">INDEX(Directions!$D$2:$D$100,MATCH(C51,Directions!$A$2:$A$100,0))</f>
        <v>-1</v>
      </c>
      <c r="R51" s="12" t="n">
        <f aca="false">IF(L51=1,P51*Q51,"")</f>
        <v>1</v>
      </c>
      <c r="S51" s="12" t="str">
        <f aca="false">IF(L51&lt;&gt;1,"Excluded",IF(Q51=0,"No direction",IF(R51&gt;0,"Better",IF(R51&lt;0,"Worse","No change"))))</f>
        <v>Better</v>
      </c>
      <c r="T51" s="12"/>
      <c r="U51" s="12" t="str">
        <f aca="false">C51&amp;"|"&amp;E51</f>
        <v>F1_05|NLD</v>
      </c>
    </row>
    <row r="52" customFormat="false" ht="15" hidden="false" customHeight="false" outlineLevel="0" collapsed="false">
      <c r="A52" s="12" t="n">
        <v>1</v>
      </c>
      <c r="B52" s="12" t="s">
        <v>42</v>
      </c>
      <c r="C52" s="12" t="s">
        <v>59</v>
      </c>
      <c r="D52" s="12" t="s">
        <v>60</v>
      </c>
      <c r="E52" s="12" t="s">
        <v>33</v>
      </c>
      <c r="F52" s="12" t="s">
        <v>33</v>
      </c>
      <c r="G52" s="12" t="n">
        <v>17</v>
      </c>
      <c r="H52" s="12" t="n">
        <v>16.4</v>
      </c>
      <c r="I52" s="12" t="s">
        <v>291</v>
      </c>
      <c r="J52" s="12" t="n">
        <v>7</v>
      </c>
      <c r="K52" s="12" t="n">
        <v>7</v>
      </c>
      <c r="L52" s="28" t="n">
        <v>1</v>
      </c>
      <c r="M52" s="12" t="n">
        <f aca="false">IF(L52=1,COUNTIFS($C$2:$C$1090,C52,$L$2:$L$1090,1),"")</f>
        <v>11</v>
      </c>
      <c r="N52" s="12" t="n">
        <f aca="false">IF(L52=1,1+COUNTIFS($C$2:$C$1090,C52,$L$2:$L$1090,1,$G$2:$G$1090,"&gt;"&amp;G52),"")</f>
        <v>6</v>
      </c>
      <c r="O52" s="12" t="n">
        <f aca="false">IF(L52=1,1+COUNTIFS($C$2:$C$1090,C52,$L$2:$L$1090,1,$H$2:$H$1090,"&gt;"&amp;H52),"")</f>
        <v>7</v>
      </c>
      <c r="P52" s="12" t="n">
        <f aca="false">IF(L52=1,N52-O52,"")</f>
        <v>-1</v>
      </c>
      <c r="Q52" s="12" t="n">
        <f aca="false">INDEX(Directions!$D$2:$D$100,MATCH(C52,Directions!$A$2:$A$100,0))</f>
        <v>-1</v>
      </c>
      <c r="R52" s="12" t="n">
        <f aca="false">IF(L52=1,P52*Q52,"")</f>
        <v>1</v>
      </c>
      <c r="S52" s="12" t="str">
        <f aca="false">IF(L52&lt;&gt;1,"Excluded",IF(Q52=0,"No direction",IF(R52&gt;0,"Better",IF(R52&lt;0,"Worse","No change"))))</f>
        <v>Better</v>
      </c>
      <c r="T52" s="12"/>
      <c r="U52" s="12" t="str">
        <f aca="false">C52&amp;"|"&amp;E52</f>
        <v>F1_05|CHE</v>
      </c>
    </row>
    <row r="53" customFormat="false" ht="15" hidden="false" customHeight="false" outlineLevel="0" collapsed="false">
      <c r="A53" s="12" t="n">
        <v>1</v>
      </c>
      <c r="B53" s="12" t="s">
        <v>42</v>
      </c>
      <c r="C53" s="12" t="s">
        <v>59</v>
      </c>
      <c r="D53" s="12" t="s">
        <v>60</v>
      </c>
      <c r="E53" s="12" t="s">
        <v>287</v>
      </c>
      <c r="F53" s="12" t="s">
        <v>34</v>
      </c>
      <c r="G53" s="12" t="n">
        <v>12</v>
      </c>
      <c r="H53" s="12" t="n">
        <v>12.9</v>
      </c>
      <c r="I53" s="12" t="s">
        <v>294</v>
      </c>
      <c r="J53" s="12" t="n">
        <v>11</v>
      </c>
      <c r="K53" s="12" t="n">
        <v>11</v>
      </c>
      <c r="L53" s="28" t="n">
        <v>1</v>
      </c>
      <c r="M53" s="12" t="n">
        <f aca="false">IF(L53=1,COUNTIFS($C$2:$C$1090,C53,$L$2:$L$1090,1),"")</f>
        <v>11</v>
      </c>
      <c r="N53" s="12" t="n">
        <f aca="false">IF(L53=1,1+COUNTIFS($C$2:$C$1090,C53,$L$2:$L$1090,1,$G$2:$G$1090,"&gt;"&amp;G53),"")</f>
        <v>11</v>
      </c>
      <c r="O53" s="12" t="n">
        <f aca="false">IF(L53=1,1+COUNTIFS($C$2:$C$1090,C53,$L$2:$L$1090,1,$H$2:$H$1090,"&gt;"&amp;H53),"")</f>
        <v>11</v>
      </c>
      <c r="P53" s="12" t="n">
        <f aca="false">IF(L53=1,N53-O53,"")</f>
        <v>0</v>
      </c>
      <c r="Q53" s="12" t="n">
        <f aca="false">INDEX(Directions!$D$2:$D$100,MATCH(C53,Directions!$A$2:$A$100,0))</f>
        <v>-1</v>
      </c>
      <c r="R53" s="12" t="n">
        <f aca="false">IF(L53=1,P53*Q53,"")</f>
        <v>-0</v>
      </c>
      <c r="S53" s="12" t="str">
        <f aca="false">IF(L53&lt;&gt;1,"Excluded",IF(Q53=0,"No direction",IF(R53&gt;0,"Better",IF(R53&lt;0,"Worse","No change"))))</f>
        <v>No change</v>
      </c>
      <c r="T53" s="12"/>
      <c r="U53" s="12" t="str">
        <f aca="false">C53&amp;"|"&amp;E53</f>
        <v>F1_05|DNK</v>
      </c>
    </row>
    <row r="54" customFormat="false" ht="15" hidden="false" customHeight="false" outlineLevel="0" collapsed="false">
      <c r="A54" s="12" t="n">
        <v>1</v>
      </c>
      <c r="B54" s="12" t="s">
        <v>42</v>
      </c>
      <c r="C54" s="12" t="s">
        <v>59</v>
      </c>
      <c r="D54" s="12" t="s">
        <v>60</v>
      </c>
      <c r="E54" s="12" t="s">
        <v>288</v>
      </c>
      <c r="F54" s="12" t="s">
        <v>35</v>
      </c>
      <c r="G54" s="12" t="n">
        <v>21</v>
      </c>
      <c r="H54" s="12" t="n">
        <v>18.8</v>
      </c>
      <c r="I54" s="12" t="s">
        <v>291</v>
      </c>
      <c r="J54" s="12" t="n">
        <v>3</v>
      </c>
      <c r="K54" s="12" t="n">
        <v>4</v>
      </c>
      <c r="L54" s="28" t="n">
        <v>1</v>
      </c>
      <c r="M54" s="12" t="n">
        <f aca="false">IF(L54=1,COUNTIFS($C$2:$C$1090,C54,$L$2:$L$1090,1),"")</f>
        <v>11</v>
      </c>
      <c r="N54" s="12" t="n">
        <f aca="false">IF(L54=1,1+COUNTIFS($C$2:$C$1090,C54,$L$2:$L$1090,1,$G$2:$G$1090,"&gt;"&amp;G54),"")</f>
        <v>3</v>
      </c>
      <c r="O54" s="12" t="n">
        <f aca="false">IF(L54=1,1+COUNTIFS($C$2:$C$1090,C54,$L$2:$L$1090,1,$H$2:$H$1090,"&gt;"&amp;H54),"")</f>
        <v>4</v>
      </c>
      <c r="P54" s="12" t="n">
        <f aca="false">IF(L54=1,N54-O54,"")</f>
        <v>-1</v>
      </c>
      <c r="Q54" s="12" t="n">
        <f aca="false">INDEX(Directions!$D$2:$D$100,MATCH(C54,Directions!$A$2:$A$100,0))</f>
        <v>-1</v>
      </c>
      <c r="R54" s="12" t="n">
        <f aca="false">IF(L54=1,P54*Q54,"")</f>
        <v>1</v>
      </c>
      <c r="S54" s="12" t="str">
        <f aca="false">IF(L54&lt;&gt;1,"Excluded",IF(Q54=0,"No direction",IF(R54&gt;0,"Better",IF(R54&lt;0,"Worse","No change"))))</f>
        <v>Better</v>
      </c>
      <c r="T54" s="12"/>
      <c r="U54" s="12" t="str">
        <f aca="false">C54&amp;"|"&amp;E54</f>
        <v>F1_05|CAN</v>
      </c>
    </row>
    <row r="55" customFormat="false" ht="15" hidden="false" customHeight="false" outlineLevel="0" collapsed="false">
      <c r="A55" s="12" t="n">
        <v>1</v>
      </c>
      <c r="B55" s="12" t="s">
        <v>42</v>
      </c>
      <c r="C55" s="12" t="s">
        <v>59</v>
      </c>
      <c r="D55" s="12" t="s">
        <v>60</v>
      </c>
      <c r="E55" s="12" t="s">
        <v>289</v>
      </c>
      <c r="F55" s="12" t="s">
        <v>36</v>
      </c>
      <c r="G55" s="12" t="n">
        <v>22</v>
      </c>
      <c r="H55" s="12" t="n">
        <v>21.3</v>
      </c>
      <c r="I55" s="12" t="s">
        <v>295</v>
      </c>
      <c r="J55" s="12" t="n">
        <v>2</v>
      </c>
      <c r="K55" s="12" t="n">
        <v>2</v>
      </c>
      <c r="L55" s="28" t="n">
        <v>1</v>
      </c>
      <c r="M55" s="12" t="n">
        <f aca="false">IF(L55=1,COUNTIFS($C$2:$C$1090,C55,$L$2:$L$1090,1),"")</f>
        <v>11</v>
      </c>
      <c r="N55" s="12" t="n">
        <f aca="false">IF(L55=1,1+COUNTIFS($C$2:$C$1090,C55,$L$2:$L$1090,1,$G$2:$G$1090,"&gt;"&amp;G55),"")</f>
        <v>2</v>
      </c>
      <c r="O55" s="12" t="n">
        <f aca="false">IF(L55=1,1+COUNTIFS($C$2:$C$1090,C55,$L$2:$L$1090,1,$H$2:$H$1090,"&gt;"&amp;H55),"")</f>
        <v>2</v>
      </c>
      <c r="P55" s="12" t="n">
        <f aca="false">IF(L55=1,N55-O55,"")</f>
        <v>0</v>
      </c>
      <c r="Q55" s="12" t="n">
        <f aca="false">INDEX(Directions!$D$2:$D$100,MATCH(C55,Directions!$A$2:$A$100,0))</f>
        <v>-1</v>
      </c>
      <c r="R55" s="12" t="n">
        <f aca="false">IF(L55=1,P55*Q55,"")</f>
        <v>-0</v>
      </c>
      <c r="S55" s="12" t="str">
        <f aca="false">IF(L55&lt;&gt;1,"Excluded",IF(Q55=0,"No direction",IF(R55&gt;0,"Better",IF(R55&lt;0,"Worse","No change"))))</f>
        <v>No change</v>
      </c>
      <c r="T55" s="12"/>
      <c r="U55" s="12" t="str">
        <f aca="false">C55&amp;"|"&amp;E55</f>
        <v>F1_05|JPN</v>
      </c>
    </row>
    <row r="56" customFormat="false" ht="15" hidden="false" customHeight="false" outlineLevel="0" collapsed="false">
      <c r="A56" s="12" t="n">
        <v>1</v>
      </c>
      <c r="B56" s="12" t="s">
        <v>42</v>
      </c>
      <c r="C56" s="12" t="s">
        <v>59</v>
      </c>
      <c r="D56" s="12" t="s">
        <v>60</v>
      </c>
      <c r="E56" s="12" t="s">
        <v>290</v>
      </c>
      <c r="F56" s="12" t="s">
        <v>37</v>
      </c>
      <c r="G56" s="12" t="n">
        <v>20</v>
      </c>
      <c r="H56" s="12" t="n">
        <v>20.4</v>
      </c>
      <c r="I56" s="12" t="s">
        <v>296</v>
      </c>
      <c r="J56" s="12" t="n">
        <v>4</v>
      </c>
      <c r="K56" s="12" t="n">
        <v>3</v>
      </c>
      <c r="L56" s="28" t="n">
        <v>1</v>
      </c>
      <c r="M56" s="12" t="n">
        <f aca="false">IF(L56=1,COUNTIFS($C$2:$C$1090,C56,$L$2:$L$1090,1),"")</f>
        <v>11</v>
      </c>
      <c r="N56" s="12" t="n">
        <f aca="false">IF(L56=1,1+COUNTIFS($C$2:$C$1090,C56,$L$2:$L$1090,1,$G$2:$G$1090,"&gt;"&amp;G56),"")</f>
        <v>4</v>
      </c>
      <c r="O56" s="12" t="n">
        <f aca="false">IF(L56=1,1+COUNTIFS($C$2:$C$1090,C56,$L$2:$L$1090,1,$H$2:$H$1090,"&gt;"&amp;H56),"")</f>
        <v>3</v>
      </c>
      <c r="P56" s="12" t="n">
        <f aca="false">IF(L56=1,N56-O56,"")</f>
        <v>1</v>
      </c>
      <c r="Q56" s="12" t="n">
        <f aca="false">INDEX(Directions!$D$2:$D$100,MATCH(C56,Directions!$A$2:$A$100,0))</f>
        <v>-1</v>
      </c>
      <c r="R56" s="12" t="n">
        <f aca="false">IF(L56=1,P56*Q56,"")</f>
        <v>-1</v>
      </c>
      <c r="S56" s="12" t="str">
        <f aca="false">IF(L56&lt;&gt;1,"Excluded",IF(Q56=0,"No direction",IF(R56&gt;0,"Better",IF(R56&lt;0,"Worse","No change"))))</f>
        <v>Worse</v>
      </c>
      <c r="T56" s="12"/>
      <c r="U56" s="12" t="str">
        <f aca="false">C56&amp;"|"&amp;E56</f>
        <v>F1_05|AUS</v>
      </c>
    </row>
    <row r="57" customFormat="false" ht="15" hidden="false" customHeight="false" outlineLevel="0" collapsed="false">
      <c r="A57" s="12" t="n">
        <v>1</v>
      </c>
      <c r="B57" s="12" t="s">
        <v>42</v>
      </c>
      <c r="C57" s="12" t="s">
        <v>62</v>
      </c>
      <c r="D57" s="12" t="s">
        <v>63</v>
      </c>
      <c r="E57" s="12" t="s">
        <v>281</v>
      </c>
      <c r="F57" s="12" t="s">
        <v>27</v>
      </c>
      <c r="G57" s="12" t="n">
        <v>17.8</v>
      </c>
      <c r="H57" s="12" t="n">
        <v>16.69</v>
      </c>
      <c r="I57" s="12" t="s">
        <v>291</v>
      </c>
      <c r="J57" s="12" t="n">
        <v>1</v>
      </c>
      <c r="K57" s="12" t="n">
        <v>1</v>
      </c>
      <c r="L57" s="28" t="n">
        <v>1</v>
      </c>
      <c r="M57" s="12" t="n">
        <f aca="false">IF(L57=1,COUNTIFS($C$2:$C$1090,C57,$L$2:$L$1090,1),"")</f>
        <v>11</v>
      </c>
      <c r="N57" s="12" t="n">
        <f aca="false">IF(L57=1,1+COUNTIFS($C$2:$C$1090,C57,$L$2:$L$1090,1,$G$2:$G$1090,"&gt;"&amp;G57),"")</f>
        <v>1</v>
      </c>
      <c r="O57" s="12" t="n">
        <f aca="false">IF(L57=1,1+COUNTIFS($C$2:$C$1090,C57,$L$2:$L$1090,1,$H$2:$H$1090,"&gt;"&amp;H57),"")</f>
        <v>1</v>
      </c>
      <c r="P57" s="12" t="n">
        <f aca="false">IF(L57=1,N57-O57,"")</f>
        <v>0</v>
      </c>
      <c r="Q57" s="12" t="n">
        <f aca="false">INDEX(Directions!$D$2:$D$100,MATCH(C57,Directions!$A$2:$A$100,0))</f>
        <v>0</v>
      </c>
      <c r="R57" s="12" t="n">
        <f aca="false">IF(L57=1,P57*Q57,"")</f>
        <v>0</v>
      </c>
      <c r="S57" s="12" t="str">
        <f aca="false">IF(L57&lt;&gt;1,"Excluded",IF(Q57=0,"No direction",IF(R57&gt;0,"Better",IF(R57&lt;0,"Worse","No change"))))</f>
        <v>No direction</v>
      </c>
      <c r="T57" s="12"/>
      <c r="U57" s="12" t="str">
        <f aca="false">C57&amp;"|"&amp;E57</f>
        <v>F1_06|USA</v>
      </c>
    </row>
    <row r="58" customFormat="false" ht="15" hidden="false" customHeight="false" outlineLevel="0" collapsed="false">
      <c r="A58" s="12" t="n">
        <v>1</v>
      </c>
      <c r="B58" s="12" t="s">
        <v>42</v>
      </c>
      <c r="C58" s="12" t="s">
        <v>62</v>
      </c>
      <c r="D58" s="12" t="s">
        <v>63</v>
      </c>
      <c r="E58" s="12" t="s">
        <v>283</v>
      </c>
      <c r="F58" s="12" t="s">
        <v>28</v>
      </c>
      <c r="G58" s="12" t="n">
        <v>9.7</v>
      </c>
      <c r="H58" s="12" t="n">
        <v>11.13</v>
      </c>
      <c r="I58" s="12" t="s">
        <v>293</v>
      </c>
      <c r="J58" s="12" t="n">
        <v>10</v>
      </c>
      <c r="K58" s="12" t="n">
        <v>7</v>
      </c>
      <c r="L58" s="28" t="n">
        <v>1</v>
      </c>
      <c r="M58" s="12" t="n">
        <f aca="false">IF(L58=1,COUNTIFS($C$2:$C$1090,C58,$L$2:$L$1090,1),"")</f>
        <v>11</v>
      </c>
      <c r="N58" s="12" t="n">
        <f aca="false">IF(L58=1,1+COUNTIFS($C$2:$C$1090,C58,$L$2:$L$1090,1,$G$2:$G$1090,"&gt;"&amp;G58),"")</f>
        <v>10</v>
      </c>
      <c r="O58" s="12" t="n">
        <f aca="false">IF(L58=1,1+COUNTIFS($C$2:$C$1090,C58,$L$2:$L$1090,1,$H$2:$H$1090,"&gt;"&amp;H58),"")</f>
        <v>7</v>
      </c>
      <c r="P58" s="12" t="n">
        <f aca="false">IF(L58=1,N58-O58,"")</f>
        <v>3</v>
      </c>
      <c r="Q58" s="12" t="n">
        <f aca="false">INDEX(Directions!$D$2:$D$100,MATCH(C58,Directions!$A$2:$A$100,0))</f>
        <v>0</v>
      </c>
      <c r="R58" s="12" t="n">
        <f aca="false">IF(L58=1,P58*Q58,"")</f>
        <v>0</v>
      </c>
      <c r="S58" s="12" t="str">
        <f aca="false">IF(L58&lt;&gt;1,"Excluded",IF(Q58=0,"No direction",IF(R58&gt;0,"Better",IF(R58&lt;0,"Worse","No change"))))</f>
        <v>No direction</v>
      </c>
      <c r="T58" s="12"/>
      <c r="U58" s="12" t="str">
        <f aca="false">C58&amp;"|"&amp;E58</f>
        <v>F1_06|GBR</v>
      </c>
    </row>
    <row r="59" customFormat="false" ht="15" hidden="false" customHeight="false" outlineLevel="0" collapsed="false">
      <c r="A59" s="12" t="n">
        <v>1</v>
      </c>
      <c r="B59" s="12" t="s">
        <v>42</v>
      </c>
      <c r="C59" s="12" t="s">
        <v>62</v>
      </c>
      <c r="D59" s="12" t="s">
        <v>63</v>
      </c>
      <c r="E59" s="12" t="s">
        <v>284</v>
      </c>
      <c r="F59" s="12" t="s">
        <v>29</v>
      </c>
      <c r="G59" s="12" t="n">
        <v>11.3</v>
      </c>
      <c r="H59" s="12" t="n">
        <v>12.27</v>
      </c>
      <c r="I59" s="12" t="s">
        <v>293</v>
      </c>
      <c r="J59" s="12" t="n">
        <v>4</v>
      </c>
      <c r="K59" s="12" t="n">
        <v>2</v>
      </c>
      <c r="L59" s="28" t="n">
        <v>1</v>
      </c>
      <c r="M59" s="12" t="n">
        <f aca="false">IF(L59=1,COUNTIFS($C$2:$C$1090,C59,$L$2:$L$1090,1),"")</f>
        <v>11</v>
      </c>
      <c r="N59" s="12" t="n">
        <f aca="false">IF(L59=1,1+COUNTIFS($C$2:$C$1090,C59,$L$2:$L$1090,1,$G$2:$G$1090,"&gt;"&amp;G59),"")</f>
        <v>4</v>
      </c>
      <c r="O59" s="12" t="n">
        <f aca="false">IF(L59=1,1+COUNTIFS($C$2:$C$1090,C59,$L$2:$L$1090,1,$H$2:$H$1090,"&gt;"&amp;H59),"")</f>
        <v>2</v>
      </c>
      <c r="P59" s="12" t="n">
        <f aca="false">IF(L59=1,N59-O59,"")</f>
        <v>2</v>
      </c>
      <c r="Q59" s="12" t="n">
        <f aca="false">INDEX(Directions!$D$2:$D$100,MATCH(C59,Directions!$A$2:$A$100,0))</f>
        <v>0</v>
      </c>
      <c r="R59" s="12" t="n">
        <f aca="false">IF(L59=1,P59*Q59,"")</f>
        <v>0</v>
      </c>
      <c r="S59" s="12" t="str">
        <f aca="false">IF(L59&lt;&gt;1,"Excluded",IF(Q59=0,"No direction",IF(R59&gt;0,"Better",IF(R59&lt;0,"Worse","No change"))))</f>
        <v>No direction</v>
      </c>
      <c r="T59" s="12"/>
      <c r="U59" s="12" t="str">
        <f aca="false">C59&amp;"|"&amp;E59</f>
        <v>F1_06|DEU</v>
      </c>
    </row>
    <row r="60" customFormat="false" ht="15" hidden="false" customHeight="false" outlineLevel="0" collapsed="false">
      <c r="A60" s="12" t="n">
        <v>1</v>
      </c>
      <c r="B60" s="12" t="s">
        <v>42</v>
      </c>
      <c r="C60" s="12" t="s">
        <v>62</v>
      </c>
      <c r="D60" s="12" t="s">
        <v>63</v>
      </c>
      <c r="E60" s="12" t="s">
        <v>285</v>
      </c>
      <c r="F60" s="12" t="s">
        <v>30</v>
      </c>
      <c r="G60" s="12" t="n">
        <v>11.9</v>
      </c>
      <c r="H60" s="12" t="n">
        <v>11.22</v>
      </c>
      <c r="I60" s="12" t="s">
        <v>293</v>
      </c>
      <c r="J60" s="12" t="n">
        <v>3</v>
      </c>
      <c r="K60" s="12" t="n">
        <v>6</v>
      </c>
      <c r="L60" s="28" t="n">
        <v>1</v>
      </c>
      <c r="M60" s="12" t="n">
        <f aca="false">IF(L60=1,COUNTIFS($C$2:$C$1090,C60,$L$2:$L$1090,1),"")</f>
        <v>11</v>
      </c>
      <c r="N60" s="12" t="n">
        <f aca="false">IF(L60=1,1+COUNTIFS($C$2:$C$1090,C60,$L$2:$L$1090,1,$G$2:$G$1090,"&gt;"&amp;G60),"")</f>
        <v>3</v>
      </c>
      <c r="O60" s="12" t="n">
        <f aca="false">IF(L60=1,1+COUNTIFS($C$2:$C$1090,C60,$L$2:$L$1090,1,$H$2:$H$1090,"&gt;"&amp;H60),"")</f>
        <v>6</v>
      </c>
      <c r="P60" s="12" t="n">
        <f aca="false">IF(L60=1,N60-O60,"")</f>
        <v>-3</v>
      </c>
      <c r="Q60" s="12" t="n">
        <f aca="false">INDEX(Directions!$D$2:$D$100,MATCH(C60,Directions!$A$2:$A$100,0))</f>
        <v>0</v>
      </c>
      <c r="R60" s="12" t="n">
        <f aca="false">IF(L60=1,P60*Q60,"")</f>
        <v>-0</v>
      </c>
      <c r="S60" s="12" t="str">
        <f aca="false">IF(L60&lt;&gt;1,"Excluded",IF(Q60=0,"No direction",IF(R60&gt;0,"Better",IF(R60&lt;0,"Worse","No change"))))</f>
        <v>No direction</v>
      </c>
      <c r="T60" s="12"/>
      <c r="U60" s="12" t="str">
        <f aca="false">C60&amp;"|"&amp;E60</f>
        <v>F1_06|SWE</v>
      </c>
    </row>
    <row r="61" customFormat="false" ht="15" hidden="false" customHeight="false" outlineLevel="0" collapsed="false">
      <c r="A61" s="12" t="n">
        <v>1</v>
      </c>
      <c r="B61" s="12" t="s">
        <v>42</v>
      </c>
      <c r="C61" s="12" t="s">
        <v>62</v>
      </c>
      <c r="D61" s="12" t="s">
        <v>63</v>
      </c>
      <c r="E61" s="12" t="s">
        <v>286</v>
      </c>
      <c r="F61" s="12" t="s">
        <v>31</v>
      </c>
      <c r="G61" s="12" t="n">
        <v>11</v>
      </c>
      <c r="H61" s="12" t="n">
        <v>11.54</v>
      </c>
      <c r="I61" s="12" t="s">
        <v>293</v>
      </c>
      <c r="J61" s="12" t="n">
        <v>5</v>
      </c>
      <c r="K61" s="12" t="n">
        <v>4</v>
      </c>
      <c r="L61" s="28" t="n">
        <v>1</v>
      </c>
      <c r="M61" s="12" t="n">
        <f aca="false">IF(L61=1,COUNTIFS($C$2:$C$1090,C61,$L$2:$L$1090,1),"")</f>
        <v>11</v>
      </c>
      <c r="N61" s="12" t="n">
        <f aca="false">IF(L61=1,1+COUNTIFS($C$2:$C$1090,C61,$L$2:$L$1090,1,$G$2:$G$1090,"&gt;"&amp;G61),"")</f>
        <v>5</v>
      </c>
      <c r="O61" s="12" t="n">
        <f aca="false">IF(L61=1,1+COUNTIFS($C$2:$C$1090,C61,$L$2:$L$1090,1,$H$2:$H$1090,"&gt;"&amp;H61),"")</f>
        <v>4</v>
      </c>
      <c r="P61" s="12" t="n">
        <f aca="false">IF(L61=1,N61-O61,"")</f>
        <v>1</v>
      </c>
      <c r="Q61" s="12" t="n">
        <f aca="false">INDEX(Directions!$D$2:$D$100,MATCH(C61,Directions!$A$2:$A$100,0))</f>
        <v>0</v>
      </c>
      <c r="R61" s="12" t="n">
        <f aca="false">IF(L61=1,P61*Q61,"")</f>
        <v>0</v>
      </c>
      <c r="S61" s="12" t="str">
        <f aca="false">IF(L61&lt;&gt;1,"Excluded",IF(Q61=0,"No direction",IF(R61&gt;0,"Better",IF(R61&lt;0,"Worse","No change"))))</f>
        <v>No direction</v>
      </c>
      <c r="T61" s="12"/>
      <c r="U61" s="12" t="str">
        <f aca="false">C61&amp;"|"&amp;E61</f>
        <v>F1_06|FRA</v>
      </c>
    </row>
    <row r="62" customFormat="false" ht="15" hidden="false" customHeight="false" outlineLevel="0" collapsed="false">
      <c r="A62" s="12" t="n">
        <v>1</v>
      </c>
      <c r="B62" s="12" t="s">
        <v>42</v>
      </c>
      <c r="C62" s="12" t="s">
        <v>62</v>
      </c>
      <c r="D62" s="12" t="s">
        <v>63</v>
      </c>
      <c r="E62" s="12" t="s">
        <v>32</v>
      </c>
      <c r="F62" s="12" t="s">
        <v>32</v>
      </c>
      <c r="G62" s="12" t="n">
        <v>10.5</v>
      </c>
      <c r="H62" s="12" t="n">
        <v>10.01</v>
      </c>
      <c r="I62" s="12" t="s">
        <v>293</v>
      </c>
      <c r="J62" s="12" t="n">
        <v>8</v>
      </c>
      <c r="K62" s="12" t="n">
        <v>10</v>
      </c>
      <c r="L62" s="28" t="n">
        <v>1</v>
      </c>
      <c r="M62" s="12" t="n">
        <f aca="false">IF(L62=1,COUNTIFS($C$2:$C$1090,C62,$L$2:$L$1090,1),"")</f>
        <v>11</v>
      </c>
      <c r="N62" s="12" t="n">
        <f aca="false">IF(L62=1,1+COUNTIFS($C$2:$C$1090,C62,$L$2:$L$1090,1,$G$2:$G$1090,"&gt;"&amp;G62),"")</f>
        <v>8</v>
      </c>
      <c r="O62" s="12" t="n">
        <f aca="false">IF(L62=1,1+COUNTIFS($C$2:$C$1090,C62,$L$2:$L$1090,1,$H$2:$H$1090,"&gt;"&amp;H62),"")</f>
        <v>10</v>
      </c>
      <c r="P62" s="12" t="n">
        <f aca="false">IF(L62=1,N62-O62,"")</f>
        <v>-2</v>
      </c>
      <c r="Q62" s="12" t="n">
        <f aca="false">INDEX(Directions!$D$2:$D$100,MATCH(C62,Directions!$A$2:$A$100,0))</f>
        <v>0</v>
      </c>
      <c r="R62" s="12" t="n">
        <f aca="false">IF(L62=1,P62*Q62,"")</f>
        <v>-0</v>
      </c>
      <c r="S62" s="12" t="str">
        <f aca="false">IF(L62&lt;&gt;1,"Excluded",IF(Q62=0,"No direction",IF(R62&gt;0,"Better",IF(R62&lt;0,"Worse","No change"))))</f>
        <v>No direction</v>
      </c>
      <c r="T62" s="12"/>
      <c r="U62" s="12" t="str">
        <f aca="false">C62&amp;"|"&amp;E62</f>
        <v>F1_06|NLD</v>
      </c>
    </row>
    <row r="63" customFormat="false" ht="15" hidden="false" customHeight="false" outlineLevel="0" collapsed="false">
      <c r="A63" s="12" t="n">
        <v>1</v>
      </c>
      <c r="B63" s="12" t="s">
        <v>42</v>
      </c>
      <c r="C63" s="12" t="s">
        <v>62</v>
      </c>
      <c r="D63" s="12" t="s">
        <v>63</v>
      </c>
      <c r="E63" s="12" t="s">
        <v>33</v>
      </c>
      <c r="F63" s="12" t="s">
        <v>33</v>
      </c>
      <c r="G63" s="12" t="n">
        <v>12.4</v>
      </c>
      <c r="H63" s="12" t="n">
        <v>11.69</v>
      </c>
      <c r="I63" s="12" t="s">
        <v>291</v>
      </c>
      <c r="J63" s="12" t="n">
        <v>2</v>
      </c>
      <c r="K63" s="12" t="n">
        <v>3</v>
      </c>
      <c r="L63" s="28" t="n">
        <v>1</v>
      </c>
      <c r="M63" s="12" t="n">
        <f aca="false">IF(L63=1,COUNTIFS($C$2:$C$1090,C63,$L$2:$L$1090,1),"")</f>
        <v>11</v>
      </c>
      <c r="N63" s="12" t="n">
        <f aca="false">IF(L63=1,1+COUNTIFS($C$2:$C$1090,C63,$L$2:$L$1090,1,$G$2:$G$1090,"&gt;"&amp;G63),"")</f>
        <v>2</v>
      </c>
      <c r="O63" s="12" t="n">
        <f aca="false">IF(L63=1,1+COUNTIFS($C$2:$C$1090,C63,$L$2:$L$1090,1,$H$2:$H$1090,"&gt;"&amp;H63),"")</f>
        <v>3</v>
      </c>
      <c r="P63" s="12" t="n">
        <f aca="false">IF(L63=1,N63-O63,"")</f>
        <v>-1</v>
      </c>
      <c r="Q63" s="12" t="n">
        <f aca="false">INDEX(Directions!$D$2:$D$100,MATCH(C63,Directions!$A$2:$A$100,0))</f>
        <v>0</v>
      </c>
      <c r="R63" s="12" t="n">
        <f aca="false">IF(L63=1,P63*Q63,"")</f>
        <v>-0</v>
      </c>
      <c r="S63" s="12" t="str">
        <f aca="false">IF(L63&lt;&gt;1,"Excluded",IF(Q63=0,"No direction",IF(R63&gt;0,"Better",IF(R63&lt;0,"Worse","No change"))))</f>
        <v>No direction</v>
      </c>
      <c r="T63" s="12"/>
      <c r="U63" s="12" t="str">
        <f aca="false">C63&amp;"|"&amp;E63</f>
        <v>F1_06|CHE</v>
      </c>
    </row>
    <row r="64" customFormat="false" ht="15" hidden="false" customHeight="false" outlineLevel="0" collapsed="false">
      <c r="A64" s="12" t="n">
        <v>1</v>
      </c>
      <c r="B64" s="12" t="s">
        <v>42</v>
      </c>
      <c r="C64" s="12" t="s">
        <v>62</v>
      </c>
      <c r="D64" s="12" t="s">
        <v>63</v>
      </c>
      <c r="E64" s="12" t="s">
        <v>287</v>
      </c>
      <c r="F64" s="12" t="s">
        <v>34</v>
      </c>
      <c r="G64" s="12" t="n">
        <v>10.8</v>
      </c>
      <c r="H64" s="12" t="n">
        <v>9.39</v>
      </c>
      <c r="I64" s="12" t="s">
        <v>293</v>
      </c>
      <c r="J64" s="12" t="n">
        <v>7</v>
      </c>
      <c r="K64" s="12" t="n">
        <v>11</v>
      </c>
      <c r="L64" s="28" t="n">
        <v>1</v>
      </c>
      <c r="M64" s="12" t="n">
        <f aca="false">IF(L64=1,COUNTIFS($C$2:$C$1090,C64,$L$2:$L$1090,1),"")</f>
        <v>11</v>
      </c>
      <c r="N64" s="12" t="n">
        <f aca="false">IF(L64=1,1+COUNTIFS($C$2:$C$1090,C64,$L$2:$L$1090,1,$G$2:$G$1090,"&gt;"&amp;G64),"")</f>
        <v>7</v>
      </c>
      <c r="O64" s="12" t="n">
        <f aca="false">IF(L64=1,1+COUNTIFS($C$2:$C$1090,C64,$L$2:$L$1090,1,$H$2:$H$1090,"&gt;"&amp;H64),"")</f>
        <v>11</v>
      </c>
      <c r="P64" s="12" t="n">
        <f aca="false">IF(L64=1,N64-O64,"")</f>
        <v>-4</v>
      </c>
      <c r="Q64" s="12" t="n">
        <f aca="false">INDEX(Directions!$D$2:$D$100,MATCH(C64,Directions!$A$2:$A$100,0))</f>
        <v>0</v>
      </c>
      <c r="R64" s="12" t="n">
        <f aca="false">IF(L64=1,P64*Q64,"")</f>
        <v>-0</v>
      </c>
      <c r="S64" s="12" t="str">
        <f aca="false">IF(L64&lt;&gt;1,"Excluded",IF(Q64=0,"No direction",IF(R64&gt;0,"Better",IF(R64&lt;0,"Worse","No change"))))</f>
        <v>No direction</v>
      </c>
      <c r="T64" s="12"/>
      <c r="U64" s="12" t="str">
        <f aca="false">C64&amp;"|"&amp;E64</f>
        <v>F1_06|DNK</v>
      </c>
    </row>
    <row r="65" customFormat="false" ht="15" hidden="false" customHeight="false" outlineLevel="0" collapsed="false">
      <c r="A65" s="12" t="n">
        <v>1</v>
      </c>
      <c r="B65" s="12" t="s">
        <v>42</v>
      </c>
      <c r="C65" s="12" t="s">
        <v>62</v>
      </c>
      <c r="D65" s="12" t="s">
        <v>63</v>
      </c>
      <c r="E65" s="12" t="s">
        <v>288</v>
      </c>
      <c r="F65" s="12" t="s">
        <v>35</v>
      </c>
      <c r="G65" s="12" t="n">
        <v>10.3</v>
      </c>
      <c r="H65" s="12" t="n">
        <v>11.31</v>
      </c>
      <c r="I65" s="12" t="s">
        <v>293</v>
      </c>
      <c r="J65" s="12" t="n">
        <v>9</v>
      </c>
      <c r="K65" s="12" t="n">
        <v>5</v>
      </c>
      <c r="L65" s="28" t="n">
        <v>1</v>
      </c>
      <c r="M65" s="12" t="n">
        <f aca="false">IF(L65=1,COUNTIFS($C$2:$C$1090,C65,$L$2:$L$1090,1),"")</f>
        <v>11</v>
      </c>
      <c r="N65" s="12" t="n">
        <f aca="false">IF(L65=1,1+COUNTIFS($C$2:$C$1090,C65,$L$2:$L$1090,1,$G$2:$G$1090,"&gt;"&amp;G65),"")</f>
        <v>9</v>
      </c>
      <c r="O65" s="12" t="n">
        <f aca="false">IF(L65=1,1+COUNTIFS($C$2:$C$1090,C65,$L$2:$L$1090,1,$H$2:$H$1090,"&gt;"&amp;H65),"")</f>
        <v>5</v>
      </c>
      <c r="P65" s="12" t="n">
        <f aca="false">IF(L65=1,N65-O65,"")</f>
        <v>4</v>
      </c>
      <c r="Q65" s="12" t="n">
        <f aca="false">INDEX(Directions!$D$2:$D$100,MATCH(C65,Directions!$A$2:$A$100,0))</f>
        <v>0</v>
      </c>
      <c r="R65" s="12" t="n">
        <f aca="false">IF(L65=1,P65*Q65,"")</f>
        <v>0</v>
      </c>
      <c r="S65" s="12" t="str">
        <f aca="false">IF(L65&lt;&gt;1,"Excluded",IF(Q65=0,"No direction",IF(R65&gt;0,"Better",IF(R65&lt;0,"Worse","No change"))))</f>
        <v>No direction</v>
      </c>
      <c r="T65" s="12"/>
      <c r="U65" s="12" t="str">
        <f aca="false">C65&amp;"|"&amp;E65</f>
        <v>F1_06|CAN</v>
      </c>
    </row>
    <row r="66" customFormat="false" ht="15" hidden="false" customHeight="false" outlineLevel="0" collapsed="false">
      <c r="A66" s="12" t="n">
        <v>1</v>
      </c>
      <c r="B66" s="12" t="s">
        <v>42</v>
      </c>
      <c r="C66" s="12" t="s">
        <v>62</v>
      </c>
      <c r="D66" s="12" t="s">
        <v>63</v>
      </c>
      <c r="E66" s="12" t="s">
        <v>289</v>
      </c>
      <c r="F66" s="12" t="s">
        <v>36</v>
      </c>
      <c r="G66" s="12" t="n">
        <v>10.9</v>
      </c>
      <c r="H66" s="12" t="n">
        <v>10.74</v>
      </c>
      <c r="I66" s="12" t="s">
        <v>291</v>
      </c>
      <c r="J66" s="12" t="n">
        <v>6</v>
      </c>
      <c r="K66" s="12" t="n">
        <v>8</v>
      </c>
      <c r="L66" s="28" t="n">
        <v>1</v>
      </c>
      <c r="M66" s="12" t="n">
        <f aca="false">IF(L66=1,COUNTIFS($C$2:$C$1090,C66,$L$2:$L$1090,1),"")</f>
        <v>11</v>
      </c>
      <c r="N66" s="12" t="n">
        <f aca="false">IF(L66=1,1+COUNTIFS($C$2:$C$1090,C66,$L$2:$L$1090,1,$G$2:$G$1090,"&gt;"&amp;G66),"")</f>
        <v>6</v>
      </c>
      <c r="O66" s="12" t="n">
        <f aca="false">IF(L66=1,1+COUNTIFS($C$2:$C$1090,C66,$L$2:$L$1090,1,$H$2:$H$1090,"&gt;"&amp;H66),"")</f>
        <v>8</v>
      </c>
      <c r="P66" s="12" t="n">
        <f aca="false">IF(L66=1,N66-O66,"")</f>
        <v>-2</v>
      </c>
      <c r="Q66" s="12" t="n">
        <f aca="false">INDEX(Directions!$D$2:$D$100,MATCH(C66,Directions!$A$2:$A$100,0))</f>
        <v>0</v>
      </c>
      <c r="R66" s="12" t="n">
        <f aca="false">IF(L66=1,P66*Q66,"")</f>
        <v>-0</v>
      </c>
      <c r="S66" s="12" t="str">
        <f aca="false">IF(L66&lt;&gt;1,"Excluded",IF(Q66=0,"No direction",IF(R66&gt;0,"Better",IF(R66&lt;0,"Worse","No change"))))</f>
        <v>No direction</v>
      </c>
      <c r="T66" s="12"/>
      <c r="U66" s="12" t="str">
        <f aca="false">C66&amp;"|"&amp;E66</f>
        <v>F1_06|JPN</v>
      </c>
    </row>
    <row r="67" customFormat="false" ht="15" hidden="false" customHeight="false" outlineLevel="0" collapsed="false">
      <c r="A67" s="12" t="n">
        <v>1</v>
      </c>
      <c r="B67" s="12" t="s">
        <v>42</v>
      </c>
      <c r="C67" s="12" t="s">
        <v>62</v>
      </c>
      <c r="D67" s="12" t="s">
        <v>63</v>
      </c>
      <c r="E67" s="12" t="s">
        <v>290</v>
      </c>
      <c r="F67" s="12" t="s">
        <v>37</v>
      </c>
      <c r="G67" s="12" t="n">
        <v>9.6</v>
      </c>
      <c r="H67" s="12" t="n">
        <v>10.4</v>
      </c>
      <c r="I67" s="12" t="s">
        <v>291</v>
      </c>
      <c r="J67" s="12" t="n">
        <v>11</v>
      </c>
      <c r="K67" s="12" t="n">
        <v>9</v>
      </c>
      <c r="L67" s="28" t="n">
        <v>1</v>
      </c>
      <c r="M67" s="12" t="n">
        <f aca="false">IF(L67=1,COUNTIFS($C$2:$C$1090,C67,$L$2:$L$1090,1),"")</f>
        <v>11</v>
      </c>
      <c r="N67" s="12" t="n">
        <f aca="false">IF(L67=1,1+COUNTIFS($C$2:$C$1090,C67,$L$2:$L$1090,1,$G$2:$G$1090,"&gt;"&amp;G67),"")</f>
        <v>11</v>
      </c>
      <c r="O67" s="12" t="n">
        <f aca="false">IF(L67=1,1+COUNTIFS($C$2:$C$1090,C67,$L$2:$L$1090,1,$H$2:$H$1090,"&gt;"&amp;H67),"")</f>
        <v>9</v>
      </c>
      <c r="P67" s="12" t="n">
        <f aca="false">IF(L67=1,N67-O67,"")</f>
        <v>2</v>
      </c>
      <c r="Q67" s="12" t="n">
        <f aca="false">INDEX(Directions!$D$2:$D$100,MATCH(C67,Directions!$A$2:$A$100,0))</f>
        <v>0</v>
      </c>
      <c r="R67" s="12" t="n">
        <f aca="false">IF(L67=1,P67*Q67,"")</f>
        <v>0</v>
      </c>
      <c r="S67" s="12" t="str">
        <f aca="false">IF(L67&lt;&gt;1,"Excluded",IF(Q67=0,"No direction",IF(R67&gt;0,"Better",IF(R67&lt;0,"Worse","No change"))))</f>
        <v>No direction</v>
      </c>
      <c r="T67" s="12"/>
      <c r="U67" s="12" t="str">
        <f aca="false">C67&amp;"|"&amp;E67</f>
        <v>F1_06|AUS</v>
      </c>
    </row>
    <row r="68" customFormat="false" ht="15" hidden="false" customHeight="false" outlineLevel="0" collapsed="false">
      <c r="A68" s="12" t="n">
        <v>1</v>
      </c>
      <c r="B68" s="12" t="s">
        <v>42</v>
      </c>
      <c r="C68" s="12" t="s">
        <v>64</v>
      </c>
      <c r="D68" s="12" t="s">
        <v>65</v>
      </c>
      <c r="E68" s="12" t="s">
        <v>281</v>
      </c>
      <c r="F68" s="12" t="s">
        <v>27</v>
      </c>
      <c r="G68" s="12" t="n">
        <v>8.3</v>
      </c>
      <c r="H68" s="12" t="n">
        <v>9.01</v>
      </c>
      <c r="I68" s="12" t="s">
        <v>291</v>
      </c>
      <c r="J68" s="12" t="n">
        <v>7</v>
      </c>
      <c r="K68" s="12" t="n">
        <v>4</v>
      </c>
      <c r="L68" s="28" t="n">
        <v>1</v>
      </c>
      <c r="M68" s="12" t="n">
        <f aca="false">IF(L68=1,COUNTIFS($C$2:$C$1090,C68,$L$2:$L$1090,1),"")</f>
        <v>9</v>
      </c>
      <c r="N68" s="12" t="n">
        <f aca="false">IF(L68=1,1+COUNTIFS($C$2:$C$1090,C68,$L$2:$L$1090,1,$G$2:$G$1090,"&gt;"&amp;G68),"")</f>
        <v>6</v>
      </c>
      <c r="O68" s="12" t="n">
        <f aca="false">IF(L68=1,1+COUNTIFS($C$2:$C$1090,C68,$L$2:$L$1090,1,$H$2:$H$1090,"&gt;"&amp;H68),"")</f>
        <v>4</v>
      </c>
      <c r="P68" s="12" t="n">
        <f aca="false">IF(L68=1,N68-O68,"")</f>
        <v>2</v>
      </c>
      <c r="Q68" s="12" t="n">
        <f aca="false">INDEX(Directions!$D$2:$D$100,MATCH(C68,Directions!$A$2:$A$100,0))</f>
        <v>0</v>
      </c>
      <c r="R68" s="12" t="n">
        <f aca="false">IF(L68=1,P68*Q68,"")</f>
        <v>0</v>
      </c>
      <c r="S68" s="12" t="str">
        <f aca="false">IF(L68&lt;&gt;1,"Excluded",IF(Q68=0,"No direction",IF(R68&gt;0,"Better",IF(R68&lt;0,"Worse","No change"))))</f>
        <v>No direction</v>
      </c>
      <c r="T68" s="12"/>
      <c r="U68" s="12" t="str">
        <f aca="false">C68&amp;"|"&amp;E68</f>
        <v>F1_07|USA</v>
      </c>
    </row>
    <row r="69" customFormat="false" ht="15" hidden="false" customHeight="false" outlineLevel="0" collapsed="false">
      <c r="A69" s="12" t="n">
        <v>1</v>
      </c>
      <c r="B69" s="12" t="s">
        <v>42</v>
      </c>
      <c r="C69" s="12" t="s">
        <v>64</v>
      </c>
      <c r="D69" s="12" t="s">
        <v>65</v>
      </c>
      <c r="E69" s="12" t="s">
        <v>283</v>
      </c>
      <c r="F69" s="12" t="s">
        <v>28</v>
      </c>
      <c r="G69" s="12" t="n">
        <v>7.6</v>
      </c>
      <c r="H69" s="12" t="n">
        <v>8.99</v>
      </c>
      <c r="I69" s="12" t="s">
        <v>291</v>
      </c>
      <c r="J69" s="12" t="n">
        <v>9</v>
      </c>
      <c r="K69" s="12" t="n">
        <v>5</v>
      </c>
      <c r="L69" s="28" t="n">
        <v>1</v>
      </c>
      <c r="M69" s="12" t="n">
        <f aca="false">IF(L69=1,COUNTIFS($C$2:$C$1090,C69,$L$2:$L$1090,1),"")</f>
        <v>9</v>
      </c>
      <c r="N69" s="12" t="n">
        <f aca="false">IF(L69=1,1+COUNTIFS($C$2:$C$1090,C69,$L$2:$L$1090,1,$G$2:$G$1090,"&gt;"&amp;G69),"")</f>
        <v>7</v>
      </c>
      <c r="O69" s="12" t="n">
        <f aca="false">IF(L69=1,1+COUNTIFS($C$2:$C$1090,C69,$L$2:$L$1090,1,$H$2:$H$1090,"&gt;"&amp;H69),"")</f>
        <v>5</v>
      </c>
      <c r="P69" s="12" t="n">
        <f aca="false">IF(L69=1,N69-O69,"")</f>
        <v>2</v>
      </c>
      <c r="Q69" s="12" t="n">
        <f aca="false">INDEX(Directions!$D$2:$D$100,MATCH(C69,Directions!$A$2:$A$100,0))</f>
        <v>0</v>
      </c>
      <c r="R69" s="12" t="n">
        <f aca="false">IF(L69=1,P69*Q69,"")</f>
        <v>0</v>
      </c>
      <c r="S69" s="12" t="str">
        <f aca="false">IF(L69&lt;&gt;1,"Excluded",IF(Q69=0,"No direction",IF(R69&gt;0,"Better",IF(R69&lt;0,"Worse","No change"))))</f>
        <v>No direction</v>
      </c>
      <c r="T69" s="12"/>
      <c r="U69" s="12" t="str">
        <f aca="false">C69&amp;"|"&amp;E69</f>
        <v>F1_07|GBR</v>
      </c>
    </row>
    <row r="70" customFormat="false" ht="15" hidden="false" customHeight="false" outlineLevel="0" collapsed="false">
      <c r="A70" s="12" t="n">
        <v>1</v>
      </c>
      <c r="B70" s="12" t="s">
        <v>42</v>
      </c>
      <c r="C70" s="12" t="s">
        <v>64</v>
      </c>
      <c r="D70" s="12" t="s">
        <v>65</v>
      </c>
      <c r="E70" s="12" t="s">
        <v>284</v>
      </c>
      <c r="F70" s="12" t="s">
        <v>29</v>
      </c>
      <c r="G70" s="12" t="n">
        <v>8.7</v>
      </c>
      <c r="H70" s="12" t="n">
        <v>9.29</v>
      </c>
      <c r="I70" s="12" t="s">
        <v>291</v>
      </c>
      <c r="J70" s="12" t="n">
        <v>4</v>
      </c>
      <c r="K70" s="12" t="n">
        <v>2</v>
      </c>
      <c r="L70" s="28" t="n">
        <v>1</v>
      </c>
      <c r="M70" s="12" t="n">
        <f aca="false">IF(L70=1,COUNTIFS($C$2:$C$1090,C70,$L$2:$L$1090,1),"")</f>
        <v>9</v>
      </c>
      <c r="N70" s="12" t="n">
        <f aca="false">IF(L70=1,1+COUNTIFS($C$2:$C$1090,C70,$L$2:$L$1090,1,$G$2:$G$1090,"&gt;"&amp;G70),"")</f>
        <v>3</v>
      </c>
      <c r="O70" s="12" t="n">
        <f aca="false">IF(L70=1,1+COUNTIFS($C$2:$C$1090,C70,$L$2:$L$1090,1,$H$2:$H$1090,"&gt;"&amp;H70),"")</f>
        <v>2</v>
      </c>
      <c r="P70" s="12" t="n">
        <f aca="false">IF(L70=1,N70-O70,"")</f>
        <v>1</v>
      </c>
      <c r="Q70" s="12" t="n">
        <f aca="false">INDEX(Directions!$D$2:$D$100,MATCH(C70,Directions!$A$2:$A$100,0))</f>
        <v>0</v>
      </c>
      <c r="R70" s="12" t="n">
        <f aca="false">IF(L70=1,P70*Q70,"")</f>
        <v>0</v>
      </c>
      <c r="S70" s="12" t="str">
        <f aca="false">IF(L70&lt;&gt;1,"Excluded",IF(Q70=0,"No direction",IF(R70&gt;0,"Better",IF(R70&lt;0,"Worse","No change"))))</f>
        <v>No direction</v>
      </c>
      <c r="T70" s="12"/>
      <c r="U70" s="12" t="str">
        <f aca="false">C70&amp;"|"&amp;E70</f>
        <v>F1_07|DEU</v>
      </c>
    </row>
    <row r="71" customFormat="false" ht="15" hidden="false" customHeight="false" outlineLevel="0" collapsed="false">
      <c r="A71" s="12" t="n">
        <v>1</v>
      </c>
      <c r="B71" s="12" t="s">
        <v>42</v>
      </c>
      <c r="C71" s="12" t="s">
        <v>64</v>
      </c>
      <c r="D71" s="12" t="s">
        <v>65</v>
      </c>
      <c r="E71" s="12" t="s">
        <v>285</v>
      </c>
      <c r="F71" s="12" t="s">
        <v>30</v>
      </c>
      <c r="G71" s="12" t="n">
        <v>10</v>
      </c>
      <c r="H71" s="12" t="n">
        <v>9.6</v>
      </c>
      <c r="I71" s="12" t="s">
        <v>291</v>
      </c>
      <c r="J71" s="12" t="n">
        <v>1</v>
      </c>
      <c r="K71" s="12" t="n">
        <v>1</v>
      </c>
      <c r="L71" s="28" t="n">
        <v>1</v>
      </c>
      <c r="M71" s="12" t="n">
        <f aca="false">IF(L71=1,COUNTIFS($C$2:$C$1090,C71,$L$2:$L$1090,1),"")</f>
        <v>9</v>
      </c>
      <c r="N71" s="12" t="n">
        <f aca="false">IF(L71=1,1+COUNTIFS($C$2:$C$1090,C71,$L$2:$L$1090,1,$G$2:$G$1090,"&gt;"&amp;G71),"")</f>
        <v>1</v>
      </c>
      <c r="O71" s="12" t="n">
        <f aca="false">IF(L71=1,1+COUNTIFS($C$2:$C$1090,C71,$L$2:$L$1090,1,$H$2:$H$1090,"&gt;"&amp;H71),"")</f>
        <v>1</v>
      </c>
      <c r="P71" s="12" t="n">
        <f aca="false">IF(L71=1,N71-O71,"")</f>
        <v>0</v>
      </c>
      <c r="Q71" s="12" t="n">
        <f aca="false">INDEX(Directions!$D$2:$D$100,MATCH(C71,Directions!$A$2:$A$100,0))</f>
        <v>0</v>
      </c>
      <c r="R71" s="12" t="n">
        <f aca="false">IF(L71=1,P71*Q71,"")</f>
        <v>0</v>
      </c>
      <c r="S71" s="12" t="str">
        <f aca="false">IF(L71&lt;&gt;1,"Excluded",IF(Q71=0,"No direction",IF(R71&gt;0,"Better",IF(R71&lt;0,"Worse","No change"))))</f>
        <v>No direction</v>
      </c>
      <c r="T71" s="12"/>
      <c r="U71" s="12" t="str">
        <f aca="false">C71&amp;"|"&amp;E71</f>
        <v>F1_07|SWE</v>
      </c>
    </row>
    <row r="72" customFormat="false" ht="15" hidden="false" customHeight="false" outlineLevel="0" collapsed="false">
      <c r="A72" s="12" t="n">
        <v>1</v>
      </c>
      <c r="B72" s="12" t="s">
        <v>42</v>
      </c>
      <c r="C72" s="12" t="s">
        <v>64</v>
      </c>
      <c r="D72" s="12" t="s">
        <v>65</v>
      </c>
      <c r="E72" s="12" t="s">
        <v>286</v>
      </c>
      <c r="F72" s="12" t="s">
        <v>31</v>
      </c>
      <c r="G72" s="12" t="n">
        <v>8.7</v>
      </c>
      <c r="H72" s="12" t="n">
        <v>7.89</v>
      </c>
      <c r="I72" s="12" t="s">
        <v>293</v>
      </c>
      <c r="J72" s="12" t="n">
        <v>5</v>
      </c>
      <c r="K72" s="12" t="n">
        <v>7</v>
      </c>
      <c r="L72" s="28" t="n">
        <v>1</v>
      </c>
      <c r="M72" s="12" t="n">
        <f aca="false">IF(L72=1,COUNTIFS($C$2:$C$1090,C72,$L$2:$L$1090,1),"")</f>
        <v>9</v>
      </c>
      <c r="N72" s="12" t="n">
        <f aca="false">IF(L72=1,1+COUNTIFS($C$2:$C$1090,C72,$L$2:$L$1090,1,$G$2:$G$1090,"&gt;"&amp;G72),"")</f>
        <v>3</v>
      </c>
      <c r="O72" s="12" t="n">
        <f aca="false">IF(L72=1,1+COUNTIFS($C$2:$C$1090,C72,$L$2:$L$1090,1,$H$2:$H$1090,"&gt;"&amp;H72),"")</f>
        <v>7</v>
      </c>
      <c r="P72" s="12" t="n">
        <f aca="false">IF(L72=1,N72-O72,"")</f>
        <v>-4</v>
      </c>
      <c r="Q72" s="12" t="n">
        <f aca="false">INDEX(Directions!$D$2:$D$100,MATCH(C72,Directions!$A$2:$A$100,0))</f>
        <v>0</v>
      </c>
      <c r="R72" s="12" t="n">
        <f aca="false">IF(L72=1,P72*Q72,"")</f>
        <v>-0</v>
      </c>
      <c r="S72" s="12" t="str">
        <f aca="false">IF(L72&lt;&gt;1,"Excluded",IF(Q72=0,"No direction",IF(R72&gt;0,"Better",IF(R72&lt;0,"Worse","No change"))))</f>
        <v>No direction</v>
      </c>
      <c r="T72" s="12"/>
      <c r="U72" s="12" t="str">
        <f aca="false">C72&amp;"|"&amp;E72</f>
        <v>F1_07|FRA</v>
      </c>
    </row>
    <row r="73" customFormat="false" ht="15" hidden="false" customHeight="false" outlineLevel="0" collapsed="false">
      <c r="A73" s="12" t="n">
        <v>1</v>
      </c>
      <c r="B73" s="12" t="s">
        <v>42</v>
      </c>
      <c r="C73" s="12" t="s">
        <v>64</v>
      </c>
      <c r="D73" s="12" t="s">
        <v>65</v>
      </c>
      <c r="E73" s="12" t="s">
        <v>32</v>
      </c>
      <c r="F73" s="12" t="s">
        <v>32</v>
      </c>
      <c r="G73" s="12" t="n">
        <v>9.5</v>
      </c>
      <c r="H73" s="12" t="n">
        <v>6.72</v>
      </c>
      <c r="I73" s="12" t="s">
        <v>291</v>
      </c>
      <c r="J73" s="12" t="n">
        <v>2</v>
      </c>
      <c r="K73" s="12" t="n">
        <v>10</v>
      </c>
      <c r="L73" s="28" t="n">
        <v>0</v>
      </c>
      <c r="M73" s="12" t="str">
        <f aca="false">IF(L73=1,COUNTIFS($C$2:$C$1090,C73,$L$2:$L$1090,1),"")</f>
        <v/>
      </c>
      <c r="N73" s="12" t="str">
        <f aca="false">IF(L73=1,1+COUNTIFS($C$2:$C$1090,C73,$L$2:$L$1090,1,$G$2:$G$1090,"&gt;"&amp;G73),"")</f>
        <v/>
      </c>
      <c r="O73" s="12" t="str">
        <f aca="false">IF(L73=1,1+COUNTIFS($C$2:$C$1090,C73,$L$2:$L$1090,1,$H$2:$H$1090,"&gt;"&amp;H73),"")</f>
        <v/>
      </c>
      <c r="P73" s="12" t="str">
        <f aca="false">IF(L73=1,N73-O73,"")</f>
        <v/>
      </c>
      <c r="Q73" s="12" t="n">
        <f aca="false">INDEX(Directions!$D$2:$D$100,MATCH(C73,Directions!$A$2:$A$100,0))</f>
        <v>0</v>
      </c>
      <c r="R73" s="12" t="str">
        <f aca="false">IF(L73=1,P73*Q73,"")</f>
        <v/>
      </c>
      <c r="S73" s="12" t="str">
        <f aca="false">IF(L73&lt;&gt;1,"Excluded",IF(Q73=0,"No direction",IF(R73&gt;0,"Better",IF(R73&lt;0,"Worse","No change"))))</f>
        <v>Excluded</v>
      </c>
      <c r="T73" s="12" t="s">
        <v>297</v>
      </c>
      <c r="U73" s="12" t="str">
        <f aca="false">C73&amp;"|"&amp;E73</f>
        <v>F1_07|NLD</v>
      </c>
    </row>
    <row r="74" customFormat="false" ht="15" hidden="false" customHeight="false" outlineLevel="0" collapsed="false">
      <c r="A74" s="12" t="n">
        <v>1</v>
      </c>
      <c r="B74" s="12" t="s">
        <v>42</v>
      </c>
      <c r="C74" s="12" t="s">
        <v>64</v>
      </c>
      <c r="D74" s="12" t="s">
        <v>65</v>
      </c>
      <c r="E74" s="12" t="s">
        <v>33</v>
      </c>
      <c r="F74" s="12" t="s">
        <v>33</v>
      </c>
      <c r="G74" s="12" t="n">
        <v>7.7</v>
      </c>
      <c r="H74" s="12" t="n">
        <v>3.87</v>
      </c>
      <c r="I74" s="12" t="s">
        <v>291</v>
      </c>
      <c r="J74" s="12" t="n">
        <v>8</v>
      </c>
      <c r="K74" s="12" t="n">
        <v>11</v>
      </c>
      <c r="L74" s="28" t="n">
        <v>0</v>
      </c>
      <c r="M74" s="12" t="str">
        <f aca="false">IF(L74=1,COUNTIFS($C$2:$C$1090,C74,$L$2:$L$1090,1),"")</f>
        <v/>
      </c>
      <c r="N74" s="12" t="str">
        <f aca="false">IF(L74=1,1+COUNTIFS($C$2:$C$1090,C74,$L$2:$L$1090,1,$G$2:$G$1090,"&gt;"&amp;G74),"")</f>
        <v/>
      </c>
      <c r="O74" s="12" t="str">
        <f aca="false">IF(L74=1,1+COUNTIFS($C$2:$C$1090,C74,$L$2:$L$1090,1,$H$2:$H$1090,"&gt;"&amp;H74),"")</f>
        <v/>
      </c>
      <c r="P74" s="12" t="str">
        <f aca="false">IF(L74=1,N74-O74,"")</f>
        <v/>
      </c>
      <c r="Q74" s="12" t="n">
        <f aca="false">INDEX(Directions!$D$2:$D$100,MATCH(C74,Directions!$A$2:$A$100,0))</f>
        <v>0</v>
      </c>
      <c r="R74" s="12" t="str">
        <f aca="false">IF(L74=1,P74*Q74,"")</f>
        <v/>
      </c>
      <c r="S74" s="12" t="str">
        <f aca="false">IF(L74&lt;&gt;1,"Excluded",IF(Q74=0,"No direction",IF(R74&gt;0,"Better",IF(R74&lt;0,"Worse","No change"))))</f>
        <v>Excluded</v>
      </c>
      <c r="T74" s="12" t="s">
        <v>297</v>
      </c>
      <c r="U74" s="12" t="str">
        <f aca="false">C74&amp;"|"&amp;E74</f>
        <v>F1_07|CHE</v>
      </c>
    </row>
    <row r="75" customFormat="false" ht="15" hidden="false" customHeight="false" outlineLevel="0" collapsed="false">
      <c r="A75" s="12" t="n">
        <v>1</v>
      </c>
      <c r="B75" s="12" t="s">
        <v>42</v>
      </c>
      <c r="C75" s="12" t="s">
        <v>64</v>
      </c>
      <c r="D75" s="12" t="s">
        <v>65</v>
      </c>
      <c r="E75" s="12" t="s">
        <v>287</v>
      </c>
      <c r="F75" s="12" t="s">
        <v>34</v>
      </c>
      <c r="G75" s="12" t="n">
        <v>9.2</v>
      </c>
      <c r="H75" s="12" t="n">
        <v>7.83</v>
      </c>
      <c r="I75" s="12" t="s">
        <v>293</v>
      </c>
      <c r="J75" s="12" t="n">
        <v>3</v>
      </c>
      <c r="K75" s="12" t="n">
        <v>8</v>
      </c>
      <c r="L75" s="28" t="n">
        <v>1</v>
      </c>
      <c r="M75" s="12" t="n">
        <f aca="false">IF(L75=1,COUNTIFS($C$2:$C$1090,C75,$L$2:$L$1090,1),"")</f>
        <v>9</v>
      </c>
      <c r="N75" s="12" t="n">
        <f aca="false">IF(L75=1,1+COUNTIFS($C$2:$C$1090,C75,$L$2:$L$1090,1,$G$2:$G$1090,"&gt;"&amp;G75),"")</f>
        <v>2</v>
      </c>
      <c r="O75" s="12" t="n">
        <f aca="false">IF(L75=1,1+COUNTIFS($C$2:$C$1090,C75,$L$2:$L$1090,1,$H$2:$H$1090,"&gt;"&amp;H75),"")</f>
        <v>8</v>
      </c>
      <c r="P75" s="12" t="n">
        <f aca="false">IF(L75=1,N75-O75,"")</f>
        <v>-6</v>
      </c>
      <c r="Q75" s="12" t="n">
        <f aca="false">INDEX(Directions!$D$2:$D$100,MATCH(C75,Directions!$A$2:$A$100,0))</f>
        <v>0</v>
      </c>
      <c r="R75" s="12" t="n">
        <f aca="false">IF(L75=1,P75*Q75,"")</f>
        <v>-0</v>
      </c>
      <c r="S75" s="12" t="str">
        <f aca="false">IF(L75&lt;&gt;1,"Excluded",IF(Q75=0,"No direction",IF(R75&gt;0,"Better",IF(R75&lt;0,"Worse","No change"))))</f>
        <v>No direction</v>
      </c>
      <c r="T75" s="12"/>
      <c r="U75" s="12" t="str">
        <f aca="false">C75&amp;"|"&amp;E75</f>
        <v>F1_07|DNK</v>
      </c>
    </row>
    <row r="76" customFormat="false" ht="15" hidden="false" customHeight="false" outlineLevel="0" collapsed="false">
      <c r="A76" s="12" t="n">
        <v>1</v>
      </c>
      <c r="B76" s="12" t="s">
        <v>42</v>
      </c>
      <c r="C76" s="12" t="s">
        <v>64</v>
      </c>
      <c r="D76" s="12" t="s">
        <v>65</v>
      </c>
      <c r="E76" s="12" t="s">
        <v>288</v>
      </c>
      <c r="F76" s="12" t="s">
        <v>35</v>
      </c>
      <c r="G76" s="12" t="n">
        <v>7.4</v>
      </c>
      <c r="H76" s="12" t="n">
        <v>7.94</v>
      </c>
      <c r="I76" s="12" t="s">
        <v>293</v>
      </c>
      <c r="J76" s="12" t="n">
        <v>10</v>
      </c>
      <c r="K76" s="12" t="n">
        <v>6</v>
      </c>
      <c r="L76" s="28" t="n">
        <v>1</v>
      </c>
      <c r="M76" s="12" t="n">
        <f aca="false">IF(L76=1,COUNTIFS($C$2:$C$1090,C76,$L$2:$L$1090,1),"")</f>
        <v>9</v>
      </c>
      <c r="N76" s="12" t="n">
        <f aca="false">IF(L76=1,1+COUNTIFS($C$2:$C$1090,C76,$L$2:$L$1090,1,$G$2:$G$1090,"&gt;"&amp;G76),"")</f>
        <v>8</v>
      </c>
      <c r="O76" s="12" t="n">
        <f aca="false">IF(L76=1,1+COUNTIFS($C$2:$C$1090,C76,$L$2:$L$1090,1,$H$2:$H$1090,"&gt;"&amp;H76),"")</f>
        <v>6</v>
      </c>
      <c r="P76" s="12" t="n">
        <f aca="false">IF(L76=1,N76-O76,"")</f>
        <v>2</v>
      </c>
      <c r="Q76" s="12" t="n">
        <f aca="false">INDEX(Directions!$D$2:$D$100,MATCH(C76,Directions!$A$2:$A$100,0))</f>
        <v>0</v>
      </c>
      <c r="R76" s="12" t="n">
        <f aca="false">IF(L76=1,P76*Q76,"")</f>
        <v>0</v>
      </c>
      <c r="S76" s="12" t="str">
        <f aca="false">IF(L76&lt;&gt;1,"Excluded",IF(Q76=0,"No direction",IF(R76&gt;0,"Better",IF(R76&lt;0,"Worse","No change"))))</f>
        <v>No direction</v>
      </c>
      <c r="T76" s="12"/>
      <c r="U76" s="12" t="str">
        <f aca="false">C76&amp;"|"&amp;E76</f>
        <v>F1_07|CAN</v>
      </c>
    </row>
    <row r="77" customFormat="false" ht="15" hidden="false" customHeight="false" outlineLevel="0" collapsed="false">
      <c r="A77" s="12" t="n">
        <v>1</v>
      </c>
      <c r="B77" s="12" t="s">
        <v>42</v>
      </c>
      <c r="C77" s="12" t="s">
        <v>64</v>
      </c>
      <c r="D77" s="12" t="s">
        <v>65</v>
      </c>
      <c r="E77" s="12" t="s">
        <v>289</v>
      </c>
      <c r="F77" s="12" t="s">
        <v>36</v>
      </c>
      <c r="G77" s="12" t="n">
        <v>8.6</v>
      </c>
      <c r="H77" s="12" t="n">
        <v>9.11</v>
      </c>
      <c r="I77" s="12" t="s">
        <v>291</v>
      </c>
      <c r="J77" s="12" t="n">
        <v>6</v>
      </c>
      <c r="K77" s="12" t="n">
        <v>3</v>
      </c>
      <c r="L77" s="28" t="n">
        <v>1</v>
      </c>
      <c r="M77" s="12" t="n">
        <f aca="false">IF(L77=1,COUNTIFS($C$2:$C$1090,C77,$L$2:$L$1090,1),"")</f>
        <v>9</v>
      </c>
      <c r="N77" s="12" t="n">
        <f aca="false">IF(L77=1,1+COUNTIFS($C$2:$C$1090,C77,$L$2:$L$1090,1,$G$2:$G$1090,"&gt;"&amp;G77),"")</f>
        <v>5</v>
      </c>
      <c r="O77" s="12" t="n">
        <f aca="false">IF(L77=1,1+COUNTIFS($C$2:$C$1090,C77,$L$2:$L$1090,1,$H$2:$H$1090,"&gt;"&amp;H77),"")</f>
        <v>3</v>
      </c>
      <c r="P77" s="12" t="n">
        <f aca="false">IF(L77=1,N77-O77,"")</f>
        <v>2</v>
      </c>
      <c r="Q77" s="12" t="n">
        <f aca="false">INDEX(Directions!$D$2:$D$100,MATCH(C77,Directions!$A$2:$A$100,0))</f>
        <v>0</v>
      </c>
      <c r="R77" s="12" t="n">
        <f aca="false">IF(L77=1,P77*Q77,"")</f>
        <v>0</v>
      </c>
      <c r="S77" s="12" t="str">
        <f aca="false">IF(L77&lt;&gt;1,"Excluded",IF(Q77=0,"No direction",IF(R77&gt;0,"Better",IF(R77&lt;0,"Worse","No change"))))</f>
        <v>No direction</v>
      </c>
      <c r="T77" s="12"/>
      <c r="U77" s="12" t="str">
        <f aca="false">C77&amp;"|"&amp;E77</f>
        <v>F1_07|JPN</v>
      </c>
    </row>
    <row r="78" customFormat="false" ht="15" hidden="false" customHeight="false" outlineLevel="0" collapsed="false">
      <c r="A78" s="12" t="n">
        <v>1</v>
      </c>
      <c r="B78" s="12" t="s">
        <v>42</v>
      </c>
      <c r="C78" s="12" t="s">
        <v>64</v>
      </c>
      <c r="D78" s="12" t="s">
        <v>65</v>
      </c>
      <c r="E78" s="12" t="s">
        <v>290</v>
      </c>
      <c r="F78" s="12" t="s">
        <v>37</v>
      </c>
      <c r="G78" s="12" t="n">
        <v>6.3</v>
      </c>
      <c r="H78" s="12" t="n">
        <v>7.66</v>
      </c>
      <c r="I78" s="12" t="s">
        <v>291</v>
      </c>
      <c r="J78" s="12" t="n">
        <v>11</v>
      </c>
      <c r="K78" s="12" t="n">
        <v>9</v>
      </c>
      <c r="L78" s="28" t="n">
        <v>1</v>
      </c>
      <c r="M78" s="12" t="n">
        <f aca="false">IF(L78=1,COUNTIFS($C$2:$C$1090,C78,$L$2:$L$1090,1),"")</f>
        <v>9</v>
      </c>
      <c r="N78" s="12" t="n">
        <f aca="false">IF(L78=1,1+COUNTIFS($C$2:$C$1090,C78,$L$2:$L$1090,1,$G$2:$G$1090,"&gt;"&amp;G78),"")</f>
        <v>9</v>
      </c>
      <c r="O78" s="12" t="n">
        <f aca="false">IF(L78=1,1+COUNTIFS($C$2:$C$1090,C78,$L$2:$L$1090,1,$H$2:$H$1090,"&gt;"&amp;H78),"")</f>
        <v>9</v>
      </c>
      <c r="P78" s="12" t="n">
        <f aca="false">IF(L78=1,N78-O78,"")</f>
        <v>0</v>
      </c>
      <c r="Q78" s="12" t="n">
        <f aca="false">INDEX(Directions!$D$2:$D$100,MATCH(C78,Directions!$A$2:$A$100,0))</f>
        <v>0</v>
      </c>
      <c r="R78" s="12" t="n">
        <f aca="false">IF(L78=1,P78*Q78,"")</f>
        <v>0</v>
      </c>
      <c r="S78" s="12" t="str">
        <f aca="false">IF(L78&lt;&gt;1,"Excluded",IF(Q78=0,"No direction",IF(R78&gt;0,"Better",IF(R78&lt;0,"Worse","No change"))))</f>
        <v>No direction</v>
      </c>
      <c r="T78" s="12"/>
      <c r="U78" s="12" t="str">
        <f aca="false">C78&amp;"|"&amp;E78</f>
        <v>F1_07|AUS</v>
      </c>
    </row>
    <row r="79" customFormat="false" ht="15" hidden="false" customHeight="false" outlineLevel="0" collapsed="false">
      <c r="A79" s="12" t="n">
        <v>1</v>
      </c>
      <c r="B79" s="12" t="s">
        <v>42</v>
      </c>
      <c r="C79" s="12" t="s">
        <v>66</v>
      </c>
      <c r="D79" s="12" t="s">
        <v>67</v>
      </c>
      <c r="E79" s="12" t="s">
        <v>281</v>
      </c>
      <c r="F79" s="12" t="s">
        <v>27</v>
      </c>
      <c r="G79" s="12" t="n">
        <v>9403</v>
      </c>
      <c r="H79" s="12" t="n">
        <v>13473</v>
      </c>
      <c r="I79" s="12" t="s">
        <v>291</v>
      </c>
      <c r="J79" s="12" t="n">
        <v>1</v>
      </c>
      <c r="K79" s="12" t="n">
        <v>1</v>
      </c>
      <c r="L79" s="28" t="n">
        <v>1</v>
      </c>
      <c r="M79" s="12" t="n">
        <f aca="false">IF(L79=1,COUNTIFS($C$2:$C$1090,C79,$L$2:$L$1090,1),"")</f>
        <v>11</v>
      </c>
      <c r="N79" s="12" t="n">
        <f aca="false">IF(L79=1,1+COUNTIFS($C$2:$C$1090,C79,$L$2:$L$1090,1,$G$2:$G$1090,"&gt;"&amp;G79),"")</f>
        <v>1</v>
      </c>
      <c r="O79" s="12" t="n">
        <f aca="false">IF(L79=1,1+COUNTIFS($C$2:$C$1090,C79,$L$2:$L$1090,1,$H$2:$H$1090,"&gt;"&amp;H79),"")</f>
        <v>1</v>
      </c>
      <c r="P79" s="12" t="n">
        <f aca="false">IF(L79=1,N79-O79,"")</f>
        <v>0</v>
      </c>
      <c r="Q79" s="12" t="n">
        <f aca="false">INDEX(Directions!$D$2:$D$100,MATCH(C79,Directions!$A$2:$A$100,0))</f>
        <v>0</v>
      </c>
      <c r="R79" s="12" t="n">
        <f aca="false">IF(L79=1,P79*Q79,"")</f>
        <v>0</v>
      </c>
      <c r="S79" s="12" t="str">
        <f aca="false">IF(L79&lt;&gt;1,"Excluded",IF(Q79=0,"No direction",IF(R79&gt;0,"Better",IF(R79&lt;0,"Worse","No change"))))</f>
        <v>No direction</v>
      </c>
      <c r="T79" s="12" t="s">
        <v>298</v>
      </c>
      <c r="U79" s="12" t="str">
        <f aca="false">C79&amp;"|"&amp;E79</f>
        <v>F1_08|USA</v>
      </c>
    </row>
    <row r="80" customFormat="false" ht="15" hidden="false" customHeight="false" outlineLevel="0" collapsed="false">
      <c r="A80" s="12" t="n">
        <v>1</v>
      </c>
      <c r="B80" s="12" t="s">
        <v>42</v>
      </c>
      <c r="C80" s="12" t="s">
        <v>66</v>
      </c>
      <c r="D80" s="12" t="s">
        <v>67</v>
      </c>
      <c r="E80" s="12" t="s">
        <v>283</v>
      </c>
      <c r="F80" s="12" t="s">
        <v>28</v>
      </c>
      <c r="G80" s="12" t="n">
        <v>3377</v>
      </c>
      <c r="H80" s="12" t="n">
        <v>6606</v>
      </c>
      <c r="I80" s="12" t="s">
        <v>293</v>
      </c>
      <c r="J80" s="12" t="n">
        <v>11</v>
      </c>
      <c r="K80" s="12" t="n">
        <v>10</v>
      </c>
      <c r="L80" s="28" t="n">
        <v>1</v>
      </c>
      <c r="M80" s="12" t="n">
        <f aca="false">IF(L80=1,COUNTIFS($C$2:$C$1090,C80,$L$2:$L$1090,1),"")</f>
        <v>11</v>
      </c>
      <c r="N80" s="12" t="n">
        <f aca="false">IF(L80=1,1+COUNTIFS($C$2:$C$1090,C80,$L$2:$L$1090,1,$G$2:$G$1090,"&gt;"&amp;G80),"")</f>
        <v>11</v>
      </c>
      <c r="O80" s="12" t="n">
        <f aca="false">IF(L80=1,1+COUNTIFS($C$2:$C$1090,C80,$L$2:$L$1090,1,$H$2:$H$1090,"&gt;"&amp;H80),"")</f>
        <v>10</v>
      </c>
      <c r="P80" s="12" t="n">
        <f aca="false">IF(L80=1,N80-O80,"")</f>
        <v>1</v>
      </c>
      <c r="Q80" s="12" t="n">
        <f aca="false">INDEX(Directions!$D$2:$D$100,MATCH(C80,Directions!$A$2:$A$100,0))</f>
        <v>0</v>
      </c>
      <c r="R80" s="12" t="n">
        <f aca="false">IF(L80=1,P80*Q80,"")</f>
        <v>0</v>
      </c>
      <c r="S80" s="12" t="str">
        <f aca="false">IF(L80&lt;&gt;1,"Excluded",IF(Q80=0,"No direction",IF(R80&gt;0,"Better",IF(R80&lt;0,"Worse","No change"))))</f>
        <v>No direction</v>
      </c>
      <c r="T80" s="12" t="s">
        <v>298</v>
      </c>
      <c r="U80" s="12" t="str">
        <f aca="false">C80&amp;"|"&amp;E80</f>
        <v>F1_08|GBR</v>
      </c>
    </row>
    <row r="81" customFormat="false" ht="15" hidden="false" customHeight="false" outlineLevel="0" collapsed="false">
      <c r="A81" s="12" t="n">
        <v>1</v>
      </c>
      <c r="B81" s="12" t="s">
        <v>42</v>
      </c>
      <c r="C81" s="12" t="s">
        <v>66</v>
      </c>
      <c r="D81" s="12" t="s">
        <v>67</v>
      </c>
      <c r="E81" s="12" t="s">
        <v>284</v>
      </c>
      <c r="F81" s="12" t="s">
        <v>29</v>
      </c>
      <c r="G81" s="12" t="n">
        <v>5182</v>
      </c>
      <c r="H81" s="12" t="n">
        <v>8826</v>
      </c>
      <c r="I81" s="12" t="s">
        <v>293</v>
      </c>
      <c r="J81" s="12" t="n">
        <v>6</v>
      </c>
      <c r="K81" s="12" t="n">
        <v>3</v>
      </c>
      <c r="L81" s="28" t="n">
        <v>1</v>
      </c>
      <c r="M81" s="12" t="n">
        <f aca="false">IF(L81=1,COUNTIFS($C$2:$C$1090,C81,$L$2:$L$1090,1),"")</f>
        <v>11</v>
      </c>
      <c r="N81" s="12" t="n">
        <f aca="false">IF(L81=1,1+COUNTIFS($C$2:$C$1090,C81,$L$2:$L$1090,1,$G$2:$G$1090,"&gt;"&amp;G81),"")</f>
        <v>6</v>
      </c>
      <c r="O81" s="12" t="n">
        <f aca="false">IF(L81=1,1+COUNTIFS($C$2:$C$1090,C81,$L$2:$L$1090,1,$H$2:$H$1090,"&gt;"&amp;H81),"")</f>
        <v>3</v>
      </c>
      <c r="P81" s="12" t="n">
        <f aca="false">IF(L81=1,N81-O81,"")</f>
        <v>3</v>
      </c>
      <c r="Q81" s="12" t="n">
        <f aca="false">INDEX(Directions!$D$2:$D$100,MATCH(C81,Directions!$A$2:$A$100,0))</f>
        <v>0</v>
      </c>
      <c r="R81" s="12" t="n">
        <f aca="false">IF(L81=1,P81*Q81,"")</f>
        <v>0</v>
      </c>
      <c r="S81" s="12" t="str">
        <f aca="false">IF(L81&lt;&gt;1,"Excluded",IF(Q81=0,"No direction",IF(R81&gt;0,"Better",IF(R81&lt;0,"Worse","No change"))))</f>
        <v>No direction</v>
      </c>
      <c r="T81" s="12" t="s">
        <v>298</v>
      </c>
      <c r="U81" s="12" t="str">
        <f aca="false">C81&amp;"|"&amp;E81</f>
        <v>F1_08|DEU</v>
      </c>
    </row>
    <row r="82" customFormat="false" ht="15" hidden="false" customHeight="false" outlineLevel="0" collapsed="false">
      <c r="A82" s="12" t="n">
        <v>1</v>
      </c>
      <c r="B82" s="12" t="s">
        <v>42</v>
      </c>
      <c r="C82" s="12" t="s">
        <v>66</v>
      </c>
      <c r="D82" s="12" t="s">
        <v>67</v>
      </c>
      <c r="E82" s="12" t="s">
        <v>285</v>
      </c>
      <c r="F82" s="12" t="s">
        <v>30</v>
      </c>
      <c r="G82" s="12" t="n">
        <v>6808</v>
      </c>
      <c r="H82" s="12" t="n">
        <v>7770</v>
      </c>
      <c r="I82" s="12" t="s">
        <v>293</v>
      </c>
      <c r="J82" s="12" t="n">
        <v>2</v>
      </c>
      <c r="K82" s="12" t="n">
        <v>5</v>
      </c>
      <c r="L82" s="28" t="n">
        <v>1</v>
      </c>
      <c r="M82" s="12" t="n">
        <f aca="false">IF(L82=1,COUNTIFS($C$2:$C$1090,C82,$L$2:$L$1090,1),"")</f>
        <v>11</v>
      </c>
      <c r="N82" s="12" t="n">
        <f aca="false">IF(L82=1,1+COUNTIFS($C$2:$C$1090,C82,$L$2:$L$1090,1,$G$2:$G$1090,"&gt;"&amp;G82),"")</f>
        <v>2</v>
      </c>
      <c r="O82" s="12" t="n">
        <f aca="false">IF(L82=1,1+COUNTIFS($C$2:$C$1090,C82,$L$2:$L$1090,1,$H$2:$H$1090,"&gt;"&amp;H82),"")</f>
        <v>5</v>
      </c>
      <c r="P82" s="12" t="n">
        <f aca="false">IF(L82=1,N82-O82,"")</f>
        <v>-3</v>
      </c>
      <c r="Q82" s="12" t="n">
        <f aca="false">INDEX(Directions!$D$2:$D$100,MATCH(C82,Directions!$A$2:$A$100,0))</f>
        <v>0</v>
      </c>
      <c r="R82" s="12" t="n">
        <f aca="false">IF(L82=1,P82*Q82,"")</f>
        <v>-0</v>
      </c>
      <c r="S82" s="12" t="str">
        <f aca="false">IF(L82&lt;&gt;1,"Excluded",IF(Q82=0,"No direction",IF(R82&gt;0,"Better",IF(R82&lt;0,"Worse","No change"))))</f>
        <v>No direction</v>
      </c>
      <c r="T82" s="12" t="s">
        <v>298</v>
      </c>
      <c r="U82" s="12" t="str">
        <f aca="false">C82&amp;"|"&amp;E82</f>
        <v>F1_08|SWE</v>
      </c>
    </row>
    <row r="83" customFormat="false" ht="15" hidden="false" customHeight="false" outlineLevel="0" collapsed="false">
      <c r="A83" s="12" t="n">
        <v>1</v>
      </c>
      <c r="B83" s="12" t="s">
        <v>42</v>
      </c>
      <c r="C83" s="12" t="s">
        <v>66</v>
      </c>
      <c r="D83" s="12" t="s">
        <v>67</v>
      </c>
      <c r="E83" s="12" t="s">
        <v>286</v>
      </c>
      <c r="F83" s="12" t="s">
        <v>31</v>
      </c>
      <c r="G83" s="12" t="n">
        <v>3661</v>
      </c>
      <c r="H83" s="12" t="n">
        <v>6868</v>
      </c>
      <c r="I83" s="12" t="s">
        <v>293</v>
      </c>
      <c r="J83" s="12" t="n">
        <v>10</v>
      </c>
      <c r="K83" s="12" t="n">
        <v>9</v>
      </c>
      <c r="L83" s="28" t="n">
        <v>1</v>
      </c>
      <c r="M83" s="12" t="n">
        <f aca="false">IF(L83=1,COUNTIFS($C$2:$C$1090,C83,$L$2:$L$1090,1),"")</f>
        <v>11</v>
      </c>
      <c r="N83" s="12" t="n">
        <f aca="false">IF(L83=1,1+COUNTIFS($C$2:$C$1090,C83,$L$2:$L$1090,1,$G$2:$G$1090,"&gt;"&amp;G83),"")</f>
        <v>10</v>
      </c>
      <c r="O83" s="12" t="n">
        <f aca="false">IF(L83=1,1+COUNTIFS($C$2:$C$1090,C83,$L$2:$L$1090,1,$H$2:$H$1090,"&gt;"&amp;H83),"")</f>
        <v>9</v>
      </c>
      <c r="P83" s="12" t="n">
        <f aca="false">IF(L83=1,N83-O83,"")</f>
        <v>1</v>
      </c>
      <c r="Q83" s="12" t="n">
        <f aca="false">INDEX(Directions!$D$2:$D$100,MATCH(C83,Directions!$A$2:$A$100,0))</f>
        <v>0</v>
      </c>
      <c r="R83" s="12" t="n">
        <f aca="false">IF(L83=1,P83*Q83,"")</f>
        <v>0</v>
      </c>
      <c r="S83" s="12" t="str">
        <f aca="false">IF(L83&lt;&gt;1,"Excluded",IF(Q83=0,"No direction",IF(R83&gt;0,"Better",IF(R83&lt;0,"Worse","No change"))))</f>
        <v>No direction</v>
      </c>
      <c r="T83" s="12" t="s">
        <v>298</v>
      </c>
      <c r="U83" s="12" t="str">
        <f aca="false">C83&amp;"|"&amp;E83</f>
        <v>F1_08|FRA</v>
      </c>
    </row>
    <row r="84" customFormat="false" ht="15" hidden="false" customHeight="false" outlineLevel="0" collapsed="false">
      <c r="A84" s="12" t="n">
        <v>1</v>
      </c>
      <c r="B84" s="12" t="s">
        <v>42</v>
      </c>
      <c r="C84" s="12" t="s">
        <v>66</v>
      </c>
      <c r="D84" s="12" t="s">
        <v>67</v>
      </c>
      <c r="E84" s="12" t="s">
        <v>32</v>
      </c>
      <c r="F84" s="12" t="s">
        <v>32</v>
      </c>
      <c r="G84" s="12" t="n">
        <v>5202</v>
      </c>
      <c r="H84" s="12" t="n">
        <v>8195</v>
      </c>
      <c r="I84" s="12" t="s">
        <v>293</v>
      </c>
      <c r="J84" s="12" t="n">
        <v>5</v>
      </c>
      <c r="K84" s="12" t="n">
        <v>4</v>
      </c>
      <c r="L84" s="28" t="n">
        <v>1</v>
      </c>
      <c r="M84" s="12" t="n">
        <f aca="false">IF(L84=1,COUNTIFS($C$2:$C$1090,C84,$L$2:$L$1090,1),"")</f>
        <v>11</v>
      </c>
      <c r="N84" s="12" t="n">
        <f aca="false">IF(L84=1,1+COUNTIFS($C$2:$C$1090,C84,$L$2:$L$1090,1,$G$2:$G$1090,"&gt;"&amp;G84),"")</f>
        <v>5</v>
      </c>
      <c r="O84" s="12" t="n">
        <f aca="false">IF(L84=1,1+COUNTIFS($C$2:$C$1090,C84,$L$2:$L$1090,1,$H$2:$H$1090,"&gt;"&amp;H84),"")</f>
        <v>4</v>
      </c>
      <c r="P84" s="12" t="n">
        <f aca="false">IF(L84=1,N84-O84,"")</f>
        <v>1</v>
      </c>
      <c r="Q84" s="12" t="n">
        <f aca="false">INDEX(Directions!$D$2:$D$100,MATCH(C84,Directions!$A$2:$A$100,0))</f>
        <v>0</v>
      </c>
      <c r="R84" s="12" t="n">
        <f aca="false">IF(L84=1,P84*Q84,"")</f>
        <v>0</v>
      </c>
      <c r="S84" s="12" t="str">
        <f aca="false">IF(L84&lt;&gt;1,"Excluded",IF(Q84=0,"No direction",IF(R84&gt;0,"Better",IF(R84&lt;0,"Worse","No change"))))</f>
        <v>No direction</v>
      </c>
      <c r="T84" s="12" t="s">
        <v>298</v>
      </c>
      <c r="U84" s="12" t="str">
        <f aca="false">C84&amp;"|"&amp;E84</f>
        <v>F1_08|NLD</v>
      </c>
    </row>
    <row r="85" customFormat="false" ht="15" hidden="false" customHeight="false" outlineLevel="0" collapsed="false">
      <c r="A85" s="12" t="n">
        <v>1</v>
      </c>
      <c r="B85" s="12" t="s">
        <v>42</v>
      </c>
      <c r="C85" s="12" t="s">
        <v>66</v>
      </c>
      <c r="D85" s="12" t="s">
        <v>67</v>
      </c>
      <c r="E85" s="12" t="s">
        <v>33</v>
      </c>
      <c r="F85" s="12" t="s">
        <v>33</v>
      </c>
      <c r="G85" s="12" t="n">
        <v>6787</v>
      </c>
      <c r="H85" s="12" t="n">
        <v>10602</v>
      </c>
      <c r="I85" s="12" t="s">
        <v>291</v>
      </c>
      <c r="J85" s="12" t="n">
        <v>3</v>
      </c>
      <c r="K85" s="12" t="n">
        <v>2</v>
      </c>
      <c r="L85" s="28" t="n">
        <v>1</v>
      </c>
      <c r="M85" s="12" t="n">
        <f aca="false">IF(L85=1,COUNTIFS($C$2:$C$1090,C85,$L$2:$L$1090,1),"")</f>
        <v>11</v>
      </c>
      <c r="N85" s="12" t="n">
        <f aca="false">IF(L85=1,1+COUNTIFS($C$2:$C$1090,C85,$L$2:$L$1090,1,$G$2:$G$1090,"&gt;"&amp;G85),"")</f>
        <v>3</v>
      </c>
      <c r="O85" s="12" t="n">
        <f aca="false">IF(L85=1,1+COUNTIFS($C$2:$C$1090,C85,$L$2:$L$1090,1,$H$2:$H$1090,"&gt;"&amp;H85),"")</f>
        <v>2</v>
      </c>
      <c r="P85" s="12" t="n">
        <f aca="false">IF(L85=1,N85-O85,"")</f>
        <v>1</v>
      </c>
      <c r="Q85" s="12" t="n">
        <f aca="false">INDEX(Directions!$D$2:$D$100,MATCH(C85,Directions!$A$2:$A$100,0))</f>
        <v>0</v>
      </c>
      <c r="R85" s="12" t="n">
        <f aca="false">IF(L85=1,P85*Q85,"")</f>
        <v>0</v>
      </c>
      <c r="S85" s="12" t="str">
        <f aca="false">IF(L85&lt;&gt;1,"Excluded",IF(Q85=0,"No direction",IF(R85&gt;0,"Better",IF(R85&lt;0,"Worse","No change"))))</f>
        <v>No direction</v>
      </c>
      <c r="T85" s="12" t="s">
        <v>298</v>
      </c>
      <c r="U85" s="12" t="str">
        <f aca="false">C85&amp;"|"&amp;E85</f>
        <v>F1_08|CHE</v>
      </c>
    </row>
    <row r="86" customFormat="false" ht="15" hidden="false" customHeight="false" outlineLevel="0" collapsed="false">
      <c r="A86" s="12" t="n">
        <v>1</v>
      </c>
      <c r="B86" s="12" t="s">
        <v>42</v>
      </c>
      <c r="C86" s="12" t="s">
        <v>66</v>
      </c>
      <c r="D86" s="12" t="s">
        <v>67</v>
      </c>
      <c r="E86" s="12" t="s">
        <v>287</v>
      </c>
      <c r="F86" s="12" t="s">
        <v>34</v>
      </c>
      <c r="G86" s="12" t="n">
        <v>6463</v>
      </c>
      <c r="H86" s="12" t="n">
        <v>7262</v>
      </c>
      <c r="I86" s="12" t="s">
        <v>293</v>
      </c>
      <c r="J86" s="12" t="n">
        <v>4</v>
      </c>
      <c r="K86" s="12" t="n">
        <v>8</v>
      </c>
      <c r="L86" s="28" t="n">
        <v>1</v>
      </c>
      <c r="M86" s="12" t="n">
        <f aca="false">IF(L86=1,COUNTIFS($C$2:$C$1090,C86,$L$2:$L$1090,1),"")</f>
        <v>11</v>
      </c>
      <c r="N86" s="12" t="n">
        <f aca="false">IF(L86=1,1+COUNTIFS($C$2:$C$1090,C86,$L$2:$L$1090,1,$G$2:$G$1090,"&gt;"&amp;G86),"")</f>
        <v>4</v>
      </c>
      <c r="O86" s="12" t="n">
        <f aca="false">IF(L86=1,1+COUNTIFS($C$2:$C$1090,C86,$L$2:$L$1090,1,$H$2:$H$1090,"&gt;"&amp;H86),"")</f>
        <v>8</v>
      </c>
      <c r="P86" s="12" t="n">
        <f aca="false">IF(L86=1,N86-O86,"")</f>
        <v>-4</v>
      </c>
      <c r="Q86" s="12" t="n">
        <f aca="false">INDEX(Directions!$D$2:$D$100,MATCH(C86,Directions!$A$2:$A$100,0))</f>
        <v>0</v>
      </c>
      <c r="R86" s="12" t="n">
        <f aca="false">IF(L86=1,P86*Q86,"")</f>
        <v>-0</v>
      </c>
      <c r="S86" s="12" t="str">
        <f aca="false">IF(L86&lt;&gt;1,"Excluded",IF(Q86=0,"No direction",IF(R86&gt;0,"Better",IF(R86&lt;0,"Worse","No change"))))</f>
        <v>No direction</v>
      </c>
      <c r="T86" s="12" t="s">
        <v>298</v>
      </c>
      <c r="U86" s="12" t="str">
        <f aca="false">C86&amp;"|"&amp;E86</f>
        <v>F1_08|DNK</v>
      </c>
    </row>
    <row r="87" customFormat="false" ht="15" hidden="false" customHeight="false" outlineLevel="0" collapsed="false">
      <c r="A87" s="12" t="n">
        <v>1</v>
      </c>
      <c r="B87" s="12" t="s">
        <v>42</v>
      </c>
      <c r="C87" s="12" t="s">
        <v>66</v>
      </c>
      <c r="D87" s="12" t="s">
        <v>67</v>
      </c>
      <c r="E87" s="12" t="s">
        <v>288</v>
      </c>
      <c r="F87" s="12" t="s">
        <v>35</v>
      </c>
      <c r="G87" s="12" t="n">
        <v>4641</v>
      </c>
      <c r="H87" s="12" t="n">
        <v>7646</v>
      </c>
      <c r="I87" s="12" t="s">
        <v>293</v>
      </c>
      <c r="J87" s="12" t="n">
        <v>7</v>
      </c>
      <c r="K87" s="12" t="n">
        <v>7</v>
      </c>
      <c r="L87" s="28" t="n">
        <v>1</v>
      </c>
      <c r="M87" s="12" t="n">
        <f aca="false">IF(L87=1,COUNTIFS($C$2:$C$1090,C87,$L$2:$L$1090,1),"")</f>
        <v>11</v>
      </c>
      <c r="N87" s="12" t="n">
        <f aca="false">IF(L87=1,1+COUNTIFS($C$2:$C$1090,C87,$L$2:$L$1090,1,$G$2:$G$1090,"&gt;"&amp;G87),"")</f>
        <v>7</v>
      </c>
      <c r="O87" s="12" t="n">
        <f aca="false">IF(L87=1,1+COUNTIFS($C$2:$C$1090,C87,$L$2:$L$1090,1,$H$2:$H$1090,"&gt;"&amp;H87),"")</f>
        <v>7</v>
      </c>
      <c r="P87" s="12" t="n">
        <f aca="false">IF(L87=1,N87-O87,"")</f>
        <v>0</v>
      </c>
      <c r="Q87" s="12" t="n">
        <f aca="false">INDEX(Directions!$D$2:$D$100,MATCH(C87,Directions!$A$2:$A$100,0))</f>
        <v>0</v>
      </c>
      <c r="R87" s="12" t="n">
        <f aca="false">IF(L87=1,P87*Q87,"")</f>
        <v>0</v>
      </c>
      <c r="S87" s="12" t="str">
        <f aca="false">IF(L87&lt;&gt;1,"Excluded",IF(Q87=0,"No direction",IF(R87&gt;0,"Better",IF(R87&lt;0,"Worse","No change"))))</f>
        <v>No direction</v>
      </c>
      <c r="T87" s="12" t="s">
        <v>298</v>
      </c>
      <c r="U87" s="12" t="str">
        <f aca="false">C87&amp;"|"&amp;E87</f>
        <v>F1_08|CAN</v>
      </c>
    </row>
    <row r="88" customFormat="false" ht="15" hidden="false" customHeight="false" outlineLevel="0" collapsed="false">
      <c r="A88" s="12" t="n">
        <v>1</v>
      </c>
      <c r="B88" s="12" t="s">
        <v>42</v>
      </c>
      <c r="C88" s="12" t="s">
        <v>66</v>
      </c>
      <c r="D88" s="12" t="s">
        <v>67</v>
      </c>
      <c r="E88" s="12" t="s">
        <v>289</v>
      </c>
      <c r="F88" s="12" t="s">
        <v>36</v>
      </c>
      <c r="G88" s="12" t="n">
        <v>3727</v>
      </c>
      <c r="H88" s="12" t="n">
        <v>5365</v>
      </c>
      <c r="I88" s="12" t="s">
        <v>291</v>
      </c>
      <c r="J88" s="12" t="n">
        <v>9</v>
      </c>
      <c r="K88" s="12" t="n">
        <v>11</v>
      </c>
      <c r="L88" s="28" t="n">
        <v>1</v>
      </c>
      <c r="M88" s="12" t="n">
        <f aca="false">IF(L88=1,COUNTIFS($C$2:$C$1090,C88,$L$2:$L$1090,1),"")</f>
        <v>11</v>
      </c>
      <c r="N88" s="12" t="n">
        <f aca="false">IF(L88=1,1+COUNTIFS($C$2:$C$1090,C88,$L$2:$L$1090,1,$G$2:$G$1090,"&gt;"&amp;G88),"")</f>
        <v>9</v>
      </c>
      <c r="O88" s="12" t="n">
        <f aca="false">IF(L88=1,1+COUNTIFS($C$2:$C$1090,C88,$L$2:$L$1090,1,$H$2:$H$1090,"&gt;"&amp;H88),"")</f>
        <v>11</v>
      </c>
      <c r="P88" s="12" t="n">
        <f aca="false">IF(L88=1,N88-O88,"")</f>
        <v>-2</v>
      </c>
      <c r="Q88" s="12" t="n">
        <f aca="false">INDEX(Directions!$D$2:$D$100,MATCH(C88,Directions!$A$2:$A$100,0))</f>
        <v>0</v>
      </c>
      <c r="R88" s="12" t="n">
        <f aca="false">IF(L88=1,P88*Q88,"")</f>
        <v>-0</v>
      </c>
      <c r="S88" s="12" t="str">
        <f aca="false">IF(L88&lt;&gt;1,"Excluded",IF(Q88=0,"No direction",IF(R88&gt;0,"Better",IF(R88&lt;0,"Worse","No change"))))</f>
        <v>No direction</v>
      </c>
      <c r="T88" s="12" t="s">
        <v>298</v>
      </c>
      <c r="U88" s="12" t="str">
        <f aca="false">C88&amp;"|"&amp;E88</f>
        <v>F1_08|JPN</v>
      </c>
    </row>
    <row r="89" customFormat="false" ht="15" hidden="false" customHeight="false" outlineLevel="0" collapsed="false">
      <c r="A89" s="12" t="n">
        <v>1</v>
      </c>
      <c r="B89" s="12" t="s">
        <v>42</v>
      </c>
      <c r="C89" s="12" t="s">
        <v>66</v>
      </c>
      <c r="D89" s="12" t="s">
        <v>67</v>
      </c>
      <c r="E89" s="12" t="s">
        <v>290</v>
      </c>
      <c r="F89" s="12" t="s">
        <v>37</v>
      </c>
      <c r="G89" s="12" t="n">
        <v>4357</v>
      </c>
      <c r="H89" s="12" t="n">
        <v>7691</v>
      </c>
      <c r="I89" s="12" t="s">
        <v>291</v>
      </c>
      <c r="J89" s="12" t="n">
        <v>8</v>
      </c>
      <c r="K89" s="12" t="n">
        <v>6</v>
      </c>
      <c r="L89" s="28" t="n">
        <v>1</v>
      </c>
      <c r="M89" s="12" t="n">
        <f aca="false">IF(L89=1,COUNTIFS($C$2:$C$1090,C89,$L$2:$L$1090,1),"")</f>
        <v>11</v>
      </c>
      <c r="N89" s="12" t="n">
        <f aca="false">IF(L89=1,1+COUNTIFS($C$2:$C$1090,C89,$L$2:$L$1090,1,$G$2:$G$1090,"&gt;"&amp;G89),"")</f>
        <v>8</v>
      </c>
      <c r="O89" s="12" t="n">
        <f aca="false">IF(L89=1,1+COUNTIFS($C$2:$C$1090,C89,$L$2:$L$1090,1,$H$2:$H$1090,"&gt;"&amp;H89),"")</f>
        <v>6</v>
      </c>
      <c r="P89" s="12" t="n">
        <f aca="false">IF(L89=1,N89-O89,"")</f>
        <v>2</v>
      </c>
      <c r="Q89" s="12" t="n">
        <f aca="false">INDEX(Directions!$D$2:$D$100,MATCH(C89,Directions!$A$2:$A$100,0))</f>
        <v>0</v>
      </c>
      <c r="R89" s="12" t="n">
        <f aca="false">IF(L89=1,P89*Q89,"")</f>
        <v>0</v>
      </c>
      <c r="S89" s="12" t="str">
        <f aca="false">IF(L89&lt;&gt;1,"Excluded",IF(Q89=0,"No direction",IF(R89&gt;0,"Better",IF(R89&lt;0,"Worse","No change"))))</f>
        <v>No direction</v>
      </c>
      <c r="T89" s="12" t="s">
        <v>298</v>
      </c>
      <c r="U89" s="12" t="str">
        <f aca="false">C89&amp;"|"&amp;E89</f>
        <v>F1_08|AUS</v>
      </c>
    </row>
    <row r="90" customFormat="false" ht="15" hidden="false" customHeight="false" outlineLevel="0" collapsed="false">
      <c r="A90" s="12" t="n">
        <v>1</v>
      </c>
      <c r="B90" s="12" t="s">
        <v>42</v>
      </c>
      <c r="C90" s="12" t="s">
        <v>68</v>
      </c>
      <c r="D90" s="12" t="s">
        <v>69</v>
      </c>
      <c r="E90" s="12" t="s">
        <v>281</v>
      </c>
      <c r="F90" s="12" t="s">
        <v>27</v>
      </c>
      <c r="G90" s="12" t="n">
        <v>19</v>
      </c>
      <c r="H90" s="12" t="n">
        <v>16.5</v>
      </c>
      <c r="I90" s="12" t="s">
        <v>299</v>
      </c>
      <c r="J90" s="12" t="n">
        <v>10</v>
      </c>
      <c r="K90" s="12" t="n">
        <v>9</v>
      </c>
      <c r="L90" s="28" t="n">
        <v>1</v>
      </c>
      <c r="M90" s="12" t="n">
        <f aca="false">IF(L90=1,COUNTIFS($C$2:$C$1090,C90,$L$2:$L$1090,1),"")</f>
        <v>10</v>
      </c>
      <c r="N90" s="12" t="n">
        <f aca="false">IF(L90=1,1+COUNTIFS($C$2:$C$1090,C90,$L$2:$L$1090,1,$G$2:$G$1090,"&gt;"&amp;G90),"")</f>
        <v>9</v>
      </c>
      <c r="O90" s="12" t="n">
        <f aca="false">IF(L90=1,1+COUNTIFS($C$2:$C$1090,C90,$L$2:$L$1090,1,$H$2:$H$1090,"&gt;"&amp;H90),"")</f>
        <v>9</v>
      </c>
      <c r="P90" s="12" t="n">
        <f aca="false">IF(L90=1,N90-O90,"")</f>
        <v>0</v>
      </c>
      <c r="Q90" s="12" t="n">
        <f aca="false">INDEX(Directions!$D$2:$D$100,MATCH(C90,Directions!$A$2:$A$100,0))</f>
        <v>0</v>
      </c>
      <c r="R90" s="12" t="n">
        <f aca="false">IF(L90=1,P90*Q90,"")</f>
        <v>0</v>
      </c>
      <c r="S90" s="12" t="str">
        <f aca="false">IF(L90&lt;&gt;1,"Excluded",IF(Q90=0,"No direction",IF(R90&gt;0,"Better",IF(R90&lt;0,"Worse","No change"))))</f>
        <v>No direction</v>
      </c>
      <c r="T90" s="12" t="s">
        <v>300</v>
      </c>
      <c r="U90" s="12" t="str">
        <f aca="false">C90&amp;"|"&amp;E90</f>
        <v>F1_09|USA</v>
      </c>
    </row>
    <row r="91" customFormat="false" ht="15" hidden="false" customHeight="false" outlineLevel="0" collapsed="false">
      <c r="A91" s="12" t="n">
        <v>1</v>
      </c>
      <c r="B91" s="12" t="s">
        <v>42</v>
      </c>
      <c r="C91" s="12" t="s">
        <v>68</v>
      </c>
      <c r="D91" s="12" t="s">
        <v>69</v>
      </c>
      <c r="E91" s="12" t="s">
        <v>283</v>
      </c>
      <c r="F91" s="12" t="s">
        <v>28</v>
      </c>
      <c r="G91" s="12" t="n">
        <v>24</v>
      </c>
      <c r="H91" s="12" t="n">
        <v>25.1</v>
      </c>
      <c r="I91" s="12" t="s">
        <v>293</v>
      </c>
      <c r="J91" s="12" t="n">
        <v>8</v>
      </c>
      <c r="K91" s="12" t="n">
        <v>5</v>
      </c>
      <c r="L91" s="28" t="n">
        <v>1</v>
      </c>
      <c r="M91" s="12" t="n">
        <f aca="false">IF(L91=1,COUNTIFS($C$2:$C$1090,C91,$L$2:$L$1090,1),"")</f>
        <v>10</v>
      </c>
      <c r="N91" s="12" t="n">
        <f aca="false">IF(L91=1,1+COUNTIFS($C$2:$C$1090,C91,$L$2:$L$1090,1,$G$2:$G$1090,"&gt;"&amp;G91),"")</f>
        <v>7</v>
      </c>
      <c r="O91" s="12" t="n">
        <f aca="false">IF(L91=1,1+COUNTIFS($C$2:$C$1090,C91,$L$2:$L$1090,1,$H$2:$H$1090,"&gt;"&amp;H91),"")</f>
        <v>5</v>
      </c>
      <c r="P91" s="12" t="n">
        <f aca="false">IF(L91=1,N91-O91,"")</f>
        <v>2</v>
      </c>
      <c r="Q91" s="12" t="n">
        <f aca="false">INDEX(Directions!$D$2:$D$100,MATCH(C91,Directions!$A$2:$A$100,0))</f>
        <v>0</v>
      </c>
      <c r="R91" s="12" t="n">
        <f aca="false">IF(L91=1,P91*Q91,"")</f>
        <v>0</v>
      </c>
      <c r="S91" s="12" t="str">
        <f aca="false">IF(L91&lt;&gt;1,"Excluded",IF(Q91=0,"No direction",IF(R91&gt;0,"Better",IF(R91&lt;0,"Worse","No change"))))</f>
        <v>No direction</v>
      </c>
      <c r="T91" s="12"/>
      <c r="U91" s="12" t="str">
        <f aca="false">C91&amp;"|"&amp;E91</f>
        <v>F1_09|GBR</v>
      </c>
    </row>
    <row r="92" customFormat="false" ht="15" hidden="false" customHeight="false" outlineLevel="0" collapsed="false">
      <c r="A92" s="12" t="n">
        <v>1</v>
      </c>
      <c r="B92" s="12" t="s">
        <v>42</v>
      </c>
      <c r="C92" s="12" t="s">
        <v>68</v>
      </c>
      <c r="D92" s="12" t="s">
        <v>69</v>
      </c>
      <c r="E92" s="12" t="s">
        <v>284</v>
      </c>
      <c r="F92" s="12" t="s">
        <v>29</v>
      </c>
      <c r="G92" s="12" t="n">
        <v>27</v>
      </c>
      <c r="H92" s="12" t="n">
        <v>25.2</v>
      </c>
      <c r="I92" s="12" t="s">
        <v>293</v>
      </c>
      <c r="J92" s="12" t="n">
        <v>6</v>
      </c>
      <c r="K92" s="12" t="n">
        <v>3</v>
      </c>
      <c r="L92" s="28" t="n">
        <v>1</v>
      </c>
      <c r="M92" s="12" t="n">
        <f aca="false">IF(L92=1,COUNTIFS($C$2:$C$1090,C92,$L$2:$L$1090,1),"")</f>
        <v>10</v>
      </c>
      <c r="N92" s="12" t="n">
        <f aca="false">IF(L92=1,1+COUNTIFS($C$2:$C$1090,C92,$L$2:$L$1090,1,$G$2:$G$1090,"&gt;"&amp;G92),"")</f>
        <v>5</v>
      </c>
      <c r="O92" s="12" t="n">
        <f aca="false">IF(L92=1,1+COUNTIFS($C$2:$C$1090,C92,$L$2:$L$1090,1,$H$2:$H$1090,"&gt;"&amp;H92),"")</f>
        <v>3</v>
      </c>
      <c r="P92" s="12" t="n">
        <f aca="false">IF(L92=1,N92-O92,"")</f>
        <v>2</v>
      </c>
      <c r="Q92" s="12" t="n">
        <f aca="false">INDEX(Directions!$D$2:$D$100,MATCH(C92,Directions!$A$2:$A$100,0))</f>
        <v>0</v>
      </c>
      <c r="R92" s="12" t="n">
        <f aca="false">IF(L92=1,P92*Q92,"")</f>
        <v>0</v>
      </c>
      <c r="S92" s="12" t="str">
        <f aca="false">IF(L92&lt;&gt;1,"Excluded",IF(Q92=0,"No direction",IF(R92&gt;0,"Better",IF(R92&lt;0,"Worse","No change"))))</f>
        <v>No direction</v>
      </c>
      <c r="T92" s="12"/>
      <c r="U92" s="12" t="str">
        <f aca="false">C92&amp;"|"&amp;E92</f>
        <v>F1_09|DEU</v>
      </c>
    </row>
    <row r="93" customFormat="false" ht="15" hidden="false" customHeight="false" outlineLevel="0" collapsed="false">
      <c r="A93" s="12" t="n">
        <v>1</v>
      </c>
      <c r="B93" s="12" t="s">
        <v>42</v>
      </c>
      <c r="C93" s="12" t="s">
        <v>68</v>
      </c>
      <c r="D93" s="12" t="s">
        <v>69</v>
      </c>
      <c r="E93" s="12" t="s">
        <v>285</v>
      </c>
      <c r="F93" s="12" t="s">
        <v>30</v>
      </c>
      <c r="G93" s="12" t="n">
        <v>21</v>
      </c>
      <c r="H93" s="12" t="n">
        <v>19.8</v>
      </c>
      <c r="I93" s="12" t="s">
        <v>293</v>
      </c>
      <c r="J93" s="12" t="n">
        <v>9</v>
      </c>
      <c r="K93" s="12" t="n">
        <v>8</v>
      </c>
      <c r="L93" s="28" t="n">
        <v>1</v>
      </c>
      <c r="M93" s="12" t="n">
        <f aca="false">IF(L93=1,COUNTIFS($C$2:$C$1090,C93,$L$2:$L$1090,1),"")</f>
        <v>10</v>
      </c>
      <c r="N93" s="12" t="n">
        <f aca="false">IF(L93=1,1+COUNTIFS($C$2:$C$1090,C93,$L$2:$L$1090,1,$G$2:$G$1090,"&gt;"&amp;G93),"")</f>
        <v>8</v>
      </c>
      <c r="O93" s="12" t="n">
        <f aca="false">IF(L93=1,1+COUNTIFS($C$2:$C$1090,C93,$L$2:$L$1090,1,$H$2:$H$1090,"&gt;"&amp;H93),"")</f>
        <v>8</v>
      </c>
      <c r="P93" s="12" t="n">
        <f aca="false">IF(L93=1,N93-O93,"")</f>
        <v>0</v>
      </c>
      <c r="Q93" s="12" t="n">
        <f aca="false">INDEX(Directions!$D$2:$D$100,MATCH(C93,Directions!$A$2:$A$100,0))</f>
        <v>0</v>
      </c>
      <c r="R93" s="12" t="n">
        <f aca="false">IF(L93=1,P93*Q93,"")</f>
        <v>0</v>
      </c>
      <c r="S93" s="12" t="str">
        <f aca="false">IF(L93&lt;&gt;1,"Excluded",IF(Q93=0,"No direction",IF(R93&gt;0,"Better",IF(R93&lt;0,"Worse","No change"))))</f>
        <v>No direction</v>
      </c>
      <c r="T93" s="12"/>
      <c r="U93" s="12" t="str">
        <f aca="false">C93&amp;"|"&amp;E93</f>
        <v>F1_09|SWE</v>
      </c>
    </row>
    <row r="94" customFormat="false" ht="15" hidden="false" customHeight="false" outlineLevel="0" collapsed="false">
      <c r="A94" s="12" t="n">
        <v>1</v>
      </c>
      <c r="B94" s="12" t="s">
        <v>42</v>
      </c>
      <c r="C94" s="12" t="s">
        <v>68</v>
      </c>
      <c r="D94" s="12" t="s">
        <v>69</v>
      </c>
      <c r="E94" s="12" t="s">
        <v>286</v>
      </c>
      <c r="F94" s="12" t="s">
        <v>31</v>
      </c>
      <c r="G94" s="12" t="n">
        <v>30</v>
      </c>
      <c r="H94" s="12" t="n">
        <v>25.2</v>
      </c>
      <c r="I94" s="12" t="s">
        <v>293</v>
      </c>
      <c r="J94" s="12" t="n">
        <v>3</v>
      </c>
      <c r="K94" s="12" t="n">
        <v>4</v>
      </c>
      <c r="L94" s="28" t="n">
        <v>1</v>
      </c>
      <c r="M94" s="12" t="n">
        <f aca="false">IF(L94=1,COUNTIFS($C$2:$C$1090,C94,$L$2:$L$1090,1),"")</f>
        <v>10</v>
      </c>
      <c r="N94" s="12" t="n">
        <f aca="false">IF(L94=1,1+COUNTIFS($C$2:$C$1090,C94,$L$2:$L$1090,1,$G$2:$G$1090,"&gt;"&amp;G94),"")</f>
        <v>2</v>
      </c>
      <c r="O94" s="12" t="n">
        <f aca="false">IF(L94=1,1+COUNTIFS($C$2:$C$1090,C94,$L$2:$L$1090,1,$H$2:$H$1090,"&gt;"&amp;H94),"")</f>
        <v>3</v>
      </c>
      <c r="P94" s="12" t="n">
        <f aca="false">IF(L94=1,N94-O94,"")</f>
        <v>-1</v>
      </c>
      <c r="Q94" s="12" t="n">
        <f aca="false">INDEX(Directions!$D$2:$D$100,MATCH(C94,Directions!$A$2:$A$100,0))</f>
        <v>0</v>
      </c>
      <c r="R94" s="12" t="n">
        <f aca="false">IF(L94=1,P94*Q94,"")</f>
        <v>-0</v>
      </c>
      <c r="S94" s="12" t="str">
        <f aca="false">IF(L94&lt;&gt;1,"Excluded",IF(Q94=0,"No direction",IF(R94&gt;0,"Better",IF(R94&lt;0,"Worse","No change"))))</f>
        <v>No direction</v>
      </c>
      <c r="T94" s="12"/>
      <c r="U94" s="12" t="str">
        <f aca="false">C94&amp;"|"&amp;E94</f>
        <v>F1_09|FRA</v>
      </c>
    </row>
    <row r="95" customFormat="false" ht="15" hidden="false" customHeight="false" outlineLevel="0" collapsed="false">
      <c r="A95" s="12" t="n">
        <v>1</v>
      </c>
      <c r="B95" s="12" t="s">
        <v>42</v>
      </c>
      <c r="C95" s="12" t="s">
        <v>68</v>
      </c>
      <c r="D95" s="12" t="s">
        <v>69</v>
      </c>
      <c r="E95" s="12" t="s">
        <v>32</v>
      </c>
      <c r="F95" s="12" t="s">
        <v>32</v>
      </c>
      <c r="G95" s="12" t="n">
        <v>32</v>
      </c>
      <c r="H95" s="12" t="n">
        <v>14.5</v>
      </c>
      <c r="I95" s="12" t="s">
        <v>282</v>
      </c>
      <c r="J95" s="12" t="n">
        <v>1</v>
      </c>
      <c r="K95" s="12" t="n">
        <v>11</v>
      </c>
      <c r="L95" s="28" t="n">
        <v>0</v>
      </c>
      <c r="M95" s="12" t="str">
        <f aca="false">IF(L95=1,COUNTIFS($C$2:$C$1090,C95,$L$2:$L$1090,1),"")</f>
        <v/>
      </c>
      <c r="N95" s="12" t="str">
        <f aca="false">IF(L95=1,1+COUNTIFS($C$2:$C$1090,C95,$L$2:$L$1090,1,$G$2:$G$1090,"&gt;"&amp;G95),"")</f>
        <v/>
      </c>
      <c r="O95" s="12" t="str">
        <f aca="false">IF(L95=1,1+COUNTIFS($C$2:$C$1090,C95,$L$2:$L$1090,1,$H$2:$H$1090,"&gt;"&amp;H95),"")</f>
        <v/>
      </c>
      <c r="P95" s="12" t="str">
        <f aca="false">IF(L95=1,N95-O95,"")</f>
        <v/>
      </c>
      <c r="Q95" s="12" t="n">
        <f aca="false">INDEX(Directions!$D$2:$D$100,MATCH(C95,Directions!$A$2:$A$100,0))</f>
        <v>0</v>
      </c>
      <c r="R95" s="12" t="str">
        <f aca="false">IF(L95=1,P95*Q95,"")</f>
        <v/>
      </c>
      <c r="S95" s="12" t="str">
        <f aca="false">IF(L95&lt;&gt;1,"Excluded",IF(Q95=0,"No direction",IF(R95&gt;0,"Better",IF(R95&lt;0,"Worse","No change"))))</f>
        <v>Excluded</v>
      </c>
      <c r="T95" s="12" t="s">
        <v>301</v>
      </c>
      <c r="U95" s="12" t="str">
        <f aca="false">C95&amp;"|"&amp;E95</f>
        <v>F1_09|NLD</v>
      </c>
    </row>
    <row r="96" customFormat="false" ht="15" hidden="false" customHeight="false" outlineLevel="0" collapsed="false">
      <c r="A96" s="12" t="n">
        <v>1</v>
      </c>
      <c r="B96" s="12" t="s">
        <v>42</v>
      </c>
      <c r="C96" s="12" t="s">
        <v>68</v>
      </c>
      <c r="D96" s="12" t="s">
        <v>69</v>
      </c>
      <c r="E96" s="12" t="s">
        <v>33</v>
      </c>
      <c r="F96" s="12" t="s">
        <v>33</v>
      </c>
      <c r="G96" s="12" t="n">
        <v>28</v>
      </c>
      <c r="H96" s="12" t="n">
        <v>23.4</v>
      </c>
      <c r="I96" s="12" t="s">
        <v>293</v>
      </c>
      <c r="J96" s="12" t="n">
        <v>4</v>
      </c>
      <c r="K96" s="12" t="n">
        <v>6</v>
      </c>
      <c r="L96" s="28" t="n">
        <v>1</v>
      </c>
      <c r="M96" s="12" t="n">
        <f aca="false">IF(L96=1,COUNTIFS($C$2:$C$1090,C96,$L$2:$L$1090,1),"")</f>
        <v>10</v>
      </c>
      <c r="N96" s="12" t="n">
        <f aca="false">IF(L96=1,1+COUNTIFS($C$2:$C$1090,C96,$L$2:$L$1090,1,$G$2:$G$1090,"&gt;"&amp;G96),"")</f>
        <v>3</v>
      </c>
      <c r="O96" s="12" t="n">
        <f aca="false">IF(L96=1,1+COUNTIFS($C$2:$C$1090,C96,$L$2:$L$1090,1,$H$2:$H$1090,"&gt;"&amp;H96),"")</f>
        <v>6</v>
      </c>
      <c r="P96" s="12" t="n">
        <f aca="false">IF(L96=1,N96-O96,"")</f>
        <v>-3</v>
      </c>
      <c r="Q96" s="12" t="n">
        <f aca="false">INDEX(Directions!$D$2:$D$100,MATCH(C96,Directions!$A$2:$A$100,0))</f>
        <v>0</v>
      </c>
      <c r="R96" s="12" t="n">
        <f aca="false">IF(L96=1,P96*Q96,"")</f>
        <v>-0</v>
      </c>
      <c r="S96" s="12" t="str">
        <f aca="false">IF(L96&lt;&gt;1,"Excluded",IF(Q96=0,"No direction",IF(R96&gt;0,"Better",IF(R96&lt;0,"Worse","No change"))))</f>
        <v>No direction</v>
      </c>
      <c r="T96" s="12"/>
      <c r="U96" s="12" t="str">
        <f aca="false">C96&amp;"|"&amp;E96</f>
        <v>F1_09|CHE</v>
      </c>
    </row>
    <row r="97" customFormat="false" ht="15" hidden="false" customHeight="false" outlineLevel="0" collapsed="false">
      <c r="A97" s="12" t="n">
        <v>1</v>
      </c>
      <c r="B97" s="12" t="s">
        <v>42</v>
      </c>
      <c r="C97" s="12" t="s">
        <v>68</v>
      </c>
      <c r="D97" s="12" t="s">
        <v>69</v>
      </c>
      <c r="E97" s="12" t="s">
        <v>287</v>
      </c>
      <c r="F97" s="12" t="s">
        <v>34</v>
      </c>
      <c r="G97" s="12" t="n">
        <v>28</v>
      </c>
      <c r="H97" s="12" t="n">
        <v>21.7</v>
      </c>
      <c r="I97" s="12" t="s">
        <v>282</v>
      </c>
      <c r="J97" s="12" t="n">
        <v>5</v>
      </c>
      <c r="K97" s="12" t="n">
        <v>7</v>
      </c>
      <c r="L97" s="28" t="n">
        <v>1</v>
      </c>
      <c r="M97" s="12" t="n">
        <f aca="false">IF(L97=1,COUNTIFS($C$2:$C$1090,C97,$L$2:$L$1090,1),"")</f>
        <v>10</v>
      </c>
      <c r="N97" s="12" t="n">
        <f aca="false">IF(L97=1,1+COUNTIFS($C$2:$C$1090,C97,$L$2:$L$1090,1,$G$2:$G$1090,"&gt;"&amp;G97),"")</f>
        <v>3</v>
      </c>
      <c r="O97" s="12" t="n">
        <f aca="false">IF(L97=1,1+COUNTIFS($C$2:$C$1090,C97,$L$2:$L$1090,1,$H$2:$H$1090,"&gt;"&amp;H97),"")</f>
        <v>7</v>
      </c>
      <c r="P97" s="12" t="n">
        <f aca="false">IF(L97=1,N97-O97,"")</f>
        <v>-4</v>
      </c>
      <c r="Q97" s="12" t="n">
        <f aca="false">INDEX(Directions!$D$2:$D$100,MATCH(C97,Directions!$A$2:$A$100,0))</f>
        <v>0</v>
      </c>
      <c r="R97" s="12" t="n">
        <f aca="false">IF(L97=1,P97*Q97,"")</f>
        <v>-0</v>
      </c>
      <c r="S97" s="12" t="str">
        <f aca="false">IF(L97&lt;&gt;1,"Excluded",IF(Q97=0,"No direction",IF(R97&gt;0,"Better",IF(R97&lt;0,"Worse","No change"))))</f>
        <v>No direction</v>
      </c>
      <c r="T97" s="12"/>
      <c r="U97" s="12" t="str">
        <f aca="false">C97&amp;"|"&amp;E97</f>
        <v>F1_09|DNK</v>
      </c>
    </row>
    <row r="98" customFormat="false" ht="15" hidden="false" customHeight="false" outlineLevel="0" collapsed="false">
      <c r="A98" s="12" t="n">
        <v>1</v>
      </c>
      <c r="B98" s="12" t="s">
        <v>42</v>
      </c>
      <c r="C98" s="12" t="s">
        <v>68</v>
      </c>
      <c r="D98" s="12" t="s">
        <v>69</v>
      </c>
      <c r="E98" s="12" t="s">
        <v>288</v>
      </c>
      <c r="F98" s="12" t="s">
        <v>35</v>
      </c>
      <c r="G98" s="12" t="n">
        <v>17</v>
      </c>
      <c r="H98" s="12" t="n">
        <v>15</v>
      </c>
      <c r="I98" s="12" t="s">
        <v>282</v>
      </c>
      <c r="J98" s="12" t="n">
        <v>11</v>
      </c>
      <c r="K98" s="12" t="n">
        <v>10</v>
      </c>
      <c r="L98" s="28" t="n">
        <v>1</v>
      </c>
      <c r="M98" s="12" t="n">
        <f aca="false">IF(L98=1,COUNTIFS($C$2:$C$1090,C98,$L$2:$L$1090,1),"")</f>
        <v>10</v>
      </c>
      <c r="N98" s="12" t="n">
        <f aca="false">IF(L98=1,1+COUNTIFS($C$2:$C$1090,C98,$L$2:$L$1090,1,$G$2:$G$1090,"&gt;"&amp;G98),"")</f>
        <v>10</v>
      </c>
      <c r="O98" s="12" t="n">
        <f aca="false">IF(L98=1,1+COUNTIFS($C$2:$C$1090,C98,$L$2:$L$1090,1,$H$2:$H$1090,"&gt;"&amp;H98),"")</f>
        <v>10</v>
      </c>
      <c r="P98" s="12" t="n">
        <f aca="false">IF(L98=1,N98-O98,"")</f>
        <v>0</v>
      </c>
      <c r="Q98" s="12" t="n">
        <f aca="false">INDEX(Directions!$D$2:$D$100,MATCH(C98,Directions!$A$2:$A$100,0))</f>
        <v>0</v>
      </c>
      <c r="R98" s="12" t="n">
        <f aca="false">IF(L98=1,P98*Q98,"")</f>
        <v>0</v>
      </c>
      <c r="S98" s="12" t="str">
        <f aca="false">IF(L98&lt;&gt;1,"Excluded",IF(Q98=0,"No direction",IF(R98&gt;0,"Better",IF(R98&lt;0,"Worse","No change"))))</f>
        <v>No direction</v>
      </c>
      <c r="T98" s="12"/>
      <c r="U98" s="12" t="str">
        <f aca="false">C98&amp;"|"&amp;E98</f>
        <v>F1_09|CAN</v>
      </c>
    </row>
    <row r="99" customFormat="false" ht="15" hidden="false" customHeight="false" outlineLevel="0" collapsed="false">
      <c r="A99" s="12" t="n">
        <v>1</v>
      </c>
      <c r="B99" s="12" t="s">
        <v>42</v>
      </c>
      <c r="C99" s="12" t="s">
        <v>68</v>
      </c>
      <c r="D99" s="12" t="s">
        <v>69</v>
      </c>
      <c r="E99" s="12" t="s">
        <v>289</v>
      </c>
      <c r="F99" s="12" t="s">
        <v>36</v>
      </c>
      <c r="G99" s="12" t="n">
        <v>27</v>
      </c>
      <c r="H99" s="12" t="n">
        <v>26.2</v>
      </c>
      <c r="I99" s="12" t="s">
        <v>291</v>
      </c>
      <c r="J99" s="12" t="n">
        <v>7</v>
      </c>
      <c r="K99" s="12" t="n">
        <v>1</v>
      </c>
      <c r="L99" s="28" t="n">
        <v>1</v>
      </c>
      <c r="M99" s="12" t="n">
        <f aca="false">IF(L99=1,COUNTIFS($C$2:$C$1090,C99,$L$2:$L$1090,1),"")</f>
        <v>10</v>
      </c>
      <c r="N99" s="12" t="n">
        <f aca="false">IF(L99=1,1+COUNTIFS($C$2:$C$1090,C99,$L$2:$L$1090,1,$G$2:$G$1090,"&gt;"&amp;G99),"")</f>
        <v>5</v>
      </c>
      <c r="O99" s="12" t="n">
        <f aca="false">IF(L99=1,1+COUNTIFS($C$2:$C$1090,C99,$L$2:$L$1090,1,$H$2:$H$1090,"&gt;"&amp;H99),"")</f>
        <v>1</v>
      </c>
      <c r="P99" s="12" t="n">
        <f aca="false">IF(L99=1,N99-O99,"")</f>
        <v>4</v>
      </c>
      <c r="Q99" s="12" t="n">
        <f aca="false">INDEX(Directions!$D$2:$D$100,MATCH(C99,Directions!$A$2:$A$100,0))</f>
        <v>0</v>
      </c>
      <c r="R99" s="12" t="n">
        <f aca="false">IF(L99=1,P99*Q99,"")</f>
        <v>0</v>
      </c>
      <c r="S99" s="12" t="str">
        <f aca="false">IF(L99&lt;&gt;1,"Excluded",IF(Q99=0,"No direction",IF(R99&gt;0,"Better",IF(R99&lt;0,"Worse","No change"))))</f>
        <v>No direction</v>
      </c>
      <c r="T99" s="12"/>
      <c r="U99" s="12" t="str">
        <f aca="false">C99&amp;"|"&amp;E99</f>
        <v>F1_09|JPN</v>
      </c>
    </row>
    <row r="100" customFormat="false" ht="15" hidden="false" customHeight="false" outlineLevel="0" collapsed="false">
      <c r="A100" s="12" t="n">
        <v>1</v>
      </c>
      <c r="B100" s="12" t="s">
        <v>42</v>
      </c>
      <c r="C100" s="12" t="s">
        <v>68</v>
      </c>
      <c r="D100" s="12" t="s">
        <v>69</v>
      </c>
      <c r="E100" s="12" t="s">
        <v>290</v>
      </c>
      <c r="F100" s="12" t="s">
        <v>37</v>
      </c>
      <c r="G100" s="12" t="n">
        <v>31</v>
      </c>
      <c r="H100" s="12" t="n">
        <v>26.1</v>
      </c>
      <c r="I100" s="12" t="s">
        <v>291</v>
      </c>
      <c r="J100" s="12" t="n">
        <v>2</v>
      </c>
      <c r="K100" s="12" t="n">
        <v>2</v>
      </c>
      <c r="L100" s="28" t="n">
        <v>1</v>
      </c>
      <c r="M100" s="12" t="n">
        <f aca="false">IF(L100=1,COUNTIFS($C$2:$C$1090,C100,$L$2:$L$1090,1),"")</f>
        <v>10</v>
      </c>
      <c r="N100" s="12" t="n">
        <f aca="false">IF(L100=1,1+COUNTIFS($C$2:$C$1090,C100,$L$2:$L$1090,1,$G$2:$G$1090,"&gt;"&amp;G100),"")</f>
        <v>1</v>
      </c>
      <c r="O100" s="12" t="n">
        <f aca="false">IF(L100=1,1+COUNTIFS($C$2:$C$1090,C100,$L$2:$L$1090,1,$H$2:$H$1090,"&gt;"&amp;H100),"")</f>
        <v>2</v>
      </c>
      <c r="P100" s="12" t="n">
        <f aca="false">IF(L100=1,N100-O100,"")</f>
        <v>-1</v>
      </c>
      <c r="Q100" s="12" t="n">
        <f aca="false">INDEX(Directions!$D$2:$D$100,MATCH(C100,Directions!$A$2:$A$100,0))</f>
        <v>0</v>
      </c>
      <c r="R100" s="12" t="n">
        <f aca="false">IF(L100=1,P100*Q100,"")</f>
        <v>-0</v>
      </c>
      <c r="S100" s="12" t="str">
        <f aca="false">IF(L100&lt;&gt;1,"Excluded",IF(Q100=0,"No direction",IF(R100&gt;0,"Better",IF(R100&lt;0,"Worse","No change"))))</f>
        <v>No direction</v>
      </c>
      <c r="T100" s="12"/>
      <c r="U100" s="12" t="str">
        <f aca="false">C100&amp;"|"&amp;E100</f>
        <v>F1_09|AUS</v>
      </c>
    </row>
    <row r="101" customFormat="false" ht="15" hidden="false" customHeight="false" outlineLevel="0" collapsed="false">
      <c r="A101" s="12" t="n">
        <v>1</v>
      </c>
      <c r="B101" s="12" t="s">
        <v>42</v>
      </c>
      <c r="C101" s="12" t="s">
        <v>70</v>
      </c>
      <c r="D101" s="12" t="s">
        <v>71</v>
      </c>
      <c r="E101" s="12" t="s">
        <v>281</v>
      </c>
      <c r="F101" s="12" t="s">
        <v>27</v>
      </c>
      <c r="G101" s="12" t="n">
        <v>44</v>
      </c>
      <c r="H101" s="12" t="n">
        <v>44.8</v>
      </c>
      <c r="I101" s="12" t="s">
        <v>299</v>
      </c>
      <c r="J101" s="12" t="n">
        <v>1</v>
      </c>
      <c r="K101" s="12" t="n">
        <v>1</v>
      </c>
      <c r="L101" s="28" t="n">
        <v>1</v>
      </c>
      <c r="M101" s="12" t="n">
        <f aca="false">IF(L101=1,COUNTIFS($C$2:$C$1090,C101,$L$2:$L$1090,1),"")</f>
        <v>10</v>
      </c>
      <c r="N101" s="12" t="n">
        <f aca="false">IF(L101=1,1+COUNTIFS($C$2:$C$1090,C101,$L$2:$L$1090,1,$G$2:$G$1090,"&gt;"&amp;G101),"")</f>
        <v>1</v>
      </c>
      <c r="O101" s="12" t="n">
        <f aca="false">IF(L101=1,1+COUNTIFS($C$2:$C$1090,C101,$L$2:$L$1090,1,$H$2:$H$1090,"&gt;"&amp;H101),"")</f>
        <v>1</v>
      </c>
      <c r="P101" s="12" t="n">
        <f aca="false">IF(L101=1,N101-O101,"")</f>
        <v>0</v>
      </c>
      <c r="Q101" s="12" t="n">
        <f aca="false">INDEX(Directions!$D$2:$D$100,MATCH(C101,Directions!$A$2:$A$100,0))</f>
        <v>0</v>
      </c>
      <c r="R101" s="12" t="n">
        <f aca="false">IF(L101=1,P101*Q101,"")</f>
        <v>0</v>
      </c>
      <c r="S101" s="12" t="str">
        <f aca="false">IF(L101&lt;&gt;1,"Excluded",IF(Q101=0,"No direction",IF(R101&gt;0,"Better",IF(R101&lt;0,"Worse","No change"))))</f>
        <v>No direction</v>
      </c>
      <c r="T101" s="12" t="s">
        <v>300</v>
      </c>
      <c r="U101" s="12" t="str">
        <f aca="false">C101&amp;"|"&amp;E101</f>
        <v>F1_10|USA</v>
      </c>
    </row>
    <row r="102" customFormat="false" ht="15" hidden="false" customHeight="false" outlineLevel="0" collapsed="false">
      <c r="A102" s="12" t="n">
        <v>1</v>
      </c>
      <c r="B102" s="12" t="s">
        <v>42</v>
      </c>
      <c r="C102" s="12" t="s">
        <v>70</v>
      </c>
      <c r="D102" s="12" t="s">
        <v>71</v>
      </c>
      <c r="E102" s="12" t="s">
        <v>283</v>
      </c>
      <c r="F102" s="12" t="s">
        <v>28</v>
      </c>
      <c r="G102" s="12" t="n">
        <v>30</v>
      </c>
      <c r="H102" s="12" t="n">
        <v>32</v>
      </c>
      <c r="I102" s="12" t="s">
        <v>293</v>
      </c>
      <c r="J102" s="12" t="n">
        <v>7</v>
      </c>
      <c r="K102" s="12" t="n">
        <v>6</v>
      </c>
      <c r="L102" s="28" t="n">
        <v>1</v>
      </c>
      <c r="M102" s="12" t="n">
        <f aca="false">IF(L102=1,COUNTIFS($C$2:$C$1090,C102,$L$2:$L$1090,1),"")</f>
        <v>10</v>
      </c>
      <c r="N102" s="12" t="n">
        <f aca="false">IF(L102=1,1+COUNTIFS($C$2:$C$1090,C102,$L$2:$L$1090,1,$G$2:$G$1090,"&gt;"&amp;G102),"")</f>
        <v>7</v>
      </c>
      <c r="O102" s="12" t="n">
        <f aca="false">IF(L102=1,1+COUNTIFS($C$2:$C$1090,C102,$L$2:$L$1090,1,$H$2:$H$1090,"&gt;"&amp;H102),"")</f>
        <v>5</v>
      </c>
      <c r="P102" s="12" t="n">
        <f aca="false">IF(L102=1,N102-O102,"")</f>
        <v>2</v>
      </c>
      <c r="Q102" s="12" t="n">
        <f aca="false">INDEX(Directions!$D$2:$D$100,MATCH(C102,Directions!$A$2:$A$100,0))</f>
        <v>0</v>
      </c>
      <c r="R102" s="12" t="n">
        <f aca="false">IF(L102=1,P102*Q102,"")</f>
        <v>0</v>
      </c>
      <c r="S102" s="12" t="str">
        <f aca="false">IF(L102&lt;&gt;1,"Excluded",IF(Q102=0,"No direction",IF(R102&gt;0,"Better",IF(R102&lt;0,"Worse","No change"))))</f>
        <v>No direction</v>
      </c>
      <c r="T102" s="12"/>
      <c r="U102" s="12" t="str">
        <f aca="false">C102&amp;"|"&amp;E102</f>
        <v>F1_10|GBR</v>
      </c>
    </row>
    <row r="103" customFormat="false" ht="15" hidden="false" customHeight="false" outlineLevel="0" collapsed="false">
      <c r="A103" s="12" t="n">
        <v>1</v>
      </c>
      <c r="B103" s="12" t="s">
        <v>42</v>
      </c>
      <c r="C103" s="12" t="s">
        <v>70</v>
      </c>
      <c r="D103" s="12" t="s">
        <v>71</v>
      </c>
      <c r="E103" s="12" t="s">
        <v>284</v>
      </c>
      <c r="F103" s="12" t="s">
        <v>29</v>
      </c>
      <c r="G103" s="12" t="n">
        <v>23</v>
      </c>
      <c r="H103" s="12" t="n">
        <v>21.3</v>
      </c>
      <c r="I103" s="12" t="s">
        <v>293</v>
      </c>
      <c r="J103" s="12" t="n">
        <v>9</v>
      </c>
      <c r="K103" s="12" t="n">
        <v>11</v>
      </c>
      <c r="L103" s="28" t="n">
        <v>1</v>
      </c>
      <c r="M103" s="12" t="n">
        <f aca="false">IF(L103=1,COUNTIFS($C$2:$C$1090,C103,$L$2:$L$1090,1),"")</f>
        <v>10</v>
      </c>
      <c r="N103" s="12" t="n">
        <f aca="false">IF(L103=1,1+COUNTIFS($C$2:$C$1090,C103,$L$2:$L$1090,1,$G$2:$G$1090,"&gt;"&amp;G103),"")</f>
        <v>9</v>
      </c>
      <c r="O103" s="12" t="n">
        <f aca="false">IF(L103=1,1+COUNTIFS($C$2:$C$1090,C103,$L$2:$L$1090,1,$H$2:$H$1090,"&gt;"&amp;H103),"")</f>
        <v>10</v>
      </c>
      <c r="P103" s="12" t="n">
        <f aca="false">IF(L103=1,N103-O103,"")</f>
        <v>-1</v>
      </c>
      <c r="Q103" s="12" t="n">
        <f aca="false">INDEX(Directions!$D$2:$D$100,MATCH(C103,Directions!$A$2:$A$100,0))</f>
        <v>0</v>
      </c>
      <c r="R103" s="12" t="n">
        <f aca="false">IF(L103=1,P103*Q103,"")</f>
        <v>-0</v>
      </c>
      <c r="S103" s="12" t="str">
        <f aca="false">IF(L103&lt;&gt;1,"Excluded",IF(Q103=0,"No direction",IF(R103&gt;0,"Better",IF(R103&lt;0,"Worse","No change"))))</f>
        <v>No direction</v>
      </c>
      <c r="T103" s="12"/>
      <c r="U103" s="12" t="str">
        <f aca="false">C103&amp;"|"&amp;E103</f>
        <v>F1_10|DEU</v>
      </c>
    </row>
    <row r="104" customFormat="false" ht="15" hidden="false" customHeight="false" outlineLevel="0" collapsed="false">
      <c r="A104" s="12" t="n">
        <v>1</v>
      </c>
      <c r="B104" s="12" t="s">
        <v>42</v>
      </c>
      <c r="C104" s="12" t="s">
        <v>70</v>
      </c>
      <c r="D104" s="12" t="s">
        <v>71</v>
      </c>
      <c r="E104" s="12" t="s">
        <v>285</v>
      </c>
      <c r="F104" s="12" t="s">
        <v>30</v>
      </c>
      <c r="G104" s="12" t="n">
        <v>31</v>
      </c>
      <c r="H104" s="12" t="n">
        <v>30.3</v>
      </c>
      <c r="I104" s="12" t="s">
        <v>293</v>
      </c>
      <c r="J104" s="12" t="n">
        <v>6</v>
      </c>
      <c r="K104" s="12" t="n">
        <v>7</v>
      </c>
      <c r="L104" s="28" t="n">
        <v>1</v>
      </c>
      <c r="M104" s="12" t="n">
        <f aca="false">IF(L104=1,COUNTIFS($C$2:$C$1090,C104,$L$2:$L$1090,1),"")</f>
        <v>10</v>
      </c>
      <c r="N104" s="12" t="n">
        <f aca="false">IF(L104=1,1+COUNTIFS($C$2:$C$1090,C104,$L$2:$L$1090,1,$G$2:$G$1090,"&gt;"&amp;G104),"")</f>
        <v>6</v>
      </c>
      <c r="O104" s="12" t="n">
        <f aca="false">IF(L104=1,1+COUNTIFS($C$2:$C$1090,C104,$L$2:$L$1090,1,$H$2:$H$1090,"&gt;"&amp;H104),"")</f>
        <v>6</v>
      </c>
      <c r="P104" s="12" t="n">
        <f aca="false">IF(L104=1,N104-O104,"")</f>
        <v>0</v>
      </c>
      <c r="Q104" s="12" t="n">
        <f aca="false">INDEX(Directions!$D$2:$D$100,MATCH(C104,Directions!$A$2:$A$100,0))</f>
        <v>0</v>
      </c>
      <c r="R104" s="12" t="n">
        <f aca="false">IF(L104=1,P104*Q104,"")</f>
        <v>0</v>
      </c>
      <c r="S104" s="12" t="str">
        <f aca="false">IF(L104&lt;&gt;1,"Excluded",IF(Q104=0,"No direction",IF(R104&gt;0,"Better",IF(R104&lt;0,"Worse","No change"))))</f>
        <v>No direction</v>
      </c>
      <c r="T104" s="12"/>
      <c r="U104" s="12" t="str">
        <f aca="false">C104&amp;"|"&amp;E104</f>
        <v>F1_10|SWE</v>
      </c>
    </row>
    <row r="105" customFormat="false" ht="15" hidden="false" customHeight="false" outlineLevel="0" collapsed="false">
      <c r="A105" s="12" t="n">
        <v>1</v>
      </c>
      <c r="B105" s="12" t="s">
        <v>42</v>
      </c>
      <c r="C105" s="12" t="s">
        <v>70</v>
      </c>
      <c r="D105" s="12" t="s">
        <v>71</v>
      </c>
      <c r="E105" s="12" t="s">
        <v>286</v>
      </c>
      <c r="F105" s="12" t="s">
        <v>31</v>
      </c>
      <c r="G105" s="12" t="n">
        <v>23</v>
      </c>
      <c r="H105" s="12" t="n">
        <v>24.7</v>
      </c>
      <c r="I105" s="12" t="s">
        <v>293</v>
      </c>
      <c r="J105" s="12" t="n">
        <v>10</v>
      </c>
      <c r="K105" s="12" t="n">
        <v>9</v>
      </c>
      <c r="L105" s="28" t="n">
        <v>1</v>
      </c>
      <c r="M105" s="12" t="n">
        <f aca="false">IF(L105=1,COUNTIFS($C$2:$C$1090,C105,$L$2:$L$1090,1),"")</f>
        <v>10</v>
      </c>
      <c r="N105" s="12" t="n">
        <f aca="false">IF(L105=1,1+COUNTIFS($C$2:$C$1090,C105,$L$2:$L$1090,1,$G$2:$G$1090,"&gt;"&amp;G105),"")</f>
        <v>9</v>
      </c>
      <c r="O105" s="12" t="n">
        <f aca="false">IF(L105=1,1+COUNTIFS($C$2:$C$1090,C105,$L$2:$L$1090,1,$H$2:$H$1090,"&gt;"&amp;H105),"")</f>
        <v>8</v>
      </c>
      <c r="P105" s="12" t="n">
        <f aca="false">IF(L105=1,N105-O105,"")</f>
        <v>1</v>
      </c>
      <c r="Q105" s="12" t="n">
        <f aca="false">INDEX(Directions!$D$2:$D$100,MATCH(C105,Directions!$A$2:$A$100,0))</f>
        <v>0</v>
      </c>
      <c r="R105" s="12" t="n">
        <f aca="false">IF(L105=1,P105*Q105,"")</f>
        <v>0</v>
      </c>
      <c r="S105" s="12" t="str">
        <f aca="false">IF(L105&lt;&gt;1,"Excluded",IF(Q105=0,"No direction",IF(R105&gt;0,"Better",IF(R105&lt;0,"Worse","No change"))))</f>
        <v>No direction</v>
      </c>
      <c r="T105" s="12"/>
      <c r="U105" s="12" t="str">
        <f aca="false">C105&amp;"|"&amp;E105</f>
        <v>F1_10|FRA</v>
      </c>
    </row>
    <row r="106" customFormat="false" ht="15" hidden="false" customHeight="false" outlineLevel="0" collapsed="false">
      <c r="A106" s="12" t="n">
        <v>1</v>
      </c>
      <c r="B106" s="12" t="s">
        <v>42</v>
      </c>
      <c r="C106" s="12" t="s">
        <v>70</v>
      </c>
      <c r="D106" s="12" t="s">
        <v>71</v>
      </c>
      <c r="E106" s="12" t="s">
        <v>32</v>
      </c>
      <c r="F106" s="12" t="s">
        <v>32</v>
      </c>
      <c r="G106" s="12" t="n">
        <v>22</v>
      </c>
      <c r="H106" s="12" t="n">
        <v>35</v>
      </c>
      <c r="I106" s="12" t="s">
        <v>282</v>
      </c>
      <c r="J106" s="12" t="n">
        <v>11</v>
      </c>
      <c r="K106" s="12" t="n">
        <v>3</v>
      </c>
      <c r="L106" s="28" t="n">
        <v>0</v>
      </c>
      <c r="M106" s="12" t="str">
        <f aca="false">IF(L106=1,COUNTIFS($C$2:$C$1090,C106,$L$2:$L$1090,1),"")</f>
        <v/>
      </c>
      <c r="N106" s="12" t="str">
        <f aca="false">IF(L106=1,1+COUNTIFS($C$2:$C$1090,C106,$L$2:$L$1090,1,$G$2:$G$1090,"&gt;"&amp;G106),"")</f>
        <v/>
      </c>
      <c r="O106" s="12" t="str">
        <f aca="false">IF(L106=1,1+COUNTIFS($C$2:$C$1090,C106,$L$2:$L$1090,1,$H$2:$H$1090,"&gt;"&amp;H106),"")</f>
        <v/>
      </c>
      <c r="P106" s="12" t="str">
        <f aca="false">IF(L106=1,N106-O106,"")</f>
        <v/>
      </c>
      <c r="Q106" s="12" t="n">
        <f aca="false">INDEX(Directions!$D$2:$D$100,MATCH(C106,Directions!$A$2:$A$100,0))</f>
        <v>0</v>
      </c>
      <c r="R106" s="12" t="str">
        <f aca="false">IF(L106=1,P106*Q106,"")</f>
        <v/>
      </c>
      <c r="S106" s="12" t="str">
        <f aca="false">IF(L106&lt;&gt;1,"Excluded",IF(Q106=0,"No direction",IF(R106&gt;0,"Better",IF(R106&lt;0,"Worse","No change"))))</f>
        <v>Excluded</v>
      </c>
      <c r="T106" s="12" t="s">
        <v>301</v>
      </c>
      <c r="U106" s="12" t="str">
        <f aca="false">C106&amp;"|"&amp;E106</f>
        <v>F1_10|NLD</v>
      </c>
    </row>
    <row r="107" customFormat="false" ht="15" hidden="false" customHeight="false" outlineLevel="0" collapsed="false">
      <c r="A107" s="12" t="n">
        <v>1</v>
      </c>
      <c r="B107" s="12" t="s">
        <v>42</v>
      </c>
      <c r="C107" s="12" t="s">
        <v>70</v>
      </c>
      <c r="D107" s="12" t="s">
        <v>71</v>
      </c>
      <c r="E107" s="12" t="s">
        <v>33</v>
      </c>
      <c r="F107" s="12" t="s">
        <v>33</v>
      </c>
      <c r="G107" s="12" t="n">
        <v>33</v>
      </c>
      <c r="H107" s="12" t="n">
        <v>24.6</v>
      </c>
      <c r="I107" s="12" t="s">
        <v>293</v>
      </c>
      <c r="J107" s="12" t="n">
        <v>5</v>
      </c>
      <c r="K107" s="12" t="n">
        <v>10</v>
      </c>
      <c r="L107" s="28" t="n">
        <v>1</v>
      </c>
      <c r="M107" s="12" t="n">
        <f aca="false">IF(L107=1,COUNTIFS($C$2:$C$1090,C107,$L$2:$L$1090,1),"")</f>
        <v>10</v>
      </c>
      <c r="N107" s="12" t="n">
        <f aca="false">IF(L107=1,1+COUNTIFS($C$2:$C$1090,C107,$L$2:$L$1090,1,$G$2:$G$1090,"&gt;"&amp;G107),"")</f>
        <v>5</v>
      </c>
      <c r="O107" s="12" t="n">
        <f aca="false">IF(L107=1,1+COUNTIFS($C$2:$C$1090,C107,$L$2:$L$1090,1,$H$2:$H$1090,"&gt;"&amp;H107),"")</f>
        <v>9</v>
      </c>
      <c r="P107" s="12" t="n">
        <f aca="false">IF(L107=1,N107-O107,"")</f>
        <v>-4</v>
      </c>
      <c r="Q107" s="12" t="n">
        <f aca="false">INDEX(Directions!$D$2:$D$100,MATCH(C107,Directions!$A$2:$A$100,0))</f>
        <v>0</v>
      </c>
      <c r="R107" s="12" t="n">
        <f aca="false">IF(L107=1,P107*Q107,"")</f>
        <v>-0</v>
      </c>
      <c r="S107" s="12" t="str">
        <f aca="false">IF(L107&lt;&gt;1,"Excluded",IF(Q107=0,"No direction",IF(R107&gt;0,"Better",IF(R107&lt;0,"Worse","No change"))))</f>
        <v>No direction</v>
      </c>
      <c r="T107" s="12"/>
      <c r="U107" s="12" t="str">
        <f aca="false">C107&amp;"|"&amp;E107</f>
        <v>F1_10|CHE</v>
      </c>
    </row>
    <row r="108" customFormat="false" ht="15" hidden="false" customHeight="false" outlineLevel="0" collapsed="false">
      <c r="A108" s="12" t="n">
        <v>1</v>
      </c>
      <c r="B108" s="12" t="s">
        <v>42</v>
      </c>
      <c r="C108" s="12" t="s">
        <v>70</v>
      </c>
      <c r="D108" s="12" t="s">
        <v>71</v>
      </c>
      <c r="E108" s="12" t="s">
        <v>287</v>
      </c>
      <c r="F108" s="12" t="s">
        <v>34</v>
      </c>
      <c r="G108" s="12" t="n">
        <v>34</v>
      </c>
      <c r="H108" s="12" t="n">
        <v>38.6</v>
      </c>
      <c r="I108" s="12" t="s">
        <v>282</v>
      </c>
      <c r="J108" s="12" t="n">
        <v>4</v>
      </c>
      <c r="K108" s="12" t="n">
        <v>2</v>
      </c>
      <c r="L108" s="28" t="n">
        <v>1</v>
      </c>
      <c r="M108" s="12" t="n">
        <f aca="false">IF(L108=1,COUNTIFS($C$2:$C$1090,C108,$L$2:$L$1090,1),"")</f>
        <v>10</v>
      </c>
      <c r="N108" s="12" t="n">
        <f aca="false">IF(L108=1,1+COUNTIFS($C$2:$C$1090,C108,$L$2:$L$1090,1,$G$2:$G$1090,"&gt;"&amp;G108),"")</f>
        <v>4</v>
      </c>
      <c r="O108" s="12" t="n">
        <f aca="false">IF(L108=1,1+COUNTIFS($C$2:$C$1090,C108,$L$2:$L$1090,1,$H$2:$H$1090,"&gt;"&amp;H108),"")</f>
        <v>2</v>
      </c>
      <c r="P108" s="12" t="n">
        <f aca="false">IF(L108=1,N108-O108,"")</f>
        <v>2</v>
      </c>
      <c r="Q108" s="12" t="n">
        <f aca="false">INDEX(Directions!$D$2:$D$100,MATCH(C108,Directions!$A$2:$A$100,0))</f>
        <v>0</v>
      </c>
      <c r="R108" s="12" t="n">
        <f aca="false">IF(L108=1,P108*Q108,"")</f>
        <v>0</v>
      </c>
      <c r="S108" s="12" t="str">
        <f aca="false">IF(L108&lt;&gt;1,"Excluded",IF(Q108=0,"No direction",IF(R108&gt;0,"Better",IF(R108&lt;0,"Worse","No change"))))</f>
        <v>No direction</v>
      </c>
      <c r="T108" s="12"/>
      <c r="U108" s="12" t="str">
        <f aca="false">C108&amp;"|"&amp;E108</f>
        <v>F1_10|DNK</v>
      </c>
    </row>
    <row r="109" customFormat="false" ht="15" hidden="false" customHeight="false" outlineLevel="0" collapsed="false">
      <c r="A109" s="12" t="n">
        <v>1</v>
      </c>
      <c r="B109" s="12" t="s">
        <v>42</v>
      </c>
      <c r="C109" s="12" t="s">
        <v>70</v>
      </c>
      <c r="D109" s="12" t="s">
        <v>71</v>
      </c>
      <c r="E109" s="12" t="s">
        <v>288</v>
      </c>
      <c r="F109" s="12" t="s">
        <v>35</v>
      </c>
      <c r="G109" s="12" t="n">
        <v>36</v>
      </c>
      <c r="H109" s="12" t="n">
        <v>32.3</v>
      </c>
      <c r="I109" s="12" t="s">
        <v>282</v>
      </c>
      <c r="J109" s="12" t="n">
        <v>3</v>
      </c>
      <c r="K109" s="12" t="n">
        <v>5</v>
      </c>
      <c r="L109" s="28" t="n">
        <v>1</v>
      </c>
      <c r="M109" s="12" t="n">
        <f aca="false">IF(L109=1,COUNTIFS($C$2:$C$1090,C109,$L$2:$L$1090,1),"")</f>
        <v>10</v>
      </c>
      <c r="N109" s="12" t="n">
        <f aca="false">IF(L109=1,1+COUNTIFS($C$2:$C$1090,C109,$L$2:$L$1090,1,$G$2:$G$1090,"&gt;"&amp;G109),"")</f>
        <v>3</v>
      </c>
      <c r="O109" s="12" t="n">
        <f aca="false">IF(L109=1,1+COUNTIFS($C$2:$C$1090,C109,$L$2:$L$1090,1,$H$2:$H$1090,"&gt;"&amp;H109),"")</f>
        <v>4</v>
      </c>
      <c r="P109" s="12" t="n">
        <f aca="false">IF(L109=1,N109-O109,"")</f>
        <v>-1</v>
      </c>
      <c r="Q109" s="12" t="n">
        <f aca="false">INDEX(Directions!$D$2:$D$100,MATCH(C109,Directions!$A$2:$A$100,0))</f>
        <v>0</v>
      </c>
      <c r="R109" s="12" t="n">
        <f aca="false">IF(L109=1,P109*Q109,"")</f>
        <v>-0</v>
      </c>
      <c r="S109" s="12" t="str">
        <f aca="false">IF(L109&lt;&gt;1,"Excluded",IF(Q109=0,"No direction",IF(R109&gt;0,"Better",IF(R109&lt;0,"Worse","No change"))))</f>
        <v>No direction</v>
      </c>
      <c r="T109" s="12"/>
      <c r="U109" s="12" t="str">
        <f aca="false">C109&amp;"|"&amp;E109</f>
        <v>F1_10|CAN</v>
      </c>
    </row>
    <row r="110" customFormat="false" ht="15" hidden="false" customHeight="false" outlineLevel="0" collapsed="false">
      <c r="A110" s="12" t="n">
        <v>1</v>
      </c>
      <c r="B110" s="12" t="s">
        <v>42</v>
      </c>
      <c r="C110" s="12" t="s">
        <v>70</v>
      </c>
      <c r="D110" s="12" t="s">
        <v>71</v>
      </c>
      <c r="E110" s="12" t="s">
        <v>289</v>
      </c>
      <c r="F110" s="12" t="s">
        <v>36</v>
      </c>
      <c r="G110" s="12" t="n">
        <v>27</v>
      </c>
      <c r="H110" s="12" t="n">
        <v>27.7</v>
      </c>
      <c r="I110" s="12" t="s">
        <v>291</v>
      </c>
      <c r="J110" s="12" t="n">
        <v>8</v>
      </c>
      <c r="K110" s="12" t="n">
        <v>8</v>
      </c>
      <c r="L110" s="28" t="n">
        <v>1</v>
      </c>
      <c r="M110" s="12" t="n">
        <f aca="false">IF(L110=1,COUNTIFS($C$2:$C$1090,C110,$L$2:$L$1090,1),"")</f>
        <v>10</v>
      </c>
      <c r="N110" s="12" t="n">
        <f aca="false">IF(L110=1,1+COUNTIFS($C$2:$C$1090,C110,$L$2:$L$1090,1,$G$2:$G$1090,"&gt;"&amp;G110),"")</f>
        <v>8</v>
      </c>
      <c r="O110" s="12" t="n">
        <f aca="false">IF(L110=1,1+COUNTIFS($C$2:$C$1090,C110,$L$2:$L$1090,1,$H$2:$H$1090,"&gt;"&amp;H110),"")</f>
        <v>7</v>
      </c>
      <c r="P110" s="12" t="n">
        <f aca="false">IF(L110=1,N110-O110,"")</f>
        <v>1</v>
      </c>
      <c r="Q110" s="12" t="n">
        <f aca="false">INDEX(Directions!$D$2:$D$100,MATCH(C110,Directions!$A$2:$A$100,0))</f>
        <v>0</v>
      </c>
      <c r="R110" s="12" t="n">
        <f aca="false">IF(L110=1,P110*Q110,"")</f>
        <v>0</v>
      </c>
      <c r="S110" s="12" t="str">
        <f aca="false">IF(L110&lt;&gt;1,"Excluded",IF(Q110=0,"No direction",IF(R110&gt;0,"Better",IF(R110&lt;0,"Worse","No change"))))</f>
        <v>No direction</v>
      </c>
      <c r="T110" s="12"/>
      <c r="U110" s="12" t="str">
        <f aca="false">C110&amp;"|"&amp;E110</f>
        <v>F1_10|JPN</v>
      </c>
    </row>
    <row r="111" customFormat="false" ht="15" hidden="false" customHeight="false" outlineLevel="0" collapsed="false">
      <c r="A111" s="12" t="n">
        <v>1</v>
      </c>
      <c r="B111" s="12" t="s">
        <v>42</v>
      </c>
      <c r="C111" s="12" t="s">
        <v>70</v>
      </c>
      <c r="D111" s="12" t="s">
        <v>71</v>
      </c>
      <c r="E111" s="12" t="s">
        <v>290</v>
      </c>
      <c r="F111" s="12" t="s">
        <v>37</v>
      </c>
      <c r="G111" s="12" t="n">
        <v>39</v>
      </c>
      <c r="H111" s="12" t="n">
        <v>35</v>
      </c>
      <c r="I111" s="12" t="s">
        <v>291</v>
      </c>
      <c r="J111" s="12" t="n">
        <v>2</v>
      </c>
      <c r="K111" s="12" t="n">
        <v>4</v>
      </c>
      <c r="L111" s="28" t="n">
        <v>1</v>
      </c>
      <c r="M111" s="12" t="n">
        <f aca="false">IF(L111=1,COUNTIFS($C$2:$C$1090,C111,$L$2:$L$1090,1),"")</f>
        <v>10</v>
      </c>
      <c r="N111" s="12" t="n">
        <f aca="false">IF(L111=1,1+COUNTIFS($C$2:$C$1090,C111,$L$2:$L$1090,1,$G$2:$G$1090,"&gt;"&amp;G111),"")</f>
        <v>2</v>
      </c>
      <c r="O111" s="12" t="n">
        <f aca="false">IF(L111=1,1+COUNTIFS($C$2:$C$1090,C111,$L$2:$L$1090,1,$H$2:$H$1090,"&gt;"&amp;H111),"")</f>
        <v>3</v>
      </c>
      <c r="P111" s="12" t="n">
        <f aca="false">IF(L111=1,N111-O111,"")</f>
        <v>-1</v>
      </c>
      <c r="Q111" s="12" t="n">
        <f aca="false">INDEX(Directions!$D$2:$D$100,MATCH(C111,Directions!$A$2:$A$100,0))</f>
        <v>0</v>
      </c>
      <c r="R111" s="12" t="n">
        <f aca="false">IF(L111=1,P111*Q111,"")</f>
        <v>-0</v>
      </c>
      <c r="S111" s="12" t="str">
        <f aca="false">IF(L111&lt;&gt;1,"Excluded",IF(Q111=0,"No direction",IF(R111&gt;0,"Better",IF(R111&lt;0,"Worse","No change"))))</f>
        <v>No direction</v>
      </c>
      <c r="T111" s="12"/>
      <c r="U111" s="12" t="str">
        <f aca="false">C111&amp;"|"&amp;E111</f>
        <v>F1_10|AUS</v>
      </c>
    </row>
    <row r="112" customFormat="false" ht="15" hidden="false" customHeight="false" outlineLevel="0" collapsed="false">
      <c r="A112" s="12" t="n">
        <v>1</v>
      </c>
      <c r="B112" s="12" t="s">
        <v>42</v>
      </c>
      <c r="C112" s="12" t="s">
        <v>72</v>
      </c>
      <c r="D112" s="12" t="s">
        <v>73</v>
      </c>
      <c r="E112" s="12" t="s">
        <v>281</v>
      </c>
      <c r="F112" s="12" t="s">
        <v>27</v>
      </c>
      <c r="G112" s="12" t="n">
        <v>5</v>
      </c>
      <c r="H112" s="12" t="n">
        <v>7.9</v>
      </c>
      <c r="I112" s="12" t="s">
        <v>299</v>
      </c>
      <c r="J112" s="12" t="n">
        <v>10</v>
      </c>
      <c r="K112" s="12" t="n">
        <v>11</v>
      </c>
      <c r="L112" s="28" t="n">
        <v>1</v>
      </c>
      <c r="M112" s="12" t="n">
        <f aca="false">IF(L112=1,COUNTIFS($C$2:$C$1090,C112,$L$2:$L$1090,1),"")</f>
        <v>10</v>
      </c>
      <c r="N112" s="12" t="n">
        <f aca="false">IF(L112=1,1+COUNTIFS($C$2:$C$1090,C112,$L$2:$L$1090,1,$G$2:$G$1090,"&gt;"&amp;G112),"")</f>
        <v>9</v>
      </c>
      <c r="O112" s="12" t="n">
        <f aca="false">IF(L112=1,1+COUNTIFS($C$2:$C$1090,C112,$L$2:$L$1090,1,$H$2:$H$1090,"&gt;"&amp;H112),"")</f>
        <v>10</v>
      </c>
      <c r="P112" s="12" t="n">
        <f aca="false">IF(L112=1,N112-O112,"")</f>
        <v>-1</v>
      </c>
      <c r="Q112" s="12" t="n">
        <f aca="false">INDEX(Directions!$D$2:$D$100,MATCH(C112,Directions!$A$2:$A$100,0))</f>
        <v>0</v>
      </c>
      <c r="R112" s="12" t="n">
        <f aca="false">IF(L112=1,P112*Q112,"")</f>
        <v>-0</v>
      </c>
      <c r="S112" s="12" t="str">
        <f aca="false">IF(L112&lt;&gt;1,"Excluded",IF(Q112=0,"No direction",IF(R112&gt;0,"Better",IF(R112&lt;0,"Worse","No change"))))</f>
        <v>No direction</v>
      </c>
      <c r="T112" s="12" t="s">
        <v>300</v>
      </c>
      <c r="U112" s="12" t="str">
        <f aca="false">C112&amp;"|"&amp;E112</f>
        <v>F1_11|USA</v>
      </c>
    </row>
    <row r="113" customFormat="false" ht="15" hidden="false" customHeight="false" outlineLevel="0" collapsed="false">
      <c r="A113" s="12" t="n">
        <v>1</v>
      </c>
      <c r="B113" s="12" t="s">
        <v>42</v>
      </c>
      <c r="C113" s="12" t="s">
        <v>72</v>
      </c>
      <c r="D113" s="12" t="s">
        <v>73</v>
      </c>
      <c r="E113" s="12" t="s">
        <v>283</v>
      </c>
      <c r="F113" s="12" t="s">
        <v>28</v>
      </c>
      <c r="G113" s="12" t="n">
        <v>18</v>
      </c>
      <c r="H113" s="12" t="n">
        <v>19.8</v>
      </c>
      <c r="I113" s="12" t="s">
        <v>293</v>
      </c>
      <c r="J113" s="12" t="n">
        <v>6</v>
      </c>
      <c r="K113" s="12" t="n">
        <v>7</v>
      </c>
      <c r="L113" s="28" t="n">
        <v>1</v>
      </c>
      <c r="M113" s="12" t="n">
        <f aca="false">IF(L113=1,COUNTIFS($C$2:$C$1090,C113,$L$2:$L$1090,1),"")</f>
        <v>10</v>
      </c>
      <c r="N113" s="12" t="n">
        <f aca="false">IF(L113=1,1+COUNTIFS($C$2:$C$1090,C113,$L$2:$L$1090,1,$G$2:$G$1090,"&gt;"&amp;G113),"")</f>
        <v>5</v>
      </c>
      <c r="O113" s="12" t="n">
        <f aca="false">IF(L113=1,1+COUNTIFS($C$2:$C$1090,C113,$L$2:$L$1090,1,$H$2:$H$1090,"&gt;"&amp;H113),"")</f>
        <v>6</v>
      </c>
      <c r="P113" s="12" t="n">
        <f aca="false">IF(L113=1,N113-O113,"")</f>
        <v>-1</v>
      </c>
      <c r="Q113" s="12" t="n">
        <f aca="false">INDEX(Directions!$D$2:$D$100,MATCH(C113,Directions!$A$2:$A$100,0))</f>
        <v>0</v>
      </c>
      <c r="R113" s="12" t="n">
        <f aca="false">IF(L113=1,P113*Q113,"")</f>
        <v>-0</v>
      </c>
      <c r="S113" s="12" t="str">
        <f aca="false">IF(L113&lt;&gt;1,"Excluded",IF(Q113=0,"No direction",IF(R113&gt;0,"Better",IF(R113&lt;0,"Worse","No change"))))</f>
        <v>No direction</v>
      </c>
      <c r="T113" s="12"/>
      <c r="U113" s="12" t="str">
        <f aca="false">C113&amp;"|"&amp;E113</f>
        <v>F1_11|GBR</v>
      </c>
    </row>
    <row r="114" customFormat="false" ht="15" hidden="false" customHeight="false" outlineLevel="0" collapsed="false">
      <c r="A114" s="12" t="n">
        <v>1</v>
      </c>
      <c r="B114" s="12" t="s">
        <v>42</v>
      </c>
      <c r="C114" s="12" t="s">
        <v>72</v>
      </c>
      <c r="D114" s="12" t="s">
        <v>73</v>
      </c>
      <c r="E114" s="12" t="s">
        <v>284</v>
      </c>
      <c r="F114" s="12" t="s">
        <v>29</v>
      </c>
      <c r="G114" s="12" t="n">
        <v>16</v>
      </c>
      <c r="H114" s="12" t="n">
        <v>21.9</v>
      </c>
      <c r="I114" s="12" t="s">
        <v>293</v>
      </c>
      <c r="J114" s="12" t="n">
        <v>7</v>
      </c>
      <c r="K114" s="12" t="n">
        <v>4</v>
      </c>
      <c r="L114" s="28" t="n">
        <v>1</v>
      </c>
      <c r="M114" s="12" t="n">
        <f aca="false">IF(L114=1,COUNTIFS($C$2:$C$1090,C114,$L$2:$L$1090,1),"")</f>
        <v>10</v>
      </c>
      <c r="N114" s="12" t="n">
        <f aca="false">IF(L114=1,1+COUNTIFS($C$2:$C$1090,C114,$L$2:$L$1090,1,$G$2:$G$1090,"&gt;"&amp;G114),"")</f>
        <v>6</v>
      </c>
      <c r="O114" s="12" t="n">
        <f aca="false">IF(L114=1,1+COUNTIFS($C$2:$C$1090,C114,$L$2:$L$1090,1,$H$2:$H$1090,"&gt;"&amp;H114),"")</f>
        <v>3</v>
      </c>
      <c r="P114" s="12" t="n">
        <f aca="false">IF(L114=1,N114-O114,"")</f>
        <v>3</v>
      </c>
      <c r="Q114" s="12" t="n">
        <f aca="false">INDEX(Directions!$D$2:$D$100,MATCH(C114,Directions!$A$2:$A$100,0))</f>
        <v>0</v>
      </c>
      <c r="R114" s="12" t="n">
        <f aca="false">IF(L114=1,P114*Q114,"")</f>
        <v>0</v>
      </c>
      <c r="S114" s="12" t="str">
        <f aca="false">IF(L114&lt;&gt;1,"Excluded",IF(Q114=0,"No direction",IF(R114&gt;0,"Better",IF(R114&lt;0,"Worse","No change"))))</f>
        <v>No direction</v>
      </c>
      <c r="T114" s="12"/>
      <c r="U114" s="12" t="str">
        <f aca="false">C114&amp;"|"&amp;E114</f>
        <v>F1_11|DEU</v>
      </c>
    </row>
    <row r="115" customFormat="false" ht="15" hidden="false" customHeight="false" outlineLevel="0" collapsed="false">
      <c r="A115" s="12" t="n">
        <v>1</v>
      </c>
      <c r="B115" s="12" t="s">
        <v>42</v>
      </c>
      <c r="C115" s="12" t="s">
        <v>72</v>
      </c>
      <c r="D115" s="12" t="s">
        <v>73</v>
      </c>
      <c r="E115" s="12" t="s">
        <v>285</v>
      </c>
      <c r="F115" s="12" t="s">
        <v>30</v>
      </c>
      <c r="G115" s="12" t="n">
        <v>26</v>
      </c>
      <c r="H115" s="12" t="n">
        <v>27.6</v>
      </c>
      <c r="I115" s="12" t="s">
        <v>293</v>
      </c>
      <c r="J115" s="12" t="n">
        <v>1</v>
      </c>
      <c r="K115" s="12" t="n">
        <v>2</v>
      </c>
      <c r="L115" s="28" t="n">
        <v>1</v>
      </c>
      <c r="M115" s="12" t="n">
        <f aca="false">IF(L115=1,COUNTIFS($C$2:$C$1090,C115,$L$2:$L$1090,1),"")</f>
        <v>10</v>
      </c>
      <c r="N115" s="12" t="n">
        <f aca="false">IF(L115=1,1+COUNTIFS($C$2:$C$1090,C115,$L$2:$L$1090,1,$G$2:$G$1090,"&gt;"&amp;G115),"")</f>
        <v>1</v>
      </c>
      <c r="O115" s="12" t="n">
        <f aca="false">IF(L115=1,1+COUNTIFS($C$2:$C$1090,C115,$L$2:$L$1090,1,$H$2:$H$1090,"&gt;"&amp;H115),"")</f>
        <v>1</v>
      </c>
      <c r="P115" s="12" t="n">
        <f aca="false">IF(L115=1,N115-O115,"")</f>
        <v>0</v>
      </c>
      <c r="Q115" s="12" t="n">
        <f aca="false">INDEX(Directions!$D$2:$D$100,MATCH(C115,Directions!$A$2:$A$100,0))</f>
        <v>0</v>
      </c>
      <c r="R115" s="12" t="n">
        <f aca="false">IF(L115=1,P115*Q115,"")</f>
        <v>0</v>
      </c>
      <c r="S115" s="12" t="str">
        <f aca="false">IF(L115&lt;&gt;1,"Excluded",IF(Q115=0,"No direction",IF(R115&gt;0,"Better",IF(R115&lt;0,"Worse","No change"))))</f>
        <v>No direction</v>
      </c>
      <c r="T115" s="12"/>
      <c r="U115" s="12" t="str">
        <f aca="false">C115&amp;"|"&amp;E115</f>
        <v>F1_11|SWE</v>
      </c>
    </row>
    <row r="116" customFormat="false" ht="15" hidden="false" customHeight="false" outlineLevel="0" collapsed="false">
      <c r="A116" s="12" t="n">
        <v>1</v>
      </c>
      <c r="B116" s="12" t="s">
        <v>42</v>
      </c>
      <c r="C116" s="12" t="s">
        <v>72</v>
      </c>
      <c r="D116" s="12" t="s">
        <v>73</v>
      </c>
      <c r="E116" s="12" t="s">
        <v>286</v>
      </c>
      <c r="F116" s="12" t="s">
        <v>31</v>
      </c>
      <c r="G116" s="12" t="n">
        <v>11</v>
      </c>
      <c r="H116" s="12" t="n">
        <v>15.6</v>
      </c>
      <c r="I116" s="12" t="s">
        <v>293</v>
      </c>
      <c r="J116" s="12" t="n">
        <v>9</v>
      </c>
      <c r="K116" s="12" t="n">
        <v>9</v>
      </c>
      <c r="L116" s="28" t="n">
        <v>1</v>
      </c>
      <c r="M116" s="12" t="n">
        <f aca="false">IF(L116=1,COUNTIFS($C$2:$C$1090,C116,$L$2:$L$1090,1),"")</f>
        <v>10</v>
      </c>
      <c r="N116" s="12" t="n">
        <f aca="false">IF(L116=1,1+COUNTIFS($C$2:$C$1090,C116,$L$2:$L$1090,1,$G$2:$G$1090,"&gt;"&amp;G116),"")</f>
        <v>8</v>
      </c>
      <c r="O116" s="12" t="n">
        <f aca="false">IF(L116=1,1+COUNTIFS($C$2:$C$1090,C116,$L$2:$L$1090,1,$H$2:$H$1090,"&gt;"&amp;H116),"")</f>
        <v>8</v>
      </c>
      <c r="P116" s="12" t="n">
        <f aca="false">IF(L116=1,N116-O116,"")</f>
        <v>0</v>
      </c>
      <c r="Q116" s="12" t="n">
        <f aca="false">INDEX(Directions!$D$2:$D$100,MATCH(C116,Directions!$A$2:$A$100,0))</f>
        <v>0</v>
      </c>
      <c r="R116" s="12" t="n">
        <f aca="false">IF(L116=1,P116*Q116,"")</f>
        <v>0</v>
      </c>
      <c r="S116" s="12" t="str">
        <f aca="false">IF(L116&lt;&gt;1,"Excluded",IF(Q116=0,"No direction",IF(R116&gt;0,"Better",IF(R116&lt;0,"Worse","No change"))))</f>
        <v>No direction</v>
      </c>
      <c r="T116" s="12"/>
      <c r="U116" s="12" t="str">
        <f aca="false">C116&amp;"|"&amp;E116</f>
        <v>F1_11|FRA</v>
      </c>
    </row>
    <row r="117" customFormat="false" ht="15" hidden="false" customHeight="false" outlineLevel="0" collapsed="false">
      <c r="A117" s="12" t="n">
        <v>1</v>
      </c>
      <c r="B117" s="12" t="s">
        <v>42</v>
      </c>
      <c r="C117" s="12" t="s">
        <v>72</v>
      </c>
      <c r="D117" s="12" t="s">
        <v>73</v>
      </c>
      <c r="E117" s="12" t="s">
        <v>32</v>
      </c>
      <c r="F117" s="12" t="s">
        <v>32</v>
      </c>
      <c r="G117" s="12" t="n">
        <v>26</v>
      </c>
      <c r="H117" s="12" t="n">
        <v>29.6</v>
      </c>
      <c r="I117" s="12" t="s">
        <v>282</v>
      </c>
      <c r="J117" s="12" t="n">
        <v>2</v>
      </c>
      <c r="K117" s="12" t="n">
        <v>1</v>
      </c>
      <c r="L117" s="28" t="n">
        <v>0</v>
      </c>
      <c r="M117" s="12" t="str">
        <f aca="false">IF(L117=1,COUNTIFS($C$2:$C$1090,C117,$L$2:$L$1090,1),"")</f>
        <v/>
      </c>
      <c r="N117" s="12" t="str">
        <f aca="false">IF(L117=1,1+COUNTIFS($C$2:$C$1090,C117,$L$2:$L$1090,1,$G$2:$G$1090,"&gt;"&amp;G117),"")</f>
        <v/>
      </c>
      <c r="O117" s="12" t="str">
        <f aca="false">IF(L117=1,1+COUNTIFS($C$2:$C$1090,C117,$L$2:$L$1090,1,$H$2:$H$1090,"&gt;"&amp;H117),"")</f>
        <v/>
      </c>
      <c r="P117" s="12" t="str">
        <f aca="false">IF(L117=1,N117-O117,"")</f>
        <v/>
      </c>
      <c r="Q117" s="12" t="n">
        <f aca="false">INDEX(Directions!$D$2:$D$100,MATCH(C117,Directions!$A$2:$A$100,0))</f>
        <v>0</v>
      </c>
      <c r="R117" s="12" t="str">
        <f aca="false">IF(L117=1,P117*Q117,"")</f>
        <v/>
      </c>
      <c r="S117" s="12" t="str">
        <f aca="false">IF(L117&lt;&gt;1,"Excluded",IF(Q117=0,"No direction",IF(R117&gt;0,"Better",IF(R117&lt;0,"Worse","No change"))))</f>
        <v>Excluded</v>
      </c>
      <c r="T117" s="12" t="s">
        <v>301</v>
      </c>
      <c r="U117" s="12" t="str">
        <f aca="false">C117&amp;"|"&amp;E117</f>
        <v>F1_11|NLD</v>
      </c>
    </row>
    <row r="118" customFormat="false" ht="15" hidden="false" customHeight="false" outlineLevel="0" collapsed="false">
      <c r="A118" s="12" t="n">
        <v>1</v>
      </c>
      <c r="B118" s="12" t="s">
        <v>42</v>
      </c>
      <c r="C118" s="12" t="s">
        <v>72</v>
      </c>
      <c r="D118" s="12" t="s">
        <v>73</v>
      </c>
      <c r="E118" s="12" t="s">
        <v>33</v>
      </c>
      <c r="F118" s="12" t="s">
        <v>33</v>
      </c>
      <c r="G118" s="12" t="n">
        <v>19</v>
      </c>
      <c r="H118" s="12" t="n">
        <v>21.5</v>
      </c>
      <c r="I118" s="12" t="s">
        <v>293</v>
      </c>
      <c r="J118" s="12" t="n">
        <v>4</v>
      </c>
      <c r="K118" s="12" t="n">
        <v>5</v>
      </c>
      <c r="L118" s="28" t="n">
        <v>1</v>
      </c>
      <c r="M118" s="12" t="n">
        <f aca="false">IF(L118=1,COUNTIFS($C$2:$C$1090,C118,$L$2:$L$1090,1),"")</f>
        <v>10</v>
      </c>
      <c r="N118" s="12" t="n">
        <f aca="false">IF(L118=1,1+COUNTIFS($C$2:$C$1090,C118,$L$2:$L$1090,1,$G$2:$G$1090,"&gt;"&amp;G118),"")</f>
        <v>3</v>
      </c>
      <c r="O118" s="12" t="n">
        <f aca="false">IF(L118=1,1+COUNTIFS($C$2:$C$1090,C118,$L$2:$L$1090,1,$H$2:$H$1090,"&gt;"&amp;H118),"")</f>
        <v>4</v>
      </c>
      <c r="P118" s="12" t="n">
        <f aca="false">IF(L118=1,N118-O118,"")</f>
        <v>-1</v>
      </c>
      <c r="Q118" s="12" t="n">
        <f aca="false">INDEX(Directions!$D$2:$D$100,MATCH(C118,Directions!$A$2:$A$100,0))</f>
        <v>0</v>
      </c>
      <c r="R118" s="12" t="n">
        <f aca="false">IF(L118=1,P118*Q118,"")</f>
        <v>-0</v>
      </c>
      <c r="S118" s="12" t="str">
        <f aca="false">IF(L118&lt;&gt;1,"Excluded",IF(Q118=0,"No direction",IF(R118&gt;0,"Better",IF(R118&lt;0,"Worse","No change"))))</f>
        <v>No direction</v>
      </c>
      <c r="T118" s="12"/>
      <c r="U118" s="12" t="str">
        <f aca="false">C118&amp;"|"&amp;E118</f>
        <v>F1_11|CHE</v>
      </c>
    </row>
    <row r="119" customFormat="false" ht="15" hidden="false" customHeight="false" outlineLevel="0" collapsed="false">
      <c r="A119" s="12" t="n">
        <v>1</v>
      </c>
      <c r="B119" s="12" t="s">
        <v>42</v>
      </c>
      <c r="C119" s="12" t="s">
        <v>72</v>
      </c>
      <c r="D119" s="12" t="s">
        <v>73</v>
      </c>
      <c r="E119" s="12" t="s">
        <v>287</v>
      </c>
      <c r="F119" s="12" t="s">
        <v>34</v>
      </c>
      <c r="G119" s="12" t="n">
        <v>24</v>
      </c>
      <c r="H119" s="12" t="n">
        <v>21.5</v>
      </c>
      <c r="I119" s="12" t="s">
        <v>282</v>
      </c>
      <c r="J119" s="12" t="n">
        <v>3</v>
      </c>
      <c r="K119" s="12" t="n">
        <v>6</v>
      </c>
      <c r="L119" s="28" t="n">
        <v>1</v>
      </c>
      <c r="M119" s="12" t="n">
        <f aca="false">IF(L119=1,COUNTIFS($C$2:$C$1090,C119,$L$2:$L$1090,1),"")</f>
        <v>10</v>
      </c>
      <c r="N119" s="12" t="n">
        <f aca="false">IF(L119=1,1+COUNTIFS($C$2:$C$1090,C119,$L$2:$L$1090,1,$G$2:$G$1090,"&gt;"&amp;G119),"")</f>
        <v>2</v>
      </c>
      <c r="O119" s="12" t="n">
        <f aca="false">IF(L119=1,1+COUNTIFS($C$2:$C$1090,C119,$L$2:$L$1090,1,$H$2:$H$1090,"&gt;"&amp;H119),"")</f>
        <v>4</v>
      </c>
      <c r="P119" s="12" t="n">
        <f aca="false">IF(L119=1,N119-O119,"")</f>
        <v>-2</v>
      </c>
      <c r="Q119" s="12" t="n">
        <f aca="false">INDEX(Directions!$D$2:$D$100,MATCH(C119,Directions!$A$2:$A$100,0))</f>
        <v>0</v>
      </c>
      <c r="R119" s="12" t="n">
        <f aca="false">IF(L119=1,P119*Q119,"")</f>
        <v>-0</v>
      </c>
      <c r="S119" s="12" t="str">
        <f aca="false">IF(L119&lt;&gt;1,"Excluded",IF(Q119=0,"No direction",IF(R119&gt;0,"Better",IF(R119&lt;0,"Worse","No change"))))</f>
        <v>No direction</v>
      </c>
      <c r="T119" s="12"/>
      <c r="U119" s="12" t="str">
        <f aca="false">C119&amp;"|"&amp;E119</f>
        <v>F1_11|DNK</v>
      </c>
    </row>
    <row r="120" customFormat="false" ht="15" hidden="false" customHeight="false" outlineLevel="0" collapsed="false">
      <c r="A120" s="12" t="n">
        <v>1</v>
      </c>
      <c r="B120" s="12" t="s">
        <v>42</v>
      </c>
      <c r="C120" s="12" t="s">
        <v>72</v>
      </c>
      <c r="D120" s="12" t="s">
        <v>73</v>
      </c>
      <c r="E120" s="12" t="s">
        <v>288</v>
      </c>
      <c r="F120" s="12" t="s">
        <v>35</v>
      </c>
      <c r="G120" s="12" t="n">
        <v>14</v>
      </c>
      <c r="H120" s="12" t="n">
        <v>22</v>
      </c>
      <c r="I120" s="12" t="s">
        <v>282</v>
      </c>
      <c r="J120" s="12" t="n">
        <v>8</v>
      </c>
      <c r="K120" s="12" t="n">
        <v>3</v>
      </c>
      <c r="L120" s="28" t="n">
        <v>1</v>
      </c>
      <c r="M120" s="12" t="n">
        <f aca="false">IF(L120=1,COUNTIFS($C$2:$C$1090,C120,$L$2:$L$1090,1),"")</f>
        <v>10</v>
      </c>
      <c r="N120" s="12" t="n">
        <f aca="false">IF(L120=1,1+COUNTIFS($C$2:$C$1090,C120,$L$2:$L$1090,1,$G$2:$G$1090,"&gt;"&amp;G120),"")</f>
        <v>7</v>
      </c>
      <c r="O120" s="12" t="n">
        <f aca="false">IF(L120=1,1+COUNTIFS($C$2:$C$1090,C120,$L$2:$L$1090,1,$H$2:$H$1090,"&gt;"&amp;H120),"")</f>
        <v>2</v>
      </c>
      <c r="P120" s="12" t="n">
        <f aca="false">IF(L120=1,N120-O120,"")</f>
        <v>5</v>
      </c>
      <c r="Q120" s="12" t="n">
        <f aca="false">INDEX(Directions!$D$2:$D$100,MATCH(C120,Directions!$A$2:$A$100,0))</f>
        <v>0</v>
      </c>
      <c r="R120" s="12" t="n">
        <f aca="false">IF(L120=1,P120*Q120,"")</f>
        <v>0</v>
      </c>
      <c r="S120" s="12" t="str">
        <f aca="false">IF(L120&lt;&gt;1,"Excluded",IF(Q120=0,"No direction",IF(R120&gt;0,"Better",IF(R120&lt;0,"Worse","No change"))))</f>
        <v>No direction</v>
      </c>
      <c r="T120" s="12"/>
      <c r="U120" s="12" t="str">
        <f aca="false">C120&amp;"|"&amp;E120</f>
        <v>F1_11|CAN</v>
      </c>
    </row>
    <row r="121" customFormat="false" ht="15" hidden="false" customHeight="false" outlineLevel="0" collapsed="false">
      <c r="A121" s="12" t="n">
        <v>1</v>
      </c>
      <c r="B121" s="12" t="s">
        <v>42</v>
      </c>
      <c r="C121" s="12" t="s">
        <v>72</v>
      </c>
      <c r="D121" s="12" t="s">
        <v>73</v>
      </c>
      <c r="E121" s="12" t="s">
        <v>289</v>
      </c>
      <c r="F121" s="12" t="s">
        <v>36</v>
      </c>
      <c r="G121" s="12" t="n">
        <v>19</v>
      </c>
      <c r="H121" s="12" t="n">
        <v>19</v>
      </c>
      <c r="I121" s="12" t="s">
        <v>291</v>
      </c>
      <c r="J121" s="12" t="n">
        <v>5</v>
      </c>
      <c r="K121" s="12" t="n">
        <v>8</v>
      </c>
      <c r="L121" s="28" t="n">
        <v>1</v>
      </c>
      <c r="M121" s="12" t="n">
        <f aca="false">IF(L121=1,COUNTIFS($C$2:$C$1090,C121,$L$2:$L$1090,1),"")</f>
        <v>10</v>
      </c>
      <c r="N121" s="12" t="n">
        <f aca="false">IF(L121=1,1+COUNTIFS($C$2:$C$1090,C121,$L$2:$L$1090,1,$G$2:$G$1090,"&gt;"&amp;G121),"")</f>
        <v>3</v>
      </c>
      <c r="O121" s="12" t="n">
        <f aca="false">IF(L121=1,1+COUNTIFS($C$2:$C$1090,C121,$L$2:$L$1090,1,$H$2:$H$1090,"&gt;"&amp;H121),"")</f>
        <v>7</v>
      </c>
      <c r="P121" s="12" t="n">
        <f aca="false">IF(L121=1,N121-O121,"")</f>
        <v>-4</v>
      </c>
      <c r="Q121" s="12" t="n">
        <f aca="false">INDEX(Directions!$D$2:$D$100,MATCH(C121,Directions!$A$2:$A$100,0))</f>
        <v>0</v>
      </c>
      <c r="R121" s="12" t="n">
        <f aca="false">IF(L121=1,P121*Q121,"")</f>
        <v>-0</v>
      </c>
      <c r="S121" s="12" t="str">
        <f aca="false">IF(L121&lt;&gt;1,"Excluded",IF(Q121=0,"No direction",IF(R121&gt;0,"Better",IF(R121&lt;0,"Worse","No change"))))</f>
        <v>No direction</v>
      </c>
      <c r="T121" s="12"/>
      <c r="U121" s="12" t="str">
        <f aca="false">C121&amp;"|"&amp;E121</f>
        <v>F1_11|JPN</v>
      </c>
    </row>
    <row r="122" customFormat="false" ht="15" hidden="false" customHeight="false" outlineLevel="0" collapsed="false">
      <c r="A122" s="12" t="n">
        <v>1</v>
      </c>
      <c r="B122" s="12" t="s">
        <v>42</v>
      </c>
      <c r="C122" s="12" t="s">
        <v>72</v>
      </c>
      <c r="D122" s="12" t="s">
        <v>73</v>
      </c>
      <c r="E122" s="12" t="s">
        <v>290</v>
      </c>
      <c r="F122" s="12" t="s">
        <v>37</v>
      </c>
      <c r="G122" s="12" t="n">
        <v>2</v>
      </c>
      <c r="H122" s="12" t="n">
        <v>13.7</v>
      </c>
      <c r="I122" s="12" t="s">
        <v>291</v>
      </c>
      <c r="J122" s="12" t="n">
        <v>11</v>
      </c>
      <c r="K122" s="12" t="n">
        <v>10</v>
      </c>
      <c r="L122" s="28" t="n">
        <v>1</v>
      </c>
      <c r="M122" s="12" t="n">
        <f aca="false">IF(L122=1,COUNTIFS($C$2:$C$1090,C122,$L$2:$L$1090,1),"")</f>
        <v>10</v>
      </c>
      <c r="N122" s="12" t="n">
        <f aca="false">IF(L122=1,1+COUNTIFS($C$2:$C$1090,C122,$L$2:$L$1090,1,$G$2:$G$1090,"&gt;"&amp;G122),"")</f>
        <v>10</v>
      </c>
      <c r="O122" s="12" t="n">
        <f aca="false">IF(L122=1,1+COUNTIFS($C$2:$C$1090,C122,$L$2:$L$1090,1,$H$2:$H$1090,"&gt;"&amp;H122),"")</f>
        <v>9</v>
      </c>
      <c r="P122" s="12" t="n">
        <f aca="false">IF(L122=1,N122-O122,"")</f>
        <v>1</v>
      </c>
      <c r="Q122" s="12" t="n">
        <f aca="false">INDEX(Directions!$D$2:$D$100,MATCH(C122,Directions!$A$2:$A$100,0))</f>
        <v>0</v>
      </c>
      <c r="R122" s="12" t="n">
        <f aca="false">IF(L122=1,P122*Q122,"")</f>
        <v>0</v>
      </c>
      <c r="S122" s="12" t="str">
        <f aca="false">IF(L122&lt;&gt;1,"Excluded",IF(Q122=0,"No direction",IF(R122&gt;0,"Better",IF(R122&lt;0,"Worse","No change"))))</f>
        <v>No direction</v>
      </c>
      <c r="T122" s="12"/>
      <c r="U122" s="12" t="str">
        <f aca="false">C122&amp;"|"&amp;E122</f>
        <v>F1_11|AUS</v>
      </c>
    </row>
    <row r="123" customFormat="false" ht="15" hidden="false" customHeight="false" outlineLevel="0" collapsed="false">
      <c r="A123" s="12" t="n">
        <v>1</v>
      </c>
      <c r="B123" s="12" t="s">
        <v>42</v>
      </c>
      <c r="C123" s="12" t="s">
        <v>74</v>
      </c>
      <c r="D123" s="12" t="s">
        <v>75</v>
      </c>
      <c r="E123" s="12" t="s">
        <v>281</v>
      </c>
      <c r="F123" s="12" t="s">
        <v>27</v>
      </c>
      <c r="G123" s="12" t="n">
        <v>14</v>
      </c>
      <c r="H123" s="12" t="n">
        <v>13.3</v>
      </c>
      <c r="I123" s="12" t="s">
        <v>299</v>
      </c>
      <c r="J123" s="12" t="n">
        <v>7</v>
      </c>
      <c r="K123" s="12" t="n">
        <v>7</v>
      </c>
      <c r="L123" s="28" t="n">
        <v>1</v>
      </c>
      <c r="M123" s="12" t="n">
        <f aca="false">IF(L123=1,COUNTIFS($C$2:$C$1090,C123,$L$2:$L$1090,1),"")</f>
        <v>10</v>
      </c>
      <c r="N123" s="12" t="n">
        <f aca="false">IF(L123=1,1+COUNTIFS($C$2:$C$1090,C123,$L$2:$L$1090,1,$G$2:$G$1090,"&gt;"&amp;G123),"")</f>
        <v>7</v>
      </c>
      <c r="O123" s="12" t="n">
        <f aca="false">IF(L123=1,1+COUNTIFS($C$2:$C$1090,C123,$L$2:$L$1090,1,$H$2:$H$1090,"&gt;"&amp;H123),"")</f>
        <v>7</v>
      </c>
      <c r="P123" s="12" t="n">
        <f aca="false">IF(L123=1,N123-O123,"")</f>
        <v>0</v>
      </c>
      <c r="Q123" s="12" t="n">
        <f aca="false">INDEX(Directions!$D$2:$D$100,MATCH(C123,Directions!$A$2:$A$100,0))</f>
        <v>0</v>
      </c>
      <c r="R123" s="12" t="n">
        <f aca="false">IF(L123=1,P123*Q123,"")</f>
        <v>0</v>
      </c>
      <c r="S123" s="12" t="str">
        <f aca="false">IF(L123&lt;&gt;1,"Excluded",IF(Q123=0,"No direction",IF(R123&gt;0,"Better",IF(R123&lt;0,"Worse","No change"))))</f>
        <v>No direction</v>
      </c>
      <c r="T123" s="12" t="s">
        <v>300</v>
      </c>
      <c r="U123" s="12" t="str">
        <f aca="false">C123&amp;"|"&amp;E123</f>
        <v>F1_12|USA</v>
      </c>
    </row>
    <row r="124" customFormat="false" ht="15" hidden="false" customHeight="false" outlineLevel="0" collapsed="false">
      <c r="A124" s="12" t="n">
        <v>1</v>
      </c>
      <c r="B124" s="12" t="s">
        <v>42</v>
      </c>
      <c r="C124" s="12" t="s">
        <v>74</v>
      </c>
      <c r="D124" s="12" t="s">
        <v>75</v>
      </c>
      <c r="E124" s="12" t="s">
        <v>283</v>
      </c>
      <c r="F124" s="12" t="s">
        <v>28</v>
      </c>
      <c r="G124" s="12" t="n">
        <v>15</v>
      </c>
      <c r="H124" s="12" t="n">
        <v>10.6</v>
      </c>
      <c r="I124" s="12" t="s">
        <v>293</v>
      </c>
      <c r="J124" s="12" t="n">
        <v>6</v>
      </c>
      <c r="K124" s="12" t="n">
        <v>10</v>
      </c>
      <c r="L124" s="28" t="n">
        <v>1</v>
      </c>
      <c r="M124" s="12" t="n">
        <f aca="false">IF(L124=1,COUNTIFS($C$2:$C$1090,C124,$L$2:$L$1090,1),"")</f>
        <v>10</v>
      </c>
      <c r="N124" s="12" t="n">
        <f aca="false">IF(L124=1,1+COUNTIFS($C$2:$C$1090,C124,$L$2:$L$1090,1,$G$2:$G$1090,"&gt;"&amp;G124),"")</f>
        <v>6</v>
      </c>
      <c r="O124" s="12" t="n">
        <f aca="false">IF(L124=1,1+COUNTIFS($C$2:$C$1090,C124,$L$2:$L$1090,1,$H$2:$H$1090,"&gt;"&amp;H124),"")</f>
        <v>10</v>
      </c>
      <c r="P124" s="12" t="n">
        <f aca="false">IF(L124=1,N124-O124,"")</f>
        <v>-4</v>
      </c>
      <c r="Q124" s="12" t="n">
        <f aca="false">INDEX(Directions!$D$2:$D$100,MATCH(C124,Directions!$A$2:$A$100,0))</f>
        <v>0</v>
      </c>
      <c r="R124" s="12" t="n">
        <f aca="false">IF(L124=1,P124*Q124,"")</f>
        <v>-0</v>
      </c>
      <c r="S124" s="12" t="str">
        <f aca="false">IF(L124&lt;&gt;1,"Excluded",IF(Q124=0,"No direction",IF(R124&gt;0,"Better",IF(R124&lt;0,"Worse","No change"))))</f>
        <v>No direction</v>
      </c>
      <c r="T124" s="12"/>
      <c r="U124" s="12" t="str">
        <f aca="false">C124&amp;"|"&amp;E124</f>
        <v>F1_12|GBR</v>
      </c>
    </row>
    <row r="125" customFormat="false" ht="15" hidden="false" customHeight="false" outlineLevel="0" collapsed="false">
      <c r="A125" s="12" t="n">
        <v>1</v>
      </c>
      <c r="B125" s="12" t="s">
        <v>42</v>
      </c>
      <c r="C125" s="12" t="s">
        <v>74</v>
      </c>
      <c r="D125" s="12" t="s">
        <v>75</v>
      </c>
      <c r="E125" s="12" t="s">
        <v>284</v>
      </c>
      <c r="F125" s="12" t="s">
        <v>29</v>
      </c>
      <c r="G125" s="12" t="n">
        <v>20</v>
      </c>
      <c r="H125" s="12" t="n">
        <v>18.2</v>
      </c>
      <c r="I125" s="12" t="s">
        <v>293</v>
      </c>
      <c r="J125" s="12" t="n">
        <v>1</v>
      </c>
      <c r="K125" s="12" t="n">
        <v>1</v>
      </c>
      <c r="L125" s="28" t="n">
        <v>1</v>
      </c>
      <c r="M125" s="12" t="n">
        <f aca="false">IF(L125=1,COUNTIFS($C$2:$C$1090,C125,$L$2:$L$1090,1),"")</f>
        <v>10</v>
      </c>
      <c r="N125" s="12" t="n">
        <f aca="false">IF(L125=1,1+COUNTIFS($C$2:$C$1090,C125,$L$2:$L$1090,1,$G$2:$G$1090,"&gt;"&amp;G125),"")</f>
        <v>1</v>
      </c>
      <c r="O125" s="12" t="n">
        <f aca="false">IF(L125=1,1+COUNTIFS($C$2:$C$1090,C125,$L$2:$L$1090,1,$H$2:$H$1090,"&gt;"&amp;H125),"")</f>
        <v>1</v>
      </c>
      <c r="P125" s="12" t="n">
        <f aca="false">IF(L125=1,N125-O125,"")</f>
        <v>0</v>
      </c>
      <c r="Q125" s="12" t="n">
        <f aca="false">INDEX(Directions!$D$2:$D$100,MATCH(C125,Directions!$A$2:$A$100,0))</f>
        <v>0</v>
      </c>
      <c r="R125" s="12" t="n">
        <f aca="false">IF(L125=1,P125*Q125,"")</f>
        <v>0</v>
      </c>
      <c r="S125" s="12" t="str">
        <f aca="false">IF(L125&lt;&gt;1,"Excluded",IF(Q125=0,"No direction",IF(R125&gt;0,"Better",IF(R125&lt;0,"Worse","No change"))))</f>
        <v>No direction</v>
      </c>
      <c r="T125" s="12"/>
      <c r="U125" s="12" t="str">
        <f aca="false">C125&amp;"|"&amp;E125</f>
        <v>F1_12|DEU</v>
      </c>
    </row>
    <row r="126" customFormat="false" ht="15" hidden="false" customHeight="false" outlineLevel="0" collapsed="false">
      <c r="A126" s="12" t="n">
        <v>1</v>
      </c>
      <c r="B126" s="12" t="s">
        <v>42</v>
      </c>
      <c r="C126" s="12" t="s">
        <v>74</v>
      </c>
      <c r="D126" s="12" t="s">
        <v>75</v>
      </c>
      <c r="E126" s="12" t="s">
        <v>285</v>
      </c>
      <c r="F126" s="12" t="s">
        <v>30</v>
      </c>
      <c r="G126" s="12" t="n">
        <v>12</v>
      </c>
      <c r="H126" s="12" t="n">
        <v>12.1</v>
      </c>
      <c r="I126" s="12" t="s">
        <v>293</v>
      </c>
      <c r="J126" s="12" t="n">
        <v>9</v>
      </c>
      <c r="K126" s="12" t="n">
        <v>8</v>
      </c>
      <c r="L126" s="28" t="n">
        <v>1</v>
      </c>
      <c r="M126" s="12" t="n">
        <f aca="false">IF(L126=1,COUNTIFS($C$2:$C$1090,C126,$L$2:$L$1090,1),"")</f>
        <v>10</v>
      </c>
      <c r="N126" s="12" t="n">
        <f aca="false">IF(L126=1,1+COUNTIFS($C$2:$C$1090,C126,$L$2:$L$1090,1,$G$2:$G$1090,"&gt;"&amp;G126),"")</f>
        <v>9</v>
      </c>
      <c r="O126" s="12" t="n">
        <f aca="false">IF(L126=1,1+COUNTIFS($C$2:$C$1090,C126,$L$2:$L$1090,1,$H$2:$H$1090,"&gt;"&amp;H126),"")</f>
        <v>8</v>
      </c>
      <c r="P126" s="12" t="n">
        <f aca="false">IF(L126=1,N126-O126,"")</f>
        <v>1</v>
      </c>
      <c r="Q126" s="12" t="n">
        <f aca="false">INDEX(Directions!$D$2:$D$100,MATCH(C126,Directions!$A$2:$A$100,0))</f>
        <v>0</v>
      </c>
      <c r="R126" s="12" t="n">
        <f aca="false">IF(L126=1,P126*Q126,"")</f>
        <v>0</v>
      </c>
      <c r="S126" s="12" t="str">
        <f aca="false">IF(L126&lt;&gt;1,"Excluded",IF(Q126=0,"No direction",IF(R126&gt;0,"Better",IF(R126&lt;0,"Worse","No change"))))</f>
        <v>No direction</v>
      </c>
      <c r="T126" s="12"/>
      <c r="U126" s="12" t="str">
        <f aca="false">C126&amp;"|"&amp;E126</f>
        <v>F1_12|SWE</v>
      </c>
    </row>
    <row r="127" customFormat="false" ht="15" hidden="false" customHeight="false" outlineLevel="0" collapsed="false">
      <c r="A127" s="12" t="n">
        <v>1</v>
      </c>
      <c r="B127" s="12" t="s">
        <v>42</v>
      </c>
      <c r="C127" s="12" t="s">
        <v>74</v>
      </c>
      <c r="D127" s="12" t="s">
        <v>75</v>
      </c>
      <c r="E127" s="12" t="s">
        <v>286</v>
      </c>
      <c r="F127" s="12" t="s">
        <v>31</v>
      </c>
      <c r="G127" s="12" t="n">
        <v>20</v>
      </c>
      <c r="H127" s="12" t="n">
        <v>17.4</v>
      </c>
      <c r="I127" s="12" t="s">
        <v>293</v>
      </c>
      <c r="J127" s="12" t="n">
        <v>2</v>
      </c>
      <c r="K127" s="12" t="n">
        <v>3</v>
      </c>
      <c r="L127" s="28" t="n">
        <v>1</v>
      </c>
      <c r="M127" s="12" t="n">
        <f aca="false">IF(L127=1,COUNTIFS($C$2:$C$1090,C127,$L$2:$L$1090,1),"")</f>
        <v>10</v>
      </c>
      <c r="N127" s="12" t="n">
        <f aca="false">IF(L127=1,1+COUNTIFS($C$2:$C$1090,C127,$L$2:$L$1090,1,$G$2:$G$1090,"&gt;"&amp;G127),"")</f>
        <v>1</v>
      </c>
      <c r="O127" s="12" t="n">
        <f aca="false">IF(L127=1,1+COUNTIFS($C$2:$C$1090,C127,$L$2:$L$1090,1,$H$2:$H$1090,"&gt;"&amp;H127),"")</f>
        <v>3</v>
      </c>
      <c r="P127" s="12" t="n">
        <f aca="false">IF(L127=1,N127-O127,"")</f>
        <v>-2</v>
      </c>
      <c r="Q127" s="12" t="n">
        <f aca="false">INDEX(Directions!$D$2:$D$100,MATCH(C127,Directions!$A$2:$A$100,0))</f>
        <v>0</v>
      </c>
      <c r="R127" s="12" t="n">
        <f aca="false">IF(L127=1,P127*Q127,"")</f>
        <v>-0</v>
      </c>
      <c r="S127" s="12" t="str">
        <f aca="false">IF(L127&lt;&gt;1,"Excluded",IF(Q127=0,"No direction",IF(R127&gt;0,"Better",IF(R127&lt;0,"Worse","No change"))))</f>
        <v>No direction</v>
      </c>
      <c r="T127" s="12"/>
      <c r="U127" s="12" t="str">
        <f aca="false">C127&amp;"|"&amp;E127</f>
        <v>F1_12|FRA</v>
      </c>
    </row>
    <row r="128" customFormat="false" ht="15" hidden="false" customHeight="false" outlineLevel="0" collapsed="false">
      <c r="A128" s="12" t="n">
        <v>1</v>
      </c>
      <c r="B128" s="12" t="s">
        <v>42</v>
      </c>
      <c r="C128" s="12" t="s">
        <v>74</v>
      </c>
      <c r="D128" s="12" t="s">
        <v>75</v>
      </c>
      <c r="E128" s="12" t="s">
        <v>32</v>
      </c>
      <c r="F128" s="12" t="s">
        <v>32</v>
      </c>
      <c r="G128" s="12" t="n">
        <v>12</v>
      </c>
      <c r="H128" s="12" t="n">
        <v>9.7</v>
      </c>
      <c r="I128" s="12" t="s">
        <v>282</v>
      </c>
      <c r="J128" s="12" t="n">
        <v>10</v>
      </c>
      <c r="K128" s="12" t="n">
        <v>11</v>
      </c>
      <c r="L128" s="28" t="n">
        <v>0</v>
      </c>
      <c r="M128" s="12" t="str">
        <f aca="false">IF(L128=1,COUNTIFS($C$2:$C$1090,C128,$L$2:$L$1090,1),"")</f>
        <v/>
      </c>
      <c r="N128" s="12" t="str">
        <f aca="false">IF(L128=1,1+COUNTIFS($C$2:$C$1090,C128,$L$2:$L$1090,1,$G$2:$G$1090,"&gt;"&amp;G128),"")</f>
        <v/>
      </c>
      <c r="O128" s="12" t="str">
        <f aca="false">IF(L128=1,1+COUNTIFS($C$2:$C$1090,C128,$L$2:$L$1090,1,$H$2:$H$1090,"&gt;"&amp;H128),"")</f>
        <v/>
      </c>
      <c r="P128" s="12" t="str">
        <f aca="false">IF(L128=1,N128-O128,"")</f>
        <v/>
      </c>
      <c r="Q128" s="12" t="n">
        <f aca="false">INDEX(Directions!$D$2:$D$100,MATCH(C128,Directions!$A$2:$A$100,0))</f>
        <v>0</v>
      </c>
      <c r="R128" s="12" t="str">
        <f aca="false">IF(L128=1,P128*Q128,"")</f>
        <v/>
      </c>
      <c r="S128" s="12" t="str">
        <f aca="false">IF(L128&lt;&gt;1,"Excluded",IF(Q128=0,"No direction",IF(R128&gt;0,"Better",IF(R128&lt;0,"Worse","No change"))))</f>
        <v>Excluded</v>
      </c>
      <c r="T128" s="12" t="s">
        <v>301</v>
      </c>
      <c r="U128" s="12" t="str">
        <f aca="false">C128&amp;"|"&amp;E128</f>
        <v>F1_12|NLD</v>
      </c>
    </row>
    <row r="129" customFormat="false" ht="15" hidden="false" customHeight="false" outlineLevel="0" collapsed="false">
      <c r="A129" s="12" t="n">
        <v>1</v>
      </c>
      <c r="B129" s="12" t="s">
        <v>42</v>
      </c>
      <c r="C129" s="12" t="s">
        <v>74</v>
      </c>
      <c r="D129" s="12" t="s">
        <v>75</v>
      </c>
      <c r="E129" s="12" t="s">
        <v>33</v>
      </c>
      <c r="F129" s="12" t="s">
        <v>33</v>
      </c>
      <c r="G129" s="12" t="n">
        <v>13</v>
      </c>
      <c r="H129" s="12" t="n">
        <v>14.5</v>
      </c>
      <c r="I129" s="12" t="s">
        <v>293</v>
      </c>
      <c r="J129" s="12" t="n">
        <v>8</v>
      </c>
      <c r="K129" s="12" t="n">
        <v>6</v>
      </c>
      <c r="L129" s="28" t="n">
        <v>1</v>
      </c>
      <c r="M129" s="12" t="n">
        <f aca="false">IF(L129=1,COUNTIFS($C$2:$C$1090,C129,$L$2:$L$1090,1),"")</f>
        <v>10</v>
      </c>
      <c r="N129" s="12" t="n">
        <f aca="false">IF(L129=1,1+COUNTIFS($C$2:$C$1090,C129,$L$2:$L$1090,1,$G$2:$G$1090,"&gt;"&amp;G129),"")</f>
        <v>8</v>
      </c>
      <c r="O129" s="12" t="n">
        <f aca="false">IF(L129=1,1+COUNTIFS($C$2:$C$1090,C129,$L$2:$L$1090,1,$H$2:$H$1090,"&gt;"&amp;H129),"")</f>
        <v>6</v>
      </c>
      <c r="P129" s="12" t="n">
        <f aca="false">IF(L129=1,N129-O129,"")</f>
        <v>2</v>
      </c>
      <c r="Q129" s="12" t="n">
        <f aca="false">INDEX(Directions!$D$2:$D$100,MATCH(C129,Directions!$A$2:$A$100,0))</f>
        <v>0</v>
      </c>
      <c r="R129" s="12" t="n">
        <f aca="false">IF(L129=1,P129*Q129,"")</f>
        <v>0</v>
      </c>
      <c r="S129" s="12" t="str">
        <f aca="false">IF(L129&lt;&gt;1,"Excluded",IF(Q129=0,"No direction",IF(R129&gt;0,"Better",IF(R129&lt;0,"Worse","No change"))))</f>
        <v>No direction</v>
      </c>
      <c r="T129" s="12"/>
      <c r="U129" s="12" t="str">
        <f aca="false">C129&amp;"|"&amp;E129</f>
        <v>F1_12|CHE</v>
      </c>
    </row>
    <row r="130" customFormat="false" ht="15" hidden="false" customHeight="false" outlineLevel="0" collapsed="false">
      <c r="A130" s="12" t="n">
        <v>1</v>
      </c>
      <c r="B130" s="12" t="s">
        <v>42</v>
      </c>
      <c r="C130" s="12" t="s">
        <v>74</v>
      </c>
      <c r="D130" s="12" t="s">
        <v>75</v>
      </c>
      <c r="E130" s="12" t="s">
        <v>287</v>
      </c>
      <c r="F130" s="12" t="s">
        <v>34</v>
      </c>
      <c r="G130" s="12" t="n">
        <v>10</v>
      </c>
      <c r="H130" s="12" t="n">
        <v>11.8</v>
      </c>
      <c r="I130" s="12" t="s">
        <v>282</v>
      </c>
      <c r="J130" s="12" t="n">
        <v>11</v>
      </c>
      <c r="K130" s="12" t="n">
        <v>9</v>
      </c>
      <c r="L130" s="28" t="n">
        <v>1</v>
      </c>
      <c r="M130" s="12" t="n">
        <f aca="false">IF(L130=1,COUNTIFS($C$2:$C$1090,C130,$L$2:$L$1090,1),"")</f>
        <v>10</v>
      </c>
      <c r="N130" s="12" t="n">
        <f aca="false">IF(L130=1,1+COUNTIFS($C$2:$C$1090,C130,$L$2:$L$1090,1,$G$2:$G$1090,"&gt;"&amp;G130),"")</f>
        <v>10</v>
      </c>
      <c r="O130" s="12" t="n">
        <f aca="false">IF(L130=1,1+COUNTIFS($C$2:$C$1090,C130,$L$2:$L$1090,1,$H$2:$H$1090,"&gt;"&amp;H130),"")</f>
        <v>9</v>
      </c>
      <c r="P130" s="12" t="n">
        <f aca="false">IF(L130=1,N130-O130,"")</f>
        <v>1</v>
      </c>
      <c r="Q130" s="12" t="n">
        <f aca="false">INDEX(Directions!$D$2:$D$100,MATCH(C130,Directions!$A$2:$A$100,0))</f>
        <v>0</v>
      </c>
      <c r="R130" s="12" t="n">
        <f aca="false">IF(L130=1,P130*Q130,"")</f>
        <v>0</v>
      </c>
      <c r="S130" s="12" t="str">
        <f aca="false">IF(L130&lt;&gt;1,"Excluded",IF(Q130=0,"No direction",IF(R130&gt;0,"Better",IF(R130&lt;0,"Worse","No change"))))</f>
        <v>No direction</v>
      </c>
      <c r="T130" s="12"/>
      <c r="U130" s="12" t="str">
        <f aca="false">C130&amp;"|"&amp;E130</f>
        <v>F1_12|DNK</v>
      </c>
    </row>
    <row r="131" customFormat="false" ht="15" hidden="false" customHeight="false" outlineLevel="0" collapsed="false">
      <c r="A131" s="12" t="n">
        <v>1</v>
      </c>
      <c r="B131" s="12" t="s">
        <v>42</v>
      </c>
      <c r="C131" s="12" t="s">
        <v>74</v>
      </c>
      <c r="D131" s="12" t="s">
        <v>75</v>
      </c>
      <c r="E131" s="12" t="s">
        <v>288</v>
      </c>
      <c r="F131" s="12" t="s">
        <v>35</v>
      </c>
      <c r="G131" s="12" t="n">
        <v>20</v>
      </c>
      <c r="H131" s="12" t="n">
        <v>17.3</v>
      </c>
      <c r="I131" s="12" t="s">
        <v>282</v>
      </c>
      <c r="J131" s="12" t="n">
        <v>3</v>
      </c>
      <c r="K131" s="12" t="n">
        <v>4</v>
      </c>
      <c r="L131" s="28" t="n">
        <v>1</v>
      </c>
      <c r="M131" s="12" t="n">
        <f aca="false">IF(L131=1,COUNTIFS($C$2:$C$1090,C131,$L$2:$L$1090,1),"")</f>
        <v>10</v>
      </c>
      <c r="N131" s="12" t="n">
        <f aca="false">IF(L131=1,1+COUNTIFS($C$2:$C$1090,C131,$L$2:$L$1090,1,$G$2:$G$1090,"&gt;"&amp;G131),"")</f>
        <v>1</v>
      </c>
      <c r="O131" s="12" t="n">
        <f aca="false">IF(L131=1,1+COUNTIFS($C$2:$C$1090,C131,$L$2:$L$1090,1,$H$2:$H$1090,"&gt;"&amp;H131),"")</f>
        <v>4</v>
      </c>
      <c r="P131" s="12" t="n">
        <f aca="false">IF(L131=1,N131-O131,"")</f>
        <v>-3</v>
      </c>
      <c r="Q131" s="12" t="n">
        <f aca="false">INDEX(Directions!$D$2:$D$100,MATCH(C131,Directions!$A$2:$A$100,0))</f>
        <v>0</v>
      </c>
      <c r="R131" s="12" t="n">
        <f aca="false">IF(L131=1,P131*Q131,"")</f>
        <v>-0</v>
      </c>
      <c r="S131" s="12" t="str">
        <f aca="false">IF(L131&lt;&gt;1,"Excluded",IF(Q131=0,"No direction",IF(R131&gt;0,"Better",IF(R131&lt;0,"Worse","No change"))))</f>
        <v>No direction</v>
      </c>
      <c r="T131" s="12"/>
      <c r="U131" s="12" t="str">
        <f aca="false">C131&amp;"|"&amp;E131</f>
        <v>F1_12|CAN</v>
      </c>
    </row>
    <row r="132" customFormat="false" ht="15" hidden="false" customHeight="false" outlineLevel="0" collapsed="false">
      <c r="A132" s="12" t="n">
        <v>1</v>
      </c>
      <c r="B132" s="12" t="s">
        <v>42</v>
      </c>
      <c r="C132" s="12" t="s">
        <v>74</v>
      </c>
      <c r="D132" s="12" t="s">
        <v>75</v>
      </c>
      <c r="E132" s="12" t="s">
        <v>289</v>
      </c>
      <c r="F132" s="12" t="s">
        <v>36</v>
      </c>
      <c r="G132" s="12" t="n">
        <v>20</v>
      </c>
      <c r="H132" s="12" t="n">
        <v>18.1</v>
      </c>
      <c r="I132" s="12" t="s">
        <v>291</v>
      </c>
      <c r="J132" s="12" t="n">
        <v>4</v>
      </c>
      <c r="K132" s="12" t="n">
        <v>2</v>
      </c>
      <c r="L132" s="28" t="n">
        <v>1</v>
      </c>
      <c r="M132" s="12" t="n">
        <f aca="false">IF(L132=1,COUNTIFS($C$2:$C$1090,C132,$L$2:$L$1090,1),"")</f>
        <v>10</v>
      </c>
      <c r="N132" s="12" t="n">
        <f aca="false">IF(L132=1,1+COUNTIFS($C$2:$C$1090,C132,$L$2:$L$1090,1,$G$2:$G$1090,"&gt;"&amp;G132),"")</f>
        <v>1</v>
      </c>
      <c r="O132" s="12" t="n">
        <f aca="false">IF(L132=1,1+COUNTIFS($C$2:$C$1090,C132,$L$2:$L$1090,1,$H$2:$H$1090,"&gt;"&amp;H132),"")</f>
        <v>2</v>
      </c>
      <c r="P132" s="12" t="n">
        <f aca="false">IF(L132=1,N132-O132,"")</f>
        <v>-1</v>
      </c>
      <c r="Q132" s="12" t="n">
        <f aca="false">INDEX(Directions!$D$2:$D$100,MATCH(C132,Directions!$A$2:$A$100,0))</f>
        <v>0</v>
      </c>
      <c r="R132" s="12" t="n">
        <f aca="false">IF(L132=1,P132*Q132,"")</f>
        <v>-0</v>
      </c>
      <c r="S132" s="12" t="str">
        <f aca="false">IF(L132&lt;&gt;1,"Excluded",IF(Q132=0,"No direction",IF(R132&gt;0,"Better",IF(R132&lt;0,"Worse","No change"))))</f>
        <v>No direction</v>
      </c>
      <c r="T132" s="12"/>
      <c r="U132" s="12" t="str">
        <f aca="false">C132&amp;"|"&amp;E132</f>
        <v>F1_12|JPN</v>
      </c>
    </row>
    <row r="133" customFormat="false" ht="15" hidden="false" customHeight="false" outlineLevel="0" collapsed="false">
      <c r="A133" s="12" t="n">
        <v>1</v>
      </c>
      <c r="B133" s="12" t="s">
        <v>42</v>
      </c>
      <c r="C133" s="12" t="s">
        <v>74</v>
      </c>
      <c r="D133" s="12" t="s">
        <v>75</v>
      </c>
      <c r="E133" s="12" t="s">
        <v>290</v>
      </c>
      <c r="F133" s="12" t="s">
        <v>37</v>
      </c>
      <c r="G133" s="12" t="n">
        <v>17</v>
      </c>
      <c r="H133" s="12" t="n">
        <v>14.6</v>
      </c>
      <c r="I133" s="12" t="s">
        <v>291</v>
      </c>
      <c r="J133" s="12" t="n">
        <v>5</v>
      </c>
      <c r="K133" s="12" t="n">
        <v>5</v>
      </c>
      <c r="L133" s="28" t="n">
        <v>1</v>
      </c>
      <c r="M133" s="12" t="n">
        <f aca="false">IF(L133=1,COUNTIFS($C$2:$C$1090,C133,$L$2:$L$1090,1),"")</f>
        <v>10</v>
      </c>
      <c r="N133" s="12" t="n">
        <f aca="false">IF(L133=1,1+COUNTIFS($C$2:$C$1090,C133,$L$2:$L$1090,1,$G$2:$G$1090,"&gt;"&amp;G133),"")</f>
        <v>5</v>
      </c>
      <c r="O133" s="12" t="n">
        <f aca="false">IF(L133=1,1+COUNTIFS($C$2:$C$1090,C133,$L$2:$L$1090,1,$H$2:$H$1090,"&gt;"&amp;H133),"")</f>
        <v>5</v>
      </c>
      <c r="P133" s="12" t="n">
        <f aca="false">IF(L133=1,N133-O133,"")</f>
        <v>0</v>
      </c>
      <c r="Q133" s="12" t="n">
        <f aca="false">INDEX(Directions!$D$2:$D$100,MATCH(C133,Directions!$A$2:$A$100,0))</f>
        <v>0</v>
      </c>
      <c r="R133" s="12" t="n">
        <f aca="false">IF(L133=1,P133*Q133,"")</f>
        <v>0</v>
      </c>
      <c r="S133" s="12" t="str">
        <f aca="false">IF(L133&lt;&gt;1,"Excluded",IF(Q133=0,"No direction",IF(R133&gt;0,"Better",IF(R133&lt;0,"Worse","No change"))))</f>
        <v>No direction</v>
      </c>
      <c r="T133" s="12"/>
      <c r="U133" s="12" t="str">
        <f aca="false">C133&amp;"|"&amp;E133</f>
        <v>F1_12|AUS</v>
      </c>
    </row>
    <row r="134" customFormat="false" ht="15" hidden="false" customHeight="false" outlineLevel="0" collapsed="false">
      <c r="A134" s="12" t="n">
        <v>1</v>
      </c>
      <c r="B134" s="12" t="s">
        <v>42</v>
      </c>
      <c r="C134" s="12" t="s">
        <v>76</v>
      </c>
      <c r="D134" s="12" t="s">
        <v>77</v>
      </c>
      <c r="E134" s="12" t="s">
        <v>281</v>
      </c>
      <c r="F134" s="12" t="s">
        <v>27</v>
      </c>
      <c r="G134" s="12" t="n">
        <v>8</v>
      </c>
      <c r="H134" s="12" t="n">
        <v>8.8</v>
      </c>
      <c r="I134" s="12" t="s">
        <v>299</v>
      </c>
      <c r="J134" s="12" t="n">
        <v>1</v>
      </c>
      <c r="K134" s="12" t="n">
        <v>1</v>
      </c>
      <c r="L134" s="28" t="n">
        <v>1</v>
      </c>
      <c r="M134" s="12" t="n">
        <f aca="false">IF(L134=1,COUNTIFS($C$2:$C$1090,C134,$L$2:$L$1090,1),"")</f>
        <v>10</v>
      </c>
      <c r="N134" s="12" t="n">
        <f aca="false">IF(L134=1,1+COUNTIFS($C$2:$C$1090,C134,$L$2:$L$1090,1,$G$2:$G$1090,"&gt;"&amp;G134),"")</f>
        <v>1</v>
      </c>
      <c r="O134" s="12" t="n">
        <f aca="false">IF(L134=1,1+COUNTIFS($C$2:$C$1090,C134,$L$2:$L$1090,1,$H$2:$H$1090,"&gt;"&amp;H134),"")</f>
        <v>1</v>
      </c>
      <c r="P134" s="12" t="n">
        <f aca="false">IF(L134=1,N134-O134,"")</f>
        <v>0</v>
      </c>
      <c r="Q134" s="12" t="n">
        <f aca="false">INDEX(Directions!$D$2:$D$100,MATCH(C134,Directions!$A$2:$A$100,0))</f>
        <v>0</v>
      </c>
      <c r="R134" s="12" t="n">
        <f aca="false">IF(L134=1,P134*Q134,"")</f>
        <v>0</v>
      </c>
      <c r="S134" s="12" t="str">
        <f aca="false">IF(L134&lt;&gt;1,"Excluded",IF(Q134=0,"No direction",IF(R134&gt;0,"Better",IF(R134&lt;0,"Worse","No change"))))</f>
        <v>No direction</v>
      </c>
      <c r="T134" s="12" t="s">
        <v>300</v>
      </c>
      <c r="U134" s="12" t="str">
        <f aca="false">C134&amp;"|"&amp;E134</f>
        <v>F1_13|USA</v>
      </c>
    </row>
    <row r="135" customFormat="false" ht="15" hidden="false" customHeight="false" outlineLevel="0" collapsed="false">
      <c r="A135" s="12" t="n">
        <v>1</v>
      </c>
      <c r="B135" s="12" t="s">
        <v>42</v>
      </c>
      <c r="C135" s="12" t="s">
        <v>76</v>
      </c>
      <c r="D135" s="12" t="s">
        <v>77</v>
      </c>
      <c r="E135" s="12" t="s">
        <v>283</v>
      </c>
      <c r="F135" s="12" t="s">
        <v>28</v>
      </c>
      <c r="G135" s="12" t="n">
        <v>2</v>
      </c>
      <c r="H135" s="12" t="n">
        <v>1.6</v>
      </c>
      <c r="I135" s="12" t="s">
        <v>293</v>
      </c>
      <c r="J135" s="12" t="n">
        <v>7</v>
      </c>
      <c r="K135" s="12" t="n">
        <v>9</v>
      </c>
      <c r="L135" s="28" t="n">
        <v>1</v>
      </c>
      <c r="M135" s="12" t="n">
        <f aca="false">IF(L135=1,COUNTIFS($C$2:$C$1090,C135,$L$2:$L$1090,1),"")</f>
        <v>10</v>
      </c>
      <c r="N135" s="12" t="n">
        <f aca="false">IF(L135=1,1+COUNTIFS($C$2:$C$1090,C135,$L$2:$L$1090,1,$G$2:$G$1090,"&gt;"&amp;G135),"")</f>
        <v>6</v>
      </c>
      <c r="O135" s="12" t="n">
        <f aca="false">IF(L135=1,1+COUNTIFS($C$2:$C$1090,C135,$L$2:$L$1090,1,$H$2:$H$1090,"&gt;"&amp;H135),"")</f>
        <v>8</v>
      </c>
      <c r="P135" s="12" t="n">
        <f aca="false">IF(L135=1,N135-O135,"")</f>
        <v>-2</v>
      </c>
      <c r="Q135" s="12" t="n">
        <f aca="false">INDEX(Directions!$D$2:$D$100,MATCH(C135,Directions!$A$2:$A$100,0))</f>
        <v>0</v>
      </c>
      <c r="R135" s="12" t="n">
        <f aca="false">IF(L135=1,P135*Q135,"")</f>
        <v>-0</v>
      </c>
      <c r="S135" s="12" t="str">
        <f aca="false">IF(L135&lt;&gt;1,"Excluded",IF(Q135=0,"No direction",IF(R135&gt;0,"Better",IF(R135&lt;0,"Worse","No change"))))</f>
        <v>No direction</v>
      </c>
      <c r="T135" s="12"/>
      <c r="U135" s="12" t="str">
        <f aca="false">C135&amp;"|"&amp;E135</f>
        <v>F1_13|GBR</v>
      </c>
    </row>
    <row r="136" customFormat="false" ht="15" hidden="false" customHeight="false" outlineLevel="0" collapsed="false">
      <c r="A136" s="12" t="n">
        <v>1</v>
      </c>
      <c r="B136" s="12" t="s">
        <v>42</v>
      </c>
      <c r="C136" s="12" t="s">
        <v>76</v>
      </c>
      <c r="D136" s="12" t="s">
        <v>77</v>
      </c>
      <c r="E136" s="12" t="s">
        <v>284</v>
      </c>
      <c r="F136" s="12" t="s">
        <v>29</v>
      </c>
      <c r="G136" s="12" t="n">
        <v>5</v>
      </c>
      <c r="H136" s="12" t="n">
        <v>4.2</v>
      </c>
      <c r="I136" s="12" t="s">
        <v>293</v>
      </c>
      <c r="J136" s="12" t="n">
        <v>2</v>
      </c>
      <c r="K136" s="12" t="n">
        <v>4</v>
      </c>
      <c r="L136" s="28" t="n">
        <v>1</v>
      </c>
      <c r="M136" s="12" t="n">
        <f aca="false">IF(L136=1,COUNTIFS($C$2:$C$1090,C136,$L$2:$L$1090,1),"")</f>
        <v>10</v>
      </c>
      <c r="N136" s="12" t="n">
        <f aca="false">IF(L136=1,1+COUNTIFS($C$2:$C$1090,C136,$L$2:$L$1090,1,$G$2:$G$1090,"&gt;"&amp;G136),"")</f>
        <v>2</v>
      </c>
      <c r="O136" s="12" t="n">
        <f aca="false">IF(L136=1,1+COUNTIFS($C$2:$C$1090,C136,$L$2:$L$1090,1,$H$2:$H$1090,"&gt;"&amp;H136),"")</f>
        <v>4</v>
      </c>
      <c r="P136" s="12" t="n">
        <f aca="false">IF(L136=1,N136-O136,"")</f>
        <v>-2</v>
      </c>
      <c r="Q136" s="12" t="n">
        <f aca="false">INDEX(Directions!$D$2:$D$100,MATCH(C136,Directions!$A$2:$A$100,0))</f>
        <v>0</v>
      </c>
      <c r="R136" s="12" t="n">
        <f aca="false">IF(L136=1,P136*Q136,"")</f>
        <v>-0</v>
      </c>
      <c r="S136" s="12" t="str">
        <f aca="false">IF(L136&lt;&gt;1,"Excluded",IF(Q136=0,"No direction",IF(R136&gt;0,"Better",IF(R136&lt;0,"Worse","No change"))))</f>
        <v>No direction</v>
      </c>
      <c r="T136" s="12"/>
      <c r="U136" s="12" t="str">
        <f aca="false">C136&amp;"|"&amp;E136</f>
        <v>F1_13|DEU</v>
      </c>
    </row>
    <row r="137" customFormat="false" ht="15" hidden="false" customHeight="false" outlineLevel="0" collapsed="false">
      <c r="A137" s="12" t="n">
        <v>1</v>
      </c>
      <c r="B137" s="12" t="s">
        <v>42</v>
      </c>
      <c r="C137" s="12" t="s">
        <v>76</v>
      </c>
      <c r="D137" s="12" t="s">
        <v>77</v>
      </c>
      <c r="E137" s="12" t="s">
        <v>285</v>
      </c>
      <c r="F137" s="12" t="s">
        <v>30</v>
      </c>
      <c r="G137" s="12" t="n">
        <v>2</v>
      </c>
      <c r="H137" s="12" t="n">
        <v>1.2</v>
      </c>
      <c r="I137" s="12" t="s">
        <v>293</v>
      </c>
      <c r="J137" s="12" t="n">
        <v>8</v>
      </c>
      <c r="K137" s="12" t="n">
        <v>11</v>
      </c>
      <c r="L137" s="28" t="n">
        <v>1</v>
      </c>
      <c r="M137" s="12" t="n">
        <f aca="false">IF(L137=1,COUNTIFS($C$2:$C$1090,C137,$L$2:$L$1090,1),"")</f>
        <v>10</v>
      </c>
      <c r="N137" s="12" t="n">
        <f aca="false">IF(L137=1,1+COUNTIFS($C$2:$C$1090,C137,$L$2:$L$1090,1,$G$2:$G$1090,"&gt;"&amp;G137),"")</f>
        <v>6</v>
      </c>
      <c r="O137" s="12" t="n">
        <f aca="false">IF(L137=1,1+COUNTIFS($C$2:$C$1090,C137,$L$2:$L$1090,1,$H$2:$H$1090,"&gt;"&amp;H137),"")</f>
        <v>10</v>
      </c>
      <c r="P137" s="12" t="n">
        <f aca="false">IF(L137=1,N137-O137,"")</f>
        <v>-4</v>
      </c>
      <c r="Q137" s="12" t="n">
        <f aca="false">INDEX(Directions!$D$2:$D$100,MATCH(C137,Directions!$A$2:$A$100,0))</f>
        <v>0</v>
      </c>
      <c r="R137" s="12" t="n">
        <f aca="false">IF(L137=1,P137*Q137,"")</f>
        <v>-0</v>
      </c>
      <c r="S137" s="12" t="str">
        <f aca="false">IF(L137&lt;&gt;1,"Excluded",IF(Q137=0,"No direction",IF(R137&gt;0,"Better",IF(R137&lt;0,"Worse","No change"))))</f>
        <v>No direction</v>
      </c>
      <c r="T137" s="12"/>
      <c r="U137" s="12" t="str">
        <f aca="false">C137&amp;"|"&amp;E137</f>
        <v>F1_13|SWE</v>
      </c>
    </row>
    <row r="138" customFormat="false" ht="15" hidden="false" customHeight="false" outlineLevel="0" collapsed="false">
      <c r="A138" s="12" t="n">
        <v>1</v>
      </c>
      <c r="B138" s="12" t="s">
        <v>42</v>
      </c>
      <c r="C138" s="12" t="s">
        <v>76</v>
      </c>
      <c r="D138" s="12" t="s">
        <v>77</v>
      </c>
      <c r="E138" s="12" t="s">
        <v>286</v>
      </c>
      <c r="F138" s="12" t="s">
        <v>31</v>
      </c>
      <c r="G138" s="12" t="n">
        <v>1</v>
      </c>
      <c r="H138" s="12" t="n">
        <v>5.1</v>
      </c>
      <c r="I138" s="12" t="s">
        <v>293</v>
      </c>
      <c r="J138" s="12" t="n">
        <v>10</v>
      </c>
      <c r="K138" s="12" t="n">
        <v>2</v>
      </c>
      <c r="L138" s="28" t="n">
        <v>1</v>
      </c>
      <c r="M138" s="12" t="n">
        <f aca="false">IF(L138=1,COUNTIFS($C$2:$C$1090,C138,$L$2:$L$1090,1),"")</f>
        <v>10</v>
      </c>
      <c r="N138" s="12" t="n">
        <f aca="false">IF(L138=1,1+COUNTIFS($C$2:$C$1090,C138,$L$2:$L$1090,1,$G$2:$G$1090,"&gt;"&amp;G138),"")</f>
        <v>9</v>
      </c>
      <c r="O138" s="12" t="n">
        <f aca="false">IF(L138=1,1+COUNTIFS($C$2:$C$1090,C138,$L$2:$L$1090,1,$H$2:$H$1090,"&gt;"&amp;H138),"")</f>
        <v>2</v>
      </c>
      <c r="P138" s="12" t="n">
        <f aca="false">IF(L138=1,N138-O138,"")</f>
        <v>7</v>
      </c>
      <c r="Q138" s="12" t="n">
        <f aca="false">INDEX(Directions!$D$2:$D$100,MATCH(C138,Directions!$A$2:$A$100,0))</f>
        <v>0</v>
      </c>
      <c r="R138" s="12" t="n">
        <f aca="false">IF(L138=1,P138*Q138,"")</f>
        <v>0</v>
      </c>
      <c r="S138" s="12" t="str">
        <f aca="false">IF(L138&lt;&gt;1,"Excluded",IF(Q138=0,"No direction",IF(R138&gt;0,"Better",IF(R138&lt;0,"Worse","No change"))))</f>
        <v>No direction</v>
      </c>
      <c r="T138" s="12"/>
      <c r="U138" s="12" t="str">
        <f aca="false">C138&amp;"|"&amp;E138</f>
        <v>F1_13|FRA</v>
      </c>
    </row>
    <row r="139" customFormat="false" ht="15" hidden="false" customHeight="false" outlineLevel="0" collapsed="false">
      <c r="A139" s="12" t="n">
        <v>1</v>
      </c>
      <c r="B139" s="12" t="s">
        <v>42</v>
      </c>
      <c r="C139" s="12" t="s">
        <v>76</v>
      </c>
      <c r="D139" s="12" t="s">
        <v>77</v>
      </c>
      <c r="E139" s="12" t="s">
        <v>32</v>
      </c>
      <c r="F139" s="12" t="s">
        <v>32</v>
      </c>
      <c r="G139" s="12" t="n">
        <v>4</v>
      </c>
      <c r="H139" s="12" t="n">
        <v>3</v>
      </c>
      <c r="I139" s="12" t="s">
        <v>282</v>
      </c>
      <c r="J139" s="12" t="n">
        <v>3</v>
      </c>
      <c r="K139" s="12" t="n">
        <v>7</v>
      </c>
      <c r="L139" s="28" t="n">
        <v>0</v>
      </c>
      <c r="M139" s="12" t="str">
        <f aca="false">IF(L139=1,COUNTIFS($C$2:$C$1090,C139,$L$2:$L$1090,1),"")</f>
        <v/>
      </c>
      <c r="N139" s="12" t="str">
        <f aca="false">IF(L139=1,1+COUNTIFS($C$2:$C$1090,C139,$L$2:$L$1090,1,$G$2:$G$1090,"&gt;"&amp;G139),"")</f>
        <v/>
      </c>
      <c r="O139" s="12" t="str">
        <f aca="false">IF(L139=1,1+COUNTIFS($C$2:$C$1090,C139,$L$2:$L$1090,1,$H$2:$H$1090,"&gt;"&amp;H139),"")</f>
        <v/>
      </c>
      <c r="P139" s="12" t="str">
        <f aca="false">IF(L139=1,N139-O139,"")</f>
        <v/>
      </c>
      <c r="Q139" s="12" t="n">
        <f aca="false">INDEX(Directions!$D$2:$D$100,MATCH(C139,Directions!$A$2:$A$100,0))</f>
        <v>0</v>
      </c>
      <c r="R139" s="12" t="str">
        <f aca="false">IF(L139=1,P139*Q139,"")</f>
        <v/>
      </c>
      <c r="S139" s="12" t="str">
        <f aca="false">IF(L139&lt;&gt;1,"Excluded",IF(Q139=0,"No direction",IF(R139&gt;0,"Better",IF(R139&lt;0,"Worse","No change"))))</f>
        <v>Excluded</v>
      </c>
      <c r="T139" s="12" t="s">
        <v>301</v>
      </c>
      <c r="U139" s="12" t="str">
        <f aca="false">C139&amp;"|"&amp;E139</f>
        <v>F1_13|NLD</v>
      </c>
    </row>
    <row r="140" customFormat="false" ht="15" hidden="false" customHeight="false" outlineLevel="0" collapsed="false">
      <c r="A140" s="12" t="n">
        <v>1</v>
      </c>
      <c r="B140" s="12" t="s">
        <v>42</v>
      </c>
      <c r="C140" s="12" t="s">
        <v>76</v>
      </c>
      <c r="D140" s="12" t="s">
        <v>77</v>
      </c>
      <c r="E140" s="12" t="s">
        <v>33</v>
      </c>
      <c r="F140" s="12" t="s">
        <v>33</v>
      </c>
      <c r="G140" s="12" t="n">
        <v>4</v>
      </c>
      <c r="H140" s="12" t="n">
        <v>4.4</v>
      </c>
      <c r="I140" s="12" t="s">
        <v>293</v>
      </c>
      <c r="J140" s="12" t="n">
        <v>4</v>
      </c>
      <c r="K140" s="12" t="n">
        <v>3</v>
      </c>
      <c r="L140" s="28" t="n">
        <v>1</v>
      </c>
      <c r="M140" s="12" t="n">
        <f aca="false">IF(L140=1,COUNTIFS($C$2:$C$1090,C140,$L$2:$L$1090,1),"")</f>
        <v>10</v>
      </c>
      <c r="N140" s="12" t="n">
        <f aca="false">IF(L140=1,1+COUNTIFS($C$2:$C$1090,C140,$L$2:$L$1090,1,$G$2:$G$1090,"&gt;"&amp;G140),"")</f>
        <v>3</v>
      </c>
      <c r="O140" s="12" t="n">
        <f aca="false">IF(L140=1,1+COUNTIFS($C$2:$C$1090,C140,$L$2:$L$1090,1,$H$2:$H$1090,"&gt;"&amp;H140),"")</f>
        <v>3</v>
      </c>
      <c r="P140" s="12" t="n">
        <f aca="false">IF(L140=1,N140-O140,"")</f>
        <v>0</v>
      </c>
      <c r="Q140" s="12" t="n">
        <f aca="false">INDEX(Directions!$D$2:$D$100,MATCH(C140,Directions!$A$2:$A$100,0))</f>
        <v>0</v>
      </c>
      <c r="R140" s="12" t="n">
        <f aca="false">IF(L140=1,P140*Q140,"")</f>
        <v>0</v>
      </c>
      <c r="S140" s="12" t="str">
        <f aca="false">IF(L140&lt;&gt;1,"Excluded",IF(Q140=0,"No direction",IF(R140&gt;0,"Better",IF(R140&lt;0,"Worse","No change"))))</f>
        <v>No direction</v>
      </c>
      <c r="T140" s="12"/>
      <c r="U140" s="12" t="str">
        <f aca="false">C140&amp;"|"&amp;E140</f>
        <v>F1_13|CHE</v>
      </c>
    </row>
    <row r="141" customFormat="false" ht="15" hidden="false" customHeight="false" outlineLevel="0" collapsed="false">
      <c r="A141" s="12" t="n">
        <v>1</v>
      </c>
      <c r="B141" s="12" t="s">
        <v>42</v>
      </c>
      <c r="C141" s="12" t="s">
        <v>76</v>
      </c>
      <c r="D141" s="12" t="s">
        <v>77</v>
      </c>
      <c r="E141" s="12" t="s">
        <v>287</v>
      </c>
      <c r="F141" s="12" t="s">
        <v>34</v>
      </c>
      <c r="G141" s="12" t="n">
        <v>2</v>
      </c>
      <c r="H141" s="12" t="n">
        <v>4.2</v>
      </c>
      <c r="I141" s="12" t="s">
        <v>282</v>
      </c>
      <c r="J141" s="12" t="n">
        <v>9</v>
      </c>
      <c r="K141" s="12" t="n">
        <v>5</v>
      </c>
      <c r="L141" s="28" t="n">
        <v>1</v>
      </c>
      <c r="M141" s="12" t="n">
        <f aca="false">IF(L141=1,COUNTIFS($C$2:$C$1090,C141,$L$2:$L$1090,1),"")</f>
        <v>10</v>
      </c>
      <c r="N141" s="12" t="n">
        <f aca="false">IF(L141=1,1+COUNTIFS($C$2:$C$1090,C141,$L$2:$L$1090,1,$G$2:$G$1090,"&gt;"&amp;G141),"")</f>
        <v>6</v>
      </c>
      <c r="O141" s="12" t="n">
        <f aca="false">IF(L141=1,1+COUNTIFS($C$2:$C$1090,C141,$L$2:$L$1090,1,$H$2:$H$1090,"&gt;"&amp;H141),"")</f>
        <v>4</v>
      </c>
      <c r="P141" s="12" t="n">
        <f aca="false">IF(L141=1,N141-O141,"")</f>
        <v>2</v>
      </c>
      <c r="Q141" s="12" t="n">
        <f aca="false">INDEX(Directions!$D$2:$D$100,MATCH(C141,Directions!$A$2:$A$100,0))</f>
        <v>0</v>
      </c>
      <c r="R141" s="12" t="n">
        <f aca="false">IF(L141=1,P141*Q141,"")</f>
        <v>0</v>
      </c>
      <c r="S141" s="12" t="str">
        <f aca="false">IF(L141&lt;&gt;1,"Excluded",IF(Q141=0,"No direction",IF(R141&gt;0,"Better",IF(R141&lt;0,"Worse","No change"))))</f>
        <v>No direction</v>
      </c>
      <c r="T141" s="12"/>
      <c r="U141" s="12" t="str">
        <f aca="false">C141&amp;"|"&amp;E141</f>
        <v>F1_13|DNK</v>
      </c>
    </row>
    <row r="142" customFormat="false" ht="15" hidden="false" customHeight="false" outlineLevel="0" collapsed="false">
      <c r="A142" s="12" t="n">
        <v>1</v>
      </c>
      <c r="B142" s="12" t="s">
        <v>42</v>
      </c>
      <c r="C142" s="12" t="s">
        <v>76</v>
      </c>
      <c r="D142" s="12" t="s">
        <v>77</v>
      </c>
      <c r="E142" s="12" t="s">
        <v>288</v>
      </c>
      <c r="F142" s="12" t="s">
        <v>35</v>
      </c>
      <c r="G142" s="12" t="n">
        <v>3</v>
      </c>
      <c r="H142" s="12" t="n">
        <v>3.4</v>
      </c>
      <c r="I142" s="12" t="s">
        <v>282</v>
      </c>
      <c r="J142" s="12" t="n">
        <v>5</v>
      </c>
      <c r="K142" s="12" t="n">
        <v>6</v>
      </c>
      <c r="L142" s="28" t="n">
        <v>1</v>
      </c>
      <c r="M142" s="12" t="n">
        <f aca="false">IF(L142=1,COUNTIFS($C$2:$C$1090,C142,$L$2:$L$1090,1),"")</f>
        <v>10</v>
      </c>
      <c r="N142" s="12" t="n">
        <f aca="false">IF(L142=1,1+COUNTIFS($C$2:$C$1090,C142,$L$2:$L$1090,1,$G$2:$G$1090,"&gt;"&amp;G142),"")</f>
        <v>4</v>
      </c>
      <c r="O142" s="12" t="n">
        <f aca="false">IF(L142=1,1+COUNTIFS($C$2:$C$1090,C142,$L$2:$L$1090,1,$H$2:$H$1090,"&gt;"&amp;H142),"")</f>
        <v>6</v>
      </c>
      <c r="P142" s="12" t="n">
        <f aca="false">IF(L142=1,N142-O142,"")</f>
        <v>-2</v>
      </c>
      <c r="Q142" s="12" t="n">
        <f aca="false">INDEX(Directions!$D$2:$D$100,MATCH(C142,Directions!$A$2:$A$100,0))</f>
        <v>0</v>
      </c>
      <c r="R142" s="12" t="n">
        <f aca="false">IF(L142=1,P142*Q142,"")</f>
        <v>-0</v>
      </c>
      <c r="S142" s="12" t="str">
        <f aca="false">IF(L142&lt;&gt;1,"Excluded",IF(Q142=0,"No direction",IF(R142&gt;0,"Better",IF(R142&lt;0,"Worse","No change"))))</f>
        <v>No direction</v>
      </c>
      <c r="T142" s="12"/>
      <c r="U142" s="12" t="str">
        <f aca="false">C142&amp;"|"&amp;E142</f>
        <v>F1_13|CAN</v>
      </c>
    </row>
    <row r="143" customFormat="false" ht="15" hidden="false" customHeight="false" outlineLevel="0" collapsed="false">
      <c r="A143" s="12" t="n">
        <v>1</v>
      </c>
      <c r="B143" s="12" t="s">
        <v>42</v>
      </c>
      <c r="C143" s="12" t="s">
        <v>76</v>
      </c>
      <c r="D143" s="12" t="s">
        <v>77</v>
      </c>
      <c r="E143" s="12" t="s">
        <v>289</v>
      </c>
      <c r="F143" s="12" t="s">
        <v>36</v>
      </c>
      <c r="G143" s="12" t="n">
        <v>1</v>
      </c>
      <c r="H143" s="12" t="n">
        <v>1.3</v>
      </c>
      <c r="I143" s="12" t="s">
        <v>291</v>
      </c>
      <c r="J143" s="12" t="n">
        <v>11</v>
      </c>
      <c r="K143" s="12" t="n">
        <v>10</v>
      </c>
      <c r="L143" s="28" t="n">
        <v>1</v>
      </c>
      <c r="M143" s="12" t="n">
        <f aca="false">IF(L143=1,COUNTIFS($C$2:$C$1090,C143,$L$2:$L$1090,1),"")</f>
        <v>10</v>
      </c>
      <c r="N143" s="12" t="n">
        <f aca="false">IF(L143=1,1+COUNTIFS($C$2:$C$1090,C143,$L$2:$L$1090,1,$G$2:$G$1090,"&gt;"&amp;G143),"")</f>
        <v>9</v>
      </c>
      <c r="O143" s="12" t="n">
        <f aca="false">IF(L143=1,1+COUNTIFS($C$2:$C$1090,C143,$L$2:$L$1090,1,$H$2:$H$1090,"&gt;"&amp;H143),"")</f>
        <v>9</v>
      </c>
      <c r="P143" s="12" t="n">
        <f aca="false">IF(L143=1,N143-O143,"")</f>
        <v>0</v>
      </c>
      <c r="Q143" s="12" t="n">
        <f aca="false">INDEX(Directions!$D$2:$D$100,MATCH(C143,Directions!$A$2:$A$100,0))</f>
        <v>0</v>
      </c>
      <c r="R143" s="12" t="n">
        <f aca="false">IF(L143=1,P143*Q143,"")</f>
        <v>0</v>
      </c>
      <c r="S143" s="12" t="str">
        <f aca="false">IF(L143&lt;&gt;1,"Excluded",IF(Q143=0,"No direction",IF(R143&gt;0,"Better",IF(R143&lt;0,"Worse","No change"))))</f>
        <v>No direction</v>
      </c>
      <c r="T143" s="12"/>
      <c r="U143" s="12" t="str">
        <f aca="false">C143&amp;"|"&amp;E143</f>
        <v>F1_13|JPN</v>
      </c>
    </row>
    <row r="144" customFormat="false" ht="15" hidden="false" customHeight="false" outlineLevel="0" collapsed="false">
      <c r="A144" s="12" t="n">
        <v>1</v>
      </c>
      <c r="B144" s="12" t="s">
        <v>42</v>
      </c>
      <c r="C144" s="12" t="s">
        <v>76</v>
      </c>
      <c r="D144" s="12" t="s">
        <v>77</v>
      </c>
      <c r="E144" s="12" t="s">
        <v>290</v>
      </c>
      <c r="F144" s="12" t="s">
        <v>37</v>
      </c>
      <c r="G144" s="12" t="n">
        <v>3</v>
      </c>
      <c r="H144" s="12" t="n">
        <v>3</v>
      </c>
      <c r="I144" s="12" t="s">
        <v>291</v>
      </c>
      <c r="J144" s="12" t="n">
        <v>6</v>
      </c>
      <c r="K144" s="12" t="n">
        <v>8</v>
      </c>
      <c r="L144" s="28" t="n">
        <v>1</v>
      </c>
      <c r="M144" s="12" t="n">
        <f aca="false">IF(L144=1,COUNTIFS($C$2:$C$1090,C144,$L$2:$L$1090,1),"")</f>
        <v>10</v>
      </c>
      <c r="N144" s="12" t="n">
        <f aca="false">IF(L144=1,1+COUNTIFS($C$2:$C$1090,C144,$L$2:$L$1090,1,$G$2:$G$1090,"&gt;"&amp;G144),"")</f>
        <v>4</v>
      </c>
      <c r="O144" s="12" t="n">
        <f aca="false">IF(L144=1,1+COUNTIFS($C$2:$C$1090,C144,$L$2:$L$1090,1,$H$2:$H$1090,"&gt;"&amp;H144),"")</f>
        <v>7</v>
      </c>
      <c r="P144" s="12" t="n">
        <f aca="false">IF(L144=1,N144-O144,"")</f>
        <v>-3</v>
      </c>
      <c r="Q144" s="12" t="n">
        <f aca="false">INDEX(Directions!$D$2:$D$100,MATCH(C144,Directions!$A$2:$A$100,0))</f>
        <v>0</v>
      </c>
      <c r="R144" s="12" t="n">
        <f aca="false">IF(L144=1,P144*Q144,"")</f>
        <v>-0</v>
      </c>
      <c r="S144" s="12" t="str">
        <f aca="false">IF(L144&lt;&gt;1,"Excluded",IF(Q144=0,"No direction",IF(R144&gt;0,"Better",IF(R144&lt;0,"Worse","No change"))))</f>
        <v>No direction</v>
      </c>
      <c r="T144" s="12"/>
      <c r="U144" s="12" t="str">
        <f aca="false">C144&amp;"|"&amp;E144</f>
        <v>F1_13|AUS</v>
      </c>
    </row>
    <row r="145" customFormat="false" ht="15" hidden="false" customHeight="false" outlineLevel="0" collapsed="false">
      <c r="A145" s="12" t="n">
        <v>1</v>
      </c>
      <c r="B145" s="12" t="s">
        <v>42</v>
      </c>
      <c r="C145" s="12" t="s">
        <v>78</v>
      </c>
      <c r="D145" s="12" t="s">
        <v>79</v>
      </c>
      <c r="E145" s="12" t="s">
        <v>281</v>
      </c>
      <c r="F145" s="12" t="s">
        <v>27</v>
      </c>
      <c r="G145" s="12" t="n">
        <v>3</v>
      </c>
      <c r="H145" s="12" t="s">
        <v>302</v>
      </c>
      <c r="I145" s="12"/>
      <c r="J145" s="12" t="n">
        <v>2</v>
      </c>
      <c r="K145" s="12" t="s">
        <v>302</v>
      </c>
      <c r="L145" s="28" t="n">
        <v>0</v>
      </c>
      <c r="M145" s="12" t="str">
        <f aca="false">IF(L145=1,COUNTIFS($C$2:$C$1090,C145,$L$2:$L$1090,1),"")</f>
        <v/>
      </c>
      <c r="N145" s="12" t="str">
        <f aca="false">IF(L145=1,1+COUNTIFS($C$2:$C$1090,C145,$L$2:$L$1090,1,$G$2:$G$1090,"&gt;"&amp;G145),"")</f>
        <v/>
      </c>
      <c r="O145" s="12" t="str">
        <f aca="false">IF(L145=1,1+COUNTIFS($C$2:$C$1090,C145,$L$2:$L$1090,1,$H$2:$H$1090,"&gt;"&amp;H145),"")</f>
        <v/>
      </c>
      <c r="P145" s="12" t="str">
        <f aca="false">IF(L145=1,N145-O145,"")</f>
        <v/>
      </c>
      <c r="Q145" s="12" t="n">
        <f aca="false">INDEX(Directions!$D$2:$D$100,MATCH(C145,Directions!$A$2:$A$100,0))</f>
        <v>0</v>
      </c>
      <c r="R145" s="12" t="str">
        <f aca="false">IF(L145=1,P145*Q145,"")</f>
        <v/>
      </c>
      <c r="S145" s="12" t="str">
        <f aca="false">IF(L145&lt;&gt;1,"Excluded",IF(Q145=0,"No direction",IF(R145&gt;0,"Better",IF(R145&lt;0,"Worse","No change"))))</f>
        <v>Excluded</v>
      </c>
      <c r="T145" s="12" t="s">
        <v>303</v>
      </c>
      <c r="U145" s="12" t="str">
        <f aca="false">C145&amp;"|"&amp;E145</f>
        <v>F1_14|USA</v>
      </c>
    </row>
    <row r="146" customFormat="false" ht="15" hidden="false" customHeight="false" outlineLevel="0" collapsed="false">
      <c r="A146" s="12" t="n">
        <v>1</v>
      </c>
      <c r="B146" s="12" t="s">
        <v>42</v>
      </c>
      <c r="C146" s="12" t="s">
        <v>78</v>
      </c>
      <c r="D146" s="12" t="s">
        <v>79</v>
      </c>
      <c r="E146" s="12" t="s">
        <v>283</v>
      </c>
      <c r="F146" s="12" t="s">
        <v>28</v>
      </c>
      <c r="G146" s="12" t="n">
        <v>3</v>
      </c>
      <c r="H146" s="12" t="n">
        <v>2.9</v>
      </c>
      <c r="I146" s="12" t="s">
        <v>293</v>
      </c>
      <c r="J146" s="12" t="n">
        <v>3</v>
      </c>
      <c r="K146" s="12" t="n">
        <v>2</v>
      </c>
      <c r="L146" s="28" t="n">
        <v>1</v>
      </c>
      <c r="M146" s="12" t="n">
        <f aca="false">IF(L146=1,COUNTIFS($C$2:$C$1090,C146,$L$2:$L$1090,1),"")</f>
        <v>7</v>
      </c>
      <c r="N146" s="12" t="n">
        <f aca="false">IF(L146=1,1+COUNTIFS($C$2:$C$1090,C146,$L$2:$L$1090,1,$G$2:$G$1090,"&gt;"&amp;G146),"")</f>
        <v>2</v>
      </c>
      <c r="O146" s="12" t="n">
        <f aca="false">IF(L146=1,1+COUNTIFS($C$2:$C$1090,C146,$L$2:$L$1090,1,$H$2:$H$1090,"&gt;"&amp;H146),"")</f>
        <v>2</v>
      </c>
      <c r="P146" s="12" t="n">
        <f aca="false">IF(L146=1,N146-O146,"")</f>
        <v>0</v>
      </c>
      <c r="Q146" s="12" t="n">
        <f aca="false">INDEX(Directions!$D$2:$D$100,MATCH(C146,Directions!$A$2:$A$100,0))</f>
        <v>0</v>
      </c>
      <c r="R146" s="12" t="n">
        <f aca="false">IF(L146=1,P146*Q146,"")</f>
        <v>0</v>
      </c>
      <c r="S146" s="12" t="str">
        <f aca="false">IF(L146&lt;&gt;1,"Excluded",IF(Q146=0,"No direction",IF(R146&gt;0,"Better",IF(R146&lt;0,"Worse","No change"))))</f>
        <v>No direction</v>
      </c>
      <c r="T146" s="12"/>
      <c r="U146" s="12" t="str">
        <f aca="false">C146&amp;"|"&amp;E146</f>
        <v>F1_14|GBR</v>
      </c>
    </row>
    <row r="147" customFormat="false" ht="15" hidden="false" customHeight="false" outlineLevel="0" collapsed="false">
      <c r="A147" s="12" t="n">
        <v>1</v>
      </c>
      <c r="B147" s="12" t="s">
        <v>42</v>
      </c>
      <c r="C147" s="12" t="s">
        <v>78</v>
      </c>
      <c r="D147" s="12" t="s">
        <v>79</v>
      </c>
      <c r="E147" s="12" t="s">
        <v>284</v>
      </c>
      <c r="F147" s="12" t="s">
        <v>29</v>
      </c>
      <c r="G147" s="12" t="n">
        <v>1</v>
      </c>
      <c r="H147" s="12" t="n">
        <v>0.5</v>
      </c>
      <c r="I147" s="12" t="s">
        <v>293</v>
      </c>
      <c r="J147" s="12" t="n">
        <v>5</v>
      </c>
      <c r="K147" s="12" t="n">
        <v>6</v>
      </c>
      <c r="L147" s="28" t="n">
        <v>1</v>
      </c>
      <c r="M147" s="12" t="n">
        <f aca="false">IF(L147=1,COUNTIFS($C$2:$C$1090,C147,$L$2:$L$1090,1),"")</f>
        <v>7</v>
      </c>
      <c r="N147" s="12" t="n">
        <f aca="false">IF(L147=1,1+COUNTIFS($C$2:$C$1090,C147,$L$2:$L$1090,1,$G$2:$G$1090,"&gt;"&amp;G147),"")</f>
        <v>4</v>
      </c>
      <c r="O147" s="12" t="n">
        <f aca="false">IF(L147=1,1+COUNTIFS($C$2:$C$1090,C147,$L$2:$L$1090,1,$H$2:$H$1090,"&gt;"&amp;H147),"")</f>
        <v>5</v>
      </c>
      <c r="P147" s="12" t="n">
        <f aca="false">IF(L147=1,N147-O147,"")</f>
        <v>-1</v>
      </c>
      <c r="Q147" s="12" t="n">
        <f aca="false">INDEX(Directions!$D$2:$D$100,MATCH(C147,Directions!$A$2:$A$100,0))</f>
        <v>0</v>
      </c>
      <c r="R147" s="12" t="n">
        <f aca="false">IF(L147=1,P147*Q147,"")</f>
        <v>-0</v>
      </c>
      <c r="S147" s="12" t="str">
        <f aca="false">IF(L147&lt;&gt;1,"Excluded",IF(Q147=0,"No direction",IF(R147&gt;0,"Better",IF(R147&lt;0,"Worse","No change"))))</f>
        <v>No direction</v>
      </c>
      <c r="T147" s="12"/>
      <c r="U147" s="12" t="str">
        <f aca="false">C147&amp;"|"&amp;E147</f>
        <v>F1_14|DEU</v>
      </c>
    </row>
    <row r="148" customFormat="false" ht="15" hidden="false" customHeight="false" outlineLevel="0" collapsed="false">
      <c r="A148" s="12" t="n">
        <v>1</v>
      </c>
      <c r="B148" s="12" t="s">
        <v>42</v>
      </c>
      <c r="C148" s="12" t="s">
        <v>78</v>
      </c>
      <c r="D148" s="12" t="s">
        <v>79</v>
      </c>
      <c r="E148" s="12" t="s">
        <v>285</v>
      </c>
      <c r="F148" s="12" t="s">
        <v>30</v>
      </c>
      <c r="G148" s="12" t="n">
        <v>0</v>
      </c>
      <c r="H148" s="12" t="n">
        <v>0.6</v>
      </c>
      <c r="I148" s="12" t="s">
        <v>293</v>
      </c>
      <c r="J148" s="12" t="n">
        <v>6</v>
      </c>
      <c r="K148" s="12" t="n">
        <v>4</v>
      </c>
      <c r="L148" s="28" t="n">
        <v>1</v>
      </c>
      <c r="M148" s="12" t="n">
        <f aca="false">IF(L148=1,COUNTIFS($C$2:$C$1090,C148,$L$2:$L$1090,1),"")</f>
        <v>7</v>
      </c>
      <c r="N148" s="12" t="n">
        <f aca="false">IF(L148=1,1+COUNTIFS($C$2:$C$1090,C148,$L$2:$L$1090,1,$G$2:$G$1090,"&gt;"&amp;G148),"")</f>
        <v>5</v>
      </c>
      <c r="O148" s="12" t="n">
        <f aca="false">IF(L148=1,1+COUNTIFS($C$2:$C$1090,C148,$L$2:$L$1090,1,$H$2:$H$1090,"&gt;"&amp;H148),"")</f>
        <v>4</v>
      </c>
      <c r="P148" s="12" t="n">
        <f aca="false">IF(L148=1,N148-O148,"")</f>
        <v>1</v>
      </c>
      <c r="Q148" s="12" t="n">
        <f aca="false">INDEX(Directions!$D$2:$D$100,MATCH(C148,Directions!$A$2:$A$100,0))</f>
        <v>0</v>
      </c>
      <c r="R148" s="12" t="n">
        <f aca="false">IF(L148=1,P148*Q148,"")</f>
        <v>0</v>
      </c>
      <c r="S148" s="12" t="str">
        <f aca="false">IF(L148&lt;&gt;1,"Excluded",IF(Q148=0,"No direction",IF(R148&gt;0,"Better",IF(R148&lt;0,"Worse","No change"))))</f>
        <v>No direction</v>
      </c>
      <c r="T148" s="12"/>
      <c r="U148" s="12" t="str">
        <f aca="false">C148&amp;"|"&amp;E148</f>
        <v>F1_14|SWE</v>
      </c>
    </row>
    <row r="149" customFormat="false" ht="15" hidden="false" customHeight="false" outlineLevel="0" collapsed="false">
      <c r="A149" s="12" t="n">
        <v>1</v>
      </c>
      <c r="B149" s="12" t="s">
        <v>42</v>
      </c>
      <c r="C149" s="12" t="s">
        <v>78</v>
      </c>
      <c r="D149" s="12" t="s">
        <v>79</v>
      </c>
      <c r="E149" s="12" t="s">
        <v>286</v>
      </c>
      <c r="F149" s="12" t="s">
        <v>31</v>
      </c>
      <c r="G149" s="12" t="n">
        <v>4</v>
      </c>
      <c r="H149" s="12" t="n">
        <v>3.8</v>
      </c>
      <c r="I149" s="12" t="s">
        <v>293</v>
      </c>
      <c r="J149" s="12" t="n">
        <v>1</v>
      </c>
      <c r="K149" s="12" t="n">
        <v>1</v>
      </c>
      <c r="L149" s="28" t="n">
        <v>1</v>
      </c>
      <c r="M149" s="12" t="n">
        <f aca="false">IF(L149=1,COUNTIFS($C$2:$C$1090,C149,$L$2:$L$1090,1),"")</f>
        <v>7</v>
      </c>
      <c r="N149" s="12" t="n">
        <f aca="false">IF(L149=1,1+COUNTIFS($C$2:$C$1090,C149,$L$2:$L$1090,1,$G$2:$G$1090,"&gt;"&amp;G149),"")</f>
        <v>1</v>
      </c>
      <c r="O149" s="12" t="n">
        <f aca="false">IF(L149=1,1+COUNTIFS($C$2:$C$1090,C149,$L$2:$L$1090,1,$H$2:$H$1090,"&gt;"&amp;H149),"")</f>
        <v>1</v>
      </c>
      <c r="P149" s="12" t="n">
        <f aca="false">IF(L149=1,N149-O149,"")</f>
        <v>0</v>
      </c>
      <c r="Q149" s="12" t="n">
        <f aca="false">INDEX(Directions!$D$2:$D$100,MATCH(C149,Directions!$A$2:$A$100,0))</f>
        <v>0</v>
      </c>
      <c r="R149" s="12" t="n">
        <f aca="false">IF(L149=1,P149*Q149,"")</f>
        <v>0</v>
      </c>
      <c r="S149" s="12" t="str">
        <f aca="false">IF(L149&lt;&gt;1,"Excluded",IF(Q149=0,"No direction",IF(R149&gt;0,"Better",IF(R149&lt;0,"Worse","No change"))))</f>
        <v>No direction</v>
      </c>
      <c r="T149" s="12"/>
      <c r="U149" s="12" t="str">
        <f aca="false">C149&amp;"|"&amp;E149</f>
        <v>F1_14|FRA</v>
      </c>
    </row>
    <row r="150" customFormat="false" ht="15" hidden="false" customHeight="false" outlineLevel="0" collapsed="false">
      <c r="A150" s="12" t="n">
        <v>1</v>
      </c>
      <c r="B150" s="12" t="s">
        <v>42</v>
      </c>
      <c r="C150" s="12" t="s">
        <v>78</v>
      </c>
      <c r="D150" s="12" t="s">
        <v>79</v>
      </c>
      <c r="E150" s="12" t="s">
        <v>32</v>
      </c>
      <c r="F150" s="12" t="s">
        <v>32</v>
      </c>
      <c r="G150" s="12" t="n">
        <v>0</v>
      </c>
      <c r="H150" s="12" t="n">
        <v>0.6</v>
      </c>
      <c r="I150" s="12" t="s">
        <v>282</v>
      </c>
      <c r="J150" s="12" t="n">
        <v>7</v>
      </c>
      <c r="K150" s="12" t="n">
        <v>5</v>
      </c>
      <c r="L150" s="28" t="n">
        <v>0</v>
      </c>
      <c r="M150" s="12" t="str">
        <f aca="false">IF(L150=1,COUNTIFS($C$2:$C$1090,C150,$L$2:$L$1090,1),"")</f>
        <v/>
      </c>
      <c r="N150" s="12" t="str">
        <f aca="false">IF(L150=1,1+COUNTIFS($C$2:$C$1090,C150,$L$2:$L$1090,1,$G$2:$G$1090,"&gt;"&amp;G150),"")</f>
        <v/>
      </c>
      <c r="O150" s="12" t="str">
        <f aca="false">IF(L150=1,1+COUNTIFS($C$2:$C$1090,C150,$L$2:$L$1090,1,$H$2:$H$1090,"&gt;"&amp;H150),"")</f>
        <v/>
      </c>
      <c r="P150" s="12" t="str">
        <f aca="false">IF(L150=1,N150-O150,"")</f>
        <v/>
      </c>
      <c r="Q150" s="12" t="n">
        <f aca="false">INDEX(Directions!$D$2:$D$100,MATCH(C150,Directions!$A$2:$A$100,0))</f>
        <v>0</v>
      </c>
      <c r="R150" s="12" t="str">
        <f aca="false">IF(L150=1,P150*Q150,"")</f>
        <v/>
      </c>
      <c r="S150" s="12" t="str">
        <f aca="false">IF(L150&lt;&gt;1,"Excluded",IF(Q150=0,"No direction",IF(R150&gt;0,"Better",IF(R150&lt;0,"Worse","No change"))))</f>
        <v>Excluded</v>
      </c>
      <c r="T150" s="12" t="s">
        <v>301</v>
      </c>
      <c r="U150" s="12" t="str">
        <f aca="false">C150&amp;"|"&amp;E150</f>
        <v>F1_14|NLD</v>
      </c>
    </row>
    <row r="151" customFormat="false" ht="15" hidden="false" customHeight="false" outlineLevel="0" collapsed="false">
      <c r="A151" s="12" t="n">
        <v>1</v>
      </c>
      <c r="B151" s="12" t="s">
        <v>42</v>
      </c>
      <c r="C151" s="12" t="s">
        <v>78</v>
      </c>
      <c r="D151" s="12" t="s">
        <v>79</v>
      </c>
      <c r="E151" s="12" t="s">
        <v>33</v>
      </c>
      <c r="F151" s="12" t="s">
        <v>33</v>
      </c>
      <c r="G151" s="12" t="s">
        <v>302</v>
      </c>
      <c r="H151" s="12" t="s">
        <v>302</v>
      </c>
      <c r="I151" s="12"/>
      <c r="J151" s="12" t="s">
        <v>302</v>
      </c>
      <c r="K151" s="12" t="s">
        <v>302</v>
      </c>
      <c r="L151" s="28" t="n">
        <v>0</v>
      </c>
      <c r="M151" s="12" t="str">
        <f aca="false">IF(L151=1,COUNTIFS($C$2:$C$1090,C151,$L$2:$L$1090,1),"")</f>
        <v/>
      </c>
      <c r="N151" s="12" t="str">
        <f aca="false">IF(L151=1,1+COUNTIFS($C$2:$C$1090,C151,$L$2:$L$1090,1,$G$2:$G$1090,"&gt;"&amp;G151),"")</f>
        <v/>
      </c>
      <c r="O151" s="12" t="str">
        <f aca="false">IF(L151=1,1+COUNTIFS($C$2:$C$1090,C151,$L$2:$L$1090,1,$H$2:$H$1090,"&gt;"&amp;H151),"")</f>
        <v/>
      </c>
      <c r="P151" s="12" t="str">
        <f aca="false">IF(L151=1,N151-O151,"")</f>
        <v/>
      </c>
      <c r="Q151" s="12" t="n">
        <f aca="false">INDEX(Directions!$D$2:$D$100,MATCH(C151,Directions!$A$2:$A$100,0))</f>
        <v>0</v>
      </c>
      <c r="R151" s="12" t="str">
        <f aca="false">IF(L151=1,P151*Q151,"")</f>
        <v/>
      </c>
      <c r="S151" s="12" t="str">
        <f aca="false">IF(L151&lt;&gt;1,"Excluded",IF(Q151=0,"No direction",IF(R151&gt;0,"Better",IF(R151&lt;0,"Worse","No change"))))</f>
        <v>Excluded</v>
      </c>
      <c r="T151" s="12" t="s">
        <v>304</v>
      </c>
      <c r="U151" s="12" t="str">
        <f aca="false">C151&amp;"|"&amp;E151</f>
        <v>F1_14|CHE</v>
      </c>
    </row>
    <row r="152" customFormat="false" ht="15" hidden="false" customHeight="false" outlineLevel="0" collapsed="false">
      <c r="A152" s="12" t="n">
        <v>1</v>
      </c>
      <c r="B152" s="12" t="s">
        <v>42</v>
      </c>
      <c r="C152" s="12" t="s">
        <v>78</v>
      </c>
      <c r="D152" s="12" t="s">
        <v>79</v>
      </c>
      <c r="E152" s="12" t="s">
        <v>287</v>
      </c>
      <c r="F152" s="12" t="s">
        <v>34</v>
      </c>
      <c r="G152" s="12" t="s">
        <v>302</v>
      </c>
      <c r="H152" s="12" t="s">
        <v>302</v>
      </c>
      <c r="I152" s="12"/>
      <c r="J152" s="12" t="s">
        <v>302</v>
      </c>
      <c r="K152" s="12" t="s">
        <v>302</v>
      </c>
      <c r="L152" s="28" t="n">
        <v>0</v>
      </c>
      <c r="M152" s="12" t="str">
        <f aca="false">IF(L152=1,COUNTIFS($C$2:$C$1090,C152,$L$2:$L$1090,1),"")</f>
        <v/>
      </c>
      <c r="N152" s="12" t="str">
        <f aca="false">IF(L152=1,1+COUNTIFS($C$2:$C$1090,C152,$L$2:$L$1090,1,$G$2:$G$1090,"&gt;"&amp;G152),"")</f>
        <v/>
      </c>
      <c r="O152" s="12" t="str">
        <f aca="false">IF(L152=1,1+COUNTIFS($C$2:$C$1090,C152,$L$2:$L$1090,1,$H$2:$H$1090,"&gt;"&amp;H152),"")</f>
        <v/>
      </c>
      <c r="P152" s="12" t="str">
        <f aca="false">IF(L152=1,N152-O152,"")</f>
        <v/>
      </c>
      <c r="Q152" s="12" t="n">
        <f aca="false">INDEX(Directions!$D$2:$D$100,MATCH(C152,Directions!$A$2:$A$100,0))</f>
        <v>0</v>
      </c>
      <c r="R152" s="12" t="str">
        <f aca="false">IF(L152=1,P152*Q152,"")</f>
        <v/>
      </c>
      <c r="S152" s="12" t="str">
        <f aca="false">IF(L152&lt;&gt;1,"Excluded",IF(Q152=0,"No direction",IF(R152&gt;0,"Better",IF(R152&lt;0,"Worse","No change"))))</f>
        <v>Excluded</v>
      </c>
      <c r="T152" s="12" t="s">
        <v>304</v>
      </c>
      <c r="U152" s="12" t="str">
        <f aca="false">C152&amp;"|"&amp;E152</f>
        <v>F1_14|DNK</v>
      </c>
    </row>
    <row r="153" customFormat="false" ht="15" hidden="false" customHeight="false" outlineLevel="0" collapsed="false">
      <c r="A153" s="12" t="n">
        <v>1</v>
      </c>
      <c r="B153" s="12" t="s">
        <v>42</v>
      </c>
      <c r="C153" s="12" t="s">
        <v>78</v>
      </c>
      <c r="D153" s="12" t="s">
        <v>79</v>
      </c>
      <c r="E153" s="12" t="s">
        <v>288</v>
      </c>
      <c r="F153" s="12" t="s">
        <v>35</v>
      </c>
      <c r="G153" s="12" t="n">
        <v>0</v>
      </c>
      <c r="H153" s="12" t="n">
        <v>0.1</v>
      </c>
      <c r="I153" s="12" t="s">
        <v>282</v>
      </c>
      <c r="J153" s="12" t="n">
        <v>8</v>
      </c>
      <c r="K153" s="12" t="n">
        <v>7</v>
      </c>
      <c r="L153" s="28" t="n">
        <v>1</v>
      </c>
      <c r="M153" s="12" t="n">
        <f aca="false">IF(L153=1,COUNTIFS($C$2:$C$1090,C153,$L$2:$L$1090,1),"")</f>
        <v>7</v>
      </c>
      <c r="N153" s="12" t="n">
        <f aca="false">IF(L153=1,1+COUNTIFS($C$2:$C$1090,C153,$L$2:$L$1090,1,$G$2:$G$1090,"&gt;"&amp;G153),"")</f>
        <v>5</v>
      </c>
      <c r="O153" s="12" t="n">
        <f aca="false">IF(L153=1,1+COUNTIFS($C$2:$C$1090,C153,$L$2:$L$1090,1,$H$2:$H$1090,"&gt;"&amp;H153),"")</f>
        <v>6</v>
      </c>
      <c r="P153" s="12" t="n">
        <f aca="false">IF(L153=1,N153-O153,"")</f>
        <v>-1</v>
      </c>
      <c r="Q153" s="12" t="n">
        <f aca="false">INDEX(Directions!$D$2:$D$100,MATCH(C153,Directions!$A$2:$A$100,0))</f>
        <v>0</v>
      </c>
      <c r="R153" s="12" t="n">
        <f aca="false">IF(L153=1,P153*Q153,"")</f>
        <v>-0</v>
      </c>
      <c r="S153" s="12" t="str">
        <f aca="false">IF(L153&lt;&gt;1,"Excluded",IF(Q153=0,"No direction",IF(R153&gt;0,"Better",IF(R153&lt;0,"Worse","No change"))))</f>
        <v>No direction</v>
      </c>
      <c r="T153" s="12"/>
      <c r="U153" s="12" t="str">
        <f aca="false">C153&amp;"|"&amp;E153</f>
        <v>F1_14|CAN</v>
      </c>
    </row>
    <row r="154" customFormat="false" ht="15" hidden="false" customHeight="false" outlineLevel="0" collapsed="false">
      <c r="A154" s="12" t="n">
        <v>1</v>
      </c>
      <c r="B154" s="12" t="s">
        <v>42</v>
      </c>
      <c r="C154" s="12" t="s">
        <v>78</v>
      </c>
      <c r="D154" s="12" t="s">
        <v>79</v>
      </c>
      <c r="E154" s="12" t="s">
        <v>289</v>
      </c>
      <c r="F154" s="12" t="s">
        <v>36</v>
      </c>
      <c r="G154" s="12" t="n">
        <v>3</v>
      </c>
      <c r="H154" s="12" t="n">
        <v>2.6</v>
      </c>
      <c r="I154" s="12" t="s">
        <v>291</v>
      </c>
      <c r="J154" s="12" t="n">
        <v>4</v>
      </c>
      <c r="K154" s="12" t="n">
        <v>3</v>
      </c>
      <c r="L154" s="28" t="n">
        <v>1</v>
      </c>
      <c r="M154" s="12" t="n">
        <f aca="false">IF(L154=1,COUNTIFS($C$2:$C$1090,C154,$L$2:$L$1090,1),"")</f>
        <v>7</v>
      </c>
      <c r="N154" s="12" t="n">
        <f aca="false">IF(L154=1,1+COUNTIFS($C$2:$C$1090,C154,$L$2:$L$1090,1,$G$2:$G$1090,"&gt;"&amp;G154),"")</f>
        <v>2</v>
      </c>
      <c r="O154" s="12" t="n">
        <f aca="false">IF(L154=1,1+COUNTIFS($C$2:$C$1090,C154,$L$2:$L$1090,1,$H$2:$H$1090,"&gt;"&amp;H154),"")</f>
        <v>3</v>
      </c>
      <c r="P154" s="12" t="n">
        <f aca="false">IF(L154=1,N154-O154,"")</f>
        <v>-1</v>
      </c>
      <c r="Q154" s="12" t="n">
        <f aca="false">INDEX(Directions!$D$2:$D$100,MATCH(C154,Directions!$A$2:$A$100,0))</f>
        <v>0</v>
      </c>
      <c r="R154" s="12" t="n">
        <f aca="false">IF(L154=1,P154*Q154,"")</f>
        <v>-0</v>
      </c>
      <c r="S154" s="12" t="str">
        <f aca="false">IF(L154&lt;&gt;1,"Excluded",IF(Q154=0,"No direction",IF(R154&gt;0,"Better",IF(R154&lt;0,"Worse","No change"))))</f>
        <v>No direction</v>
      </c>
      <c r="T154" s="12"/>
      <c r="U154" s="12" t="str">
        <f aca="false">C154&amp;"|"&amp;E154</f>
        <v>F1_14|JPN</v>
      </c>
    </row>
    <row r="155" customFormat="false" ht="15" hidden="false" customHeight="false" outlineLevel="0" collapsed="false">
      <c r="A155" s="12" t="n">
        <v>1</v>
      </c>
      <c r="B155" s="12" t="s">
        <v>42</v>
      </c>
      <c r="C155" s="12" t="s">
        <v>78</v>
      </c>
      <c r="D155" s="12" t="s">
        <v>79</v>
      </c>
      <c r="E155" s="12" t="s">
        <v>290</v>
      </c>
      <c r="F155" s="12" t="s">
        <v>37</v>
      </c>
      <c r="G155" s="12" t="n">
        <v>0</v>
      </c>
      <c r="H155" s="12" t="n">
        <v>0</v>
      </c>
      <c r="I155" s="12" t="s">
        <v>291</v>
      </c>
      <c r="J155" s="12" t="n">
        <v>9</v>
      </c>
      <c r="K155" s="12" t="n">
        <v>8</v>
      </c>
      <c r="L155" s="28" t="n">
        <v>1</v>
      </c>
      <c r="M155" s="12" t="n">
        <f aca="false">IF(L155=1,COUNTIFS($C$2:$C$1090,C155,$L$2:$L$1090,1),"")</f>
        <v>7</v>
      </c>
      <c r="N155" s="12" t="n">
        <f aca="false">IF(L155=1,1+COUNTIFS($C$2:$C$1090,C155,$L$2:$L$1090,1,$G$2:$G$1090,"&gt;"&amp;G155),"")</f>
        <v>5</v>
      </c>
      <c r="O155" s="12" t="n">
        <f aca="false">IF(L155=1,1+COUNTIFS($C$2:$C$1090,C155,$L$2:$L$1090,1,$H$2:$H$1090,"&gt;"&amp;H155),"")</f>
        <v>7</v>
      </c>
      <c r="P155" s="12" t="n">
        <f aca="false">IF(L155=1,N155-O155,"")</f>
        <v>-2</v>
      </c>
      <c r="Q155" s="12" t="n">
        <f aca="false">INDEX(Directions!$D$2:$D$100,MATCH(C155,Directions!$A$2:$A$100,0))</f>
        <v>0</v>
      </c>
      <c r="R155" s="12" t="n">
        <f aca="false">IF(L155=1,P155*Q155,"")</f>
        <v>-0</v>
      </c>
      <c r="S155" s="12" t="str">
        <f aca="false">IF(L155&lt;&gt;1,"Excluded",IF(Q155=0,"No direction",IF(R155&gt;0,"Better",IF(R155&lt;0,"Worse","No change"))))</f>
        <v>No direction</v>
      </c>
      <c r="T155" s="12"/>
      <c r="U155" s="12" t="str">
        <f aca="false">C155&amp;"|"&amp;E155</f>
        <v>F1_14|AUS</v>
      </c>
    </row>
    <row r="156" customFormat="false" ht="15" hidden="false" customHeight="false" outlineLevel="0" collapsed="false">
      <c r="A156" s="12" t="n">
        <v>1</v>
      </c>
      <c r="B156" s="12" t="s">
        <v>42</v>
      </c>
      <c r="C156" s="12" t="s">
        <v>80</v>
      </c>
      <c r="D156" s="12" t="s">
        <v>81</v>
      </c>
      <c r="E156" s="12" t="s">
        <v>281</v>
      </c>
      <c r="F156" s="12" t="s">
        <v>27</v>
      </c>
      <c r="G156" s="12" t="n">
        <v>3</v>
      </c>
      <c r="H156" s="12" t="n">
        <v>3.1</v>
      </c>
      <c r="I156" s="12" t="s">
        <v>299</v>
      </c>
      <c r="J156" s="12" t="n">
        <v>4</v>
      </c>
      <c r="K156" s="12" t="n">
        <v>6</v>
      </c>
      <c r="L156" s="28" t="n">
        <v>1</v>
      </c>
      <c r="M156" s="12" t="n">
        <f aca="false">IF(L156=1,COUNTIFS($C$2:$C$1090,C156,$L$2:$L$1090,1),"")</f>
        <v>10</v>
      </c>
      <c r="N156" s="12" t="n">
        <f aca="false">IF(L156=1,1+COUNTIFS($C$2:$C$1090,C156,$L$2:$L$1090,1,$G$2:$G$1090,"&gt;"&amp;G156),"")</f>
        <v>3</v>
      </c>
      <c r="O156" s="12" t="n">
        <f aca="false">IF(L156=1,1+COUNTIFS($C$2:$C$1090,C156,$L$2:$L$1090,1,$H$2:$H$1090,"&gt;"&amp;H156),"")</f>
        <v>5</v>
      </c>
      <c r="P156" s="12" t="n">
        <f aca="false">IF(L156=1,N156-O156,"")</f>
        <v>-2</v>
      </c>
      <c r="Q156" s="12" t="n">
        <f aca="false">INDEX(Directions!$D$2:$D$100,MATCH(C156,Directions!$A$2:$A$100,0))</f>
        <v>0</v>
      </c>
      <c r="R156" s="12" t="n">
        <f aca="false">IF(L156=1,P156*Q156,"")</f>
        <v>-0</v>
      </c>
      <c r="S156" s="12" t="str">
        <f aca="false">IF(L156&lt;&gt;1,"Excluded",IF(Q156=0,"No direction",IF(R156&gt;0,"Better",IF(R156&lt;0,"Worse","No change"))))</f>
        <v>No direction</v>
      </c>
      <c r="T156" s="12" t="s">
        <v>300</v>
      </c>
      <c r="U156" s="12" t="str">
        <f aca="false">C156&amp;"|"&amp;E156</f>
        <v>F1_15|USA</v>
      </c>
    </row>
    <row r="157" customFormat="false" ht="15" hidden="false" customHeight="false" outlineLevel="0" collapsed="false">
      <c r="A157" s="12" t="n">
        <v>1</v>
      </c>
      <c r="B157" s="12" t="s">
        <v>42</v>
      </c>
      <c r="C157" s="12" t="s">
        <v>80</v>
      </c>
      <c r="D157" s="12" t="s">
        <v>81</v>
      </c>
      <c r="E157" s="12" t="s">
        <v>283</v>
      </c>
      <c r="F157" s="12" t="s">
        <v>28</v>
      </c>
      <c r="G157" s="12" t="n">
        <v>5</v>
      </c>
      <c r="H157" s="12" t="n">
        <v>5.1</v>
      </c>
      <c r="I157" s="12" t="s">
        <v>293</v>
      </c>
      <c r="J157" s="12" t="n">
        <v>2</v>
      </c>
      <c r="K157" s="12" t="n">
        <v>2</v>
      </c>
      <c r="L157" s="28" t="n">
        <v>1</v>
      </c>
      <c r="M157" s="12" t="n">
        <f aca="false">IF(L157=1,COUNTIFS($C$2:$C$1090,C157,$L$2:$L$1090,1),"")</f>
        <v>10</v>
      </c>
      <c r="N157" s="12" t="n">
        <f aca="false">IF(L157=1,1+COUNTIFS($C$2:$C$1090,C157,$L$2:$L$1090,1,$G$2:$G$1090,"&gt;"&amp;G157),"")</f>
        <v>2</v>
      </c>
      <c r="O157" s="12" t="n">
        <f aca="false">IF(L157=1,1+COUNTIFS($C$2:$C$1090,C157,$L$2:$L$1090,1,$H$2:$H$1090,"&gt;"&amp;H157),"")</f>
        <v>2</v>
      </c>
      <c r="P157" s="12" t="n">
        <f aca="false">IF(L157=1,N157-O157,"")</f>
        <v>0</v>
      </c>
      <c r="Q157" s="12" t="n">
        <f aca="false">INDEX(Directions!$D$2:$D$100,MATCH(C157,Directions!$A$2:$A$100,0))</f>
        <v>0</v>
      </c>
      <c r="R157" s="12" t="n">
        <f aca="false">IF(L157=1,P157*Q157,"")</f>
        <v>0</v>
      </c>
      <c r="S157" s="12" t="str">
        <f aca="false">IF(L157&lt;&gt;1,"Excluded",IF(Q157=0,"No direction",IF(R157&gt;0,"Better",IF(R157&lt;0,"Worse","No change"))))</f>
        <v>No direction</v>
      </c>
      <c r="T157" s="12"/>
      <c r="U157" s="12" t="str">
        <f aca="false">C157&amp;"|"&amp;E157</f>
        <v>F1_15|GBR</v>
      </c>
    </row>
    <row r="158" customFormat="false" ht="15" hidden="false" customHeight="false" outlineLevel="0" collapsed="false">
      <c r="A158" s="12" t="n">
        <v>1</v>
      </c>
      <c r="B158" s="12" t="s">
        <v>42</v>
      </c>
      <c r="C158" s="12" t="s">
        <v>80</v>
      </c>
      <c r="D158" s="12" t="s">
        <v>81</v>
      </c>
      <c r="E158" s="12" t="s">
        <v>284</v>
      </c>
      <c r="F158" s="12" t="s">
        <v>29</v>
      </c>
      <c r="G158" s="12" t="n">
        <v>3</v>
      </c>
      <c r="H158" s="12" t="n">
        <v>3.8</v>
      </c>
      <c r="I158" s="12" t="s">
        <v>293</v>
      </c>
      <c r="J158" s="12" t="n">
        <v>5</v>
      </c>
      <c r="K158" s="12" t="n">
        <v>5</v>
      </c>
      <c r="L158" s="28" t="n">
        <v>1</v>
      </c>
      <c r="M158" s="12" t="n">
        <f aca="false">IF(L158=1,COUNTIFS($C$2:$C$1090,C158,$L$2:$L$1090,1),"")</f>
        <v>10</v>
      </c>
      <c r="N158" s="12" t="n">
        <f aca="false">IF(L158=1,1+COUNTIFS($C$2:$C$1090,C158,$L$2:$L$1090,1,$G$2:$G$1090,"&gt;"&amp;G158),"")</f>
        <v>3</v>
      </c>
      <c r="O158" s="12" t="n">
        <f aca="false">IF(L158=1,1+COUNTIFS($C$2:$C$1090,C158,$L$2:$L$1090,1,$H$2:$H$1090,"&gt;"&amp;H158),"")</f>
        <v>4</v>
      </c>
      <c r="P158" s="12" t="n">
        <f aca="false">IF(L158=1,N158-O158,"")</f>
        <v>-1</v>
      </c>
      <c r="Q158" s="12" t="n">
        <f aca="false">INDEX(Directions!$D$2:$D$100,MATCH(C158,Directions!$A$2:$A$100,0))</f>
        <v>0</v>
      </c>
      <c r="R158" s="12" t="n">
        <f aca="false">IF(L158=1,P158*Q158,"")</f>
        <v>-0</v>
      </c>
      <c r="S158" s="12" t="str">
        <f aca="false">IF(L158&lt;&gt;1,"Excluded",IF(Q158=0,"No direction",IF(R158&gt;0,"Better",IF(R158&lt;0,"Worse","No change"))))</f>
        <v>No direction</v>
      </c>
      <c r="T158" s="12"/>
      <c r="U158" s="12" t="str">
        <f aca="false">C158&amp;"|"&amp;E158</f>
        <v>F1_15|DEU</v>
      </c>
    </row>
    <row r="159" customFormat="false" ht="15" hidden="false" customHeight="false" outlineLevel="0" collapsed="false">
      <c r="A159" s="12" t="n">
        <v>1</v>
      </c>
      <c r="B159" s="12" t="s">
        <v>42</v>
      </c>
      <c r="C159" s="12" t="s">
        <v>80</v>
      </c>
      <c r="D159" s="12" t="s">
        <v>81</v>
      </c>
      <c r="E159" s="12" t="s">
        <v>285</v>
      </c>
      <c r="F159" s="12" t="s">
        <v>30</v>
      </c>
      <c r="G159" s="12" t="n">
        <v>3</v>
      </c>
      <c r="H159" s="12" t="n">
        <v>3</v>
      </c>
      <c r="I159" s="12" t="s">
        <v>293</v>
      </c>
      <c r="J159" s="12" t="n">
        <v>6</v>
      </c>
      <c r="K159" s="12" t="n">
        <v>7</v>
      </c>
      <c r="L159" s="28" t="n">
        <v>1</v>
      </c>
      <c r="M159" s="12" t="n">
        <f aca="false">IF(L159=1,COUNTIFS($C$2:$C$1090,C159,$L$2:$L$1090,1),"")</f>
        <v>10</v>
      </c>
      <c r="N159" s="12" t="n">
        <f aca="false">IF(L159=1,1+COUNTIFS($C$2:$C$1090,C159,$L$2:$L$1090,1,$G$2:$G$1090,"&gt;"&amp;G159),"")</f>
        <v>3</v>
      </c>
      <c r="O159" s="12" t="n">
        <f aca="false">IF(L159=1,1+COUNTIFS($C$2:$C$1090,C159,$L$2:$L$1090,1,$H$2:$H$1090,"&gt;"&amp;H159),"")</f>
        <v>6</v>
      </c>
      <c r="P159" s="12" t="n">
        <f aca="false">IF(L159=1,N159-O159,"")</f>
        <v>-3</v>
      </c>
      <c r="Q159" s="12" t="n">
        <f aca="false">INDEX(Directions!$D$2:$D$100,MATCH(C159,Directions!$A$2:$A$100,0))</f>
        <v>0</v>
      </c>
      <c r="R159" s="12" t="n">
        <f aca="false">IF(L159=1,P159*Q159,"")</f>
        <v>-0</v>
      </c>
      <c r="S159" s="12" t="str">
        <f aca="false">IF(L159&lt;&gt;1,"Excluded",IF(Q159=0,"No direction",IF(R159&gt;0,"Better",IF(R159&lt;0,"Worse","No change"))))</f>
        <v>No direction</v>
      </c>
      <c r="T159" s="12"/>
      <c r="U159" s="12" t="str">
        <f aca="false">C159&amp;"|"&amp;E159</f>
        <v>F1_15|SWE</v>
      </c>
    </row>
    <row r="160" customFormat="false" ht="15" hidden="false" customHeight="false" outlineLevel="0" collapsed="false">
      <c r="A160" s="12" t="n">
        <v>1</v>
      </c>
      <c r="B160" s="12" t="s">
        <v>42</v>
      </c>
      <c r="C160" s="12" t="s">
        <v>80</v>
      </c>
      <c r="D160" s="12" t="s">
        <v>81</v>
      </c>
      <c r="E160" s="12" t="s">
        <v>286</v>
      </c>
      <c r="F160" s="12" t="s">
        <v>31</v>
      </c>
      <c r="G160" s="12" t="n">
        <v>2</v>
      </c>
      <c r="H160" s="12" t="n">
        <v>2.6</v>
      </c>
      <c r="I160" s="12" t="s">
        <v>293</v>
      </c>
      <c r="J160" s="12" t="n">
        <v>9</v>
      </c>
      <c r="K160" s="12" t="n">
        <v>8</v>
      </c>
      <c r="L160" s="28" t="n">
        <v>1</v>
      </c>
      <c r="M160" s="12" t="n">
        <f aca="false">IF(L160=1,COUNTIFS($C$2:$C$1090,C160,$L$2:$L$1090,1),"")</f>
        <v>10</v>
      </c>
      <c r="N160" s="12" t="n">
        <f aca="false">IF(L160=1,1+COUNTIFS($C$2:$C$1090,C160,$L$2:$L$1090,1,$G$2:$G$1090,"&gt;"&amp;G160),"")</f>
        <v>8</v>
      </c>
      <c r="O160" s="12" t="n">
        <f aca="false">IF(L160=1,1+COUNTIFS($C$2:$C$1090,C160,$L$2:$L$1090,1,$H$2:$H$1090,"&gt;"&amp;H160),"")</f>
        <v>7</v>
      </c>
      <c r="P160" s="12" t="n">
        <f aca="false">IF(L160=1,N160-O160,"")</f>
        <v>1</v>
      </c>
      <c r="Q160" s="12" t="n">
        <f aca="false">INDEX(Directions!$D$2:$D$100,MATCH(C160,Directions!$A$2:$A$100,0))</f>
        <v>0</v>
      </c>
      <c r="R160" s="12" t="n">
        <f aca="false">IF(L160=1,P160*Q160,"")</f>
        <v>0</v>
      </c>
      <c r="S160" s="12" t="str">
        <f aca="false">IF(L160&lt;&gt;1,"Excluded",IF(Q160=0,"No direction",IF(R160&gt;0,"Better",IF(R160&lt;0,"Worse","No change"))))</f>
        <v>No direction</v>
      </c>
      <c r="T160" s="12"/>
      <c r="U160" s="12" t="str">
        <f aca="false">C160&amp;"|"&amp;E160</f>
        <v>F1_15|FRA</v>
      </c>
    </row>
    <row r="161" customFormat="false" ht="15" hidden="false" customHeight="false" outlineLevel="0" collapsed="false">
      <c r="A161" s="12" t="n">
        <v>1</v>
      </c>
      <c r="B161" s="12" t="s">
        <v>42</v>
      </c>
      <c r="C161" s="12" t="s">
        <v>80</v>
      </c>
      <c r="D161" s="12" t="s">
        <v>81</v>
      </c>
      <c r="E161" s="12" t="s">
        <v>32</v>
      </c>
      <c r="F161" s="12" t="s">
        <v>32</v>
      </c>
      <c r="G161" s="12" t="n">
        <v>4</v>
      </c>
      <c r="H161" s="12" t="n">
        <v>4.9</v>
      </c>
      <c r="I161" s="12" t="s">
        <v>282</v>
      </c>
      <c r="J161" s="12" t="n">
        <v>3</v>
      </c>
      <c r="K161" s="12" t="n">
        <v>3</v>
      </c>
      <c r="L161" s="28" t="n">
        <v>0</v>
      </c>
      <c r="M161" s="12" t="str">
        <f aca="false">IF(L161=1,COUNTIFS($C$2:$C$1090,C161,$L$2:$L$1090,1),"")</f>
        <v/>
      </c>
      <c r="N161" s="12" t="str">
        <f aca="false">IF(L161=1,1+COUNTIFS($C$2:$C$1090,C161,$L$2:$L$1090,1,$G$2:$G$1090,"&gt;"&amp;G161),"")</f>
        <v/>
      </c>
      <c r="O161" s="12" t="str">
        <f aca="false">IF(L161=1,1+COUNTIFS($C$2:$C$1090,C161,$L$2:$L$1090,1,$H$2:$H$1090,"&gt;"&amp;H161),"")</f>
        <v/>
      </c>
      <c r="P161" s="12" t="str">
        <f aca="false">IF(L161=1,N161-O161,"")</f>
        <v/>
      </c>
      <c r="Q161" s="12" t="n">
        <f aca="false">INDEX(Directions!$D$2:$D$100,MATCH(C161,Directions!$A$2:$A$100,0))</f>
        <v>0</v>
      </c>
      <c r="R161" s="12" t="str">
        <f aca="false">IF(L161=1,P161*Q161,"")</f>
        <v/>
      </c>
      <c r="S161" s="12" t="str">
        <f aca="false">IF(L161&lt;&gt;1,"Excluded",IF(Q161=0,"No direction",IF(R161&gt;0,"Better",IF(R161&lt;0,"Worse","No change"))))</f>
        <v>Excluded</v>
      </c>
      <c r="T161" s="12" t="s">
        <v>301</v>
      </c>
      <c r="U161" s="12" t="str">
        <f aca="false">C161&amp;"|"&amp;E161</f>
        <v>F1_15|NLD</v>
      </c>
    </row>
    <row r="162" customFormat="false" ht="15" hidden="false" customHeight="false" outlineLevel="0" collapsed="false">
      <c r="A162" s="12" t="n">
        <v>1</v>
      </c>
      <c r="B162" s="12" t="s">
        <v>42</v>
      </c>
      <c r="C162" s="12" t="s">
        <v>80</v>
      </c>
      <c r="D162" s="12" t="s">
        <v>81</v>
      </c>
      <c r="E162" s="12" t="s">
        <v>33</v>
      </c>
      <c r="F162" s="12" t="s">
        <v>33</v>
      </c>
      <c r="G162" s="12" t="n">
        <v>2</v>
      </c>
      <c r="H162" s="12" t="n">
        <v>1.6</v>
      </c>
      <c r="I162" s="12" t="s">
        <v>293</v>
      </c>
      <c r="J162" s="12" t="n">
        <v>10</v>
      </c>
      <c r="K162" s="12" t="n">
        <v>11</v>
      </c>
      <c r="L162" s="28" t="n">
        <v>1</v>
      </c>
      <c r="M162" s="12" t="n">
        <f aca="false">IF(L162=1,COUNTIFS($C$2:$C$1090,C162,$L$2:$L$1090,1),"")</f>
        <v>10</v>
      </c>
      <c r="N162" s="12" t="n">
        <f aca="false">IF(L162=1,1+COUNTIFS($C$2:$C$1090,C162,$L$2:$L$1090,1,$G$2:$G$1090,"&gt;"&amp;G162),"")</f>
        <v>8</v>
      </c>
      <c r="O162" s="12" t="n">
        <f aca="false">IF(L162=1,1+COUNTIFS($C$2:$C$1090,C162,$L$2:$L$1090,1,$H$2:$H$1090,"&gt;"&amp;H162),"")</f>
        <v>10</v>
      </c>
      <c r="P162" s="12" t="n">
        <f aca="false">IF(L162=1,N162-O162,"")</f>
        <v>-2</v>
      </c>
      <c r="Q162" s="12" t="n">
        <f aca="false">INDEX(Directions!$D$2:$D$100,MATCH(C162,Directions!$A$2:$A$100,0))</f>
        <v>0</v>
      </c>
      <c r="R162" s="12" t="n">
        <f aca="false">IF(L162=1,P162*Q162,"")</f>
        <v>-0</v>
      </c>
      <c r="S162" s="12" t="str">
        <f aca="false">IF(L162&lt;&gt;1,"Excluded",IF(Q162=0,"No direction",IF(R162&gt;0,"Better",IF(R162&lt;0,"Worse","No change"))))</f>
        <v>No direction</v>
      </c>
      <c r="T162" s="12"/>
      <c r="U162" s="12" t="str">
        <f aca="false">C162&amp;"|"&amp;E162</f>
        <v>F1_15|CHE</v>
      </c>
    </row>
    <row r="163" customFormat="false" ht="15" hidden="false" customHeight="false" outlineLevel="0" collapsed="false">
      <c r="A163" s="12" t="n">
        <v>1</v>
      </c>
      <c r="B163" s="12" t="s">
        <v>42</v>
      </c>
      <c r="C163" s="12" t="s">
        <v>80</v>
      </c>
      <c r="D163" s="12" t="s">
        <v>81</v>
      </c>
      <c r="E163" s="12" t="s">
        <v>287</v>
      </c>
      <c r="F163" s="12" t="s">
        <v>34</v>
      </c>
      <c r="G163" s="12" t="n">
        <v>3</v>
      </c>
      <c r="H163" s="12" t="n">
        <v>2.2</v>
      </c>
      <c r="I163" s="12" t="s">
        <v>282</v>
      </c>
      <c r="J163" s="12" t="n">
        <v>7</v>
      </c>
      <c r="K163" s="12" t="n">
        <v>9</v>
      </c>
      <c r="L163" s="28" t="n">
        <v>1</v>
      </c>
      <c r="M163" s="12" t="n">
        <f aca="false">IF(L163=1,COUNTIFS($C$2:$C$1090,C163,$L$2:$L$1090,1),"")</f>
        <v>10</v>
      </c>
      <c r="N163" s="12" t="n">
        <f aca="false">IF(L163=1,1+COUNTIFS($C$2:$C$1090,C163,$L$2:$L$1090,1,$G$2:$G$1090,"&gt;"&amp;G163),"")</f>
        <v>3</v>
      </c>
      <c r="O163" s="12" t="n">
        <f aca="false">IF(L163=1,1+COUNTIFS($C$2:$C$1090,C163,$L$2:$L$1090,1,$H$2:$H$1090,"&gt;"&amp;H163),"")</f>
        <v>8</v>
      </c>
      <c r="P163" s="12" t="n">
        <f aca="false">IF(L163=1,N163-O163,"")</f>
        <v>-5</v>
      </c>
      <c r="Q163" s="12" t="n">
        <f aca="false">INDEX(Directions!$D$2:$D$100,MATCH(C163,Directions!$A$2:$A$100,0))</f>
        <v>0</v>
      </c>
      <c r="R163" s="12" t="n">
        <f aca="false">IF(L163=1,P163*Q163,"")</f>
        <v>-0</v>
      </c>
      <c r="S163" s="12" t="str">
        <f aca="false">IF(L163&lt;&gt;1,"Excluded",IF(Q163=0,"No direction",IF(R163&gt;0,"Better",IF(R163&lt;0,"Worse","No change"))))</f>
        <v>No direction</v>
      </c>
      <c r="T163" s="12"/>
      <c r="U163" s="12" t="str">
        <f aca="false">C163&amp;"|"&amp;E163</f>
        <v>F1_15|DNK</v>
      </c>
    </row>
    <row r="164" customFormat="false" ht="15" hidden="false" customHeight="false" outlineLevel="0" collapsed="false">
      <c r="A164" s="12" t="n">
        <v>1</v>
      </c>
      <c r="B164" s="12" t="s">
        <v>42</v>
      </c>
      <c r="C164" s="12" t="s">
        <v>80</v>
      </c>
      <c r="D164" s="12" t="s">
        <v>81</v>
      </c>
      <c r="E164" s="12" t="s">
        <v>288</v>
      </c>
      <c r="F164" s="12" t="s">
        <v>35</v>
      </c>
      <c r="G164" s="12" t="n">
        <v>6</v>
      </c>
      <c r="H164" s="12" t="n">
        <v>6.2</v>
      </c>
      <c r="I164" s="12" t="s">
        <v>282</v>
      </c>
      <c r="J164" s="12" t="n">
        <v>1</v>
      </c>
      <c r="K164" s="12" t="n">
        <v>1</v>
      </c>
      <c r="L164" s="28" t="n">
        <v>1</v>
      </c>
      <c r="M164" s="12" t="n">
        <f aca="false">IF(L164=1,COUNTIFS($C$2:$C$1090,C164,$L$2:$L$1090,1),"")</f>
        <v>10</v>
      </c>
      <c r="N164" s="12" t="n">
        <f aca="false">IF(L164=1,1+COUNTIFS($C$2:$C$1090,C164,$L$2:$L$1090,1,$G$2:$G$1090,"&gt;"&amp;G164),"")</f>
        <v>1</v>
      </c>
      <c r="O164" s="12" t="n">
        <f aca="false">IF(L164=1,1+COUNTIFS($C$2:$C$1090,C164,$L$2:$L$1090,1,$H$2:$H$1090,"&gt;"&amp;H164),"")</f>
        <v>1</v>
      </c>
      <c r="P164" s="12" t="n">
        <f aca="false">IF(L164=1,N164-O164,"")</f>
        <v>0</v>
      </c>
      <c r="Q164" s="12" t="n">
        <f aca="false">INDEX(Directions!$D$2:$D$100,MATCH(C164,Directions!$A$2:$A$100,0))</f>
        <v>0</v>
      </c>
      <c r="R164" s="12" t="n">
        <f aca="false">IF(L164=1,P164*Q164,"")</f>
        <v>0</v>
      </c>
      <c r="S164" s="12" t="str">
        <f aca="false">IF(L164&lt;&gt;1,"Excluded",IF(Q164=0,"No direction",IF(R164&gt;0,"Better",IF(R164&lt;0,"Worse","No change"))))</f>
        <v>No direction</v>
      </c>
      <c r="T164" s="12"/>
      <c r="U164" s="12" t="str">
        <f aca="false">C164&amp;"|"&amp;E164</f>
        <v>F1_15|CAN</v>
      </c>
    </row>
    <row r="165" customFormat="false" ht="15" hidden="false" customHeight="false" outlineLevel="0" collapsed="false">
      <c r="A165" s="12" t="n">
        <v>1</v>
      </c>
      <c r="B165" s="12" t="s">
        <v>42</v>
      </c>
      <c r="C165" s="12" t="s">
        <v>80</v>
      </c>
      <c r="D165" s="12" t="s">
        <v>81</v>
      </c>
      <c r="E165" s="12" t="s">
        <v>289</v>
      </c>
      <c r="F165" s="12" t="s">
        <v>36</v>
      </c>
      <c r="G165" s="12" t="n">
        <v>3</v>
      </c>
      <c r="H165" s="12" t="n">
        <v>4.4</v>
      </c>
      <c r="I165" s="12" t="s">
        <v>291</v>
      </c>
      <c r="J165" s="12" t="n">
        <v>8</v>
      </c>
      <c r="K165" s="12" t="n">
        <v>4</v>
      </c>
      <c r="L165" s="28" t="n">
        <v>1</v>
      </c>
      <c r="M165" s="12" t="n">
        <f aca="false">IF(L165=1,COUNTIFS($C$2:$C$1090,C165,$L$2:$L$1090,1),"")</f>
        <v>10</v>
      </c>
      <c r="N165" s="12" t="n">
        <f aca="false">IF(L165=1,1+COUNTIFS($C$2:$C$1090,C165,$L$2:$L$1090,1,$G$2:$G$1090,"&gt;"&amp;G165),"")</f>
        <v>3</v>
      </c>
      <c r="O165" s="12" t="n">
        <f aca="false">IF(L165=1,1+COUNTIFS($C$2:$C$1090,C165,$L$2:$L$1090,1,$H$2:$H$1090,"&gt;"&amp;H165),"")</f>
        <v>3</v>
      </c>
      <c r="P165" s="12" t="n">
        <f aca="false">IF(L165=1,N165-O165,"")</f>
        <v>0</v>
      </c>
      <c r="Q165" s="12" t="n">
        <f aca="false">INDEX(Directions!$D$2:$D$100,MATCH(C165,Directions!$A$2:$A$100,0))</f>
        <v>0</v>
      </c>
      <c r="R165" s="12" t="n">
        <f aca="false">IF(L165=1,P165*Q165,"")</f>
        <v>0</v>
      </c>
      <c r="S165" s="12" t="str">
        <f aca="false">IF(L165&lt;&gt;1,"Excluded",IF(Q165=0,"No direction",IF(R165&gt;0,"Better",IF(R165&lt;0,"Worse","No change"))))</f>
        <v>No direction</v>
      </c>
      <c r="T165" s="12"/>
      <c r="U165" s="12" t="str">
        <f aca="false">C165&amp;"|"&amp;E165</f>
        <v>F1_15|JPN</v>
      </c>
    </row>
    <row r="166" customFormat="false" ht="15" hidden="false" customHeight="false" outlineLevel="0" collapsed="false">
      <c r="A166" s="12" t="n">
        <v>1</v>
      </c>
      <c r="B166" s="12" t="s">
        <v>42</v>
      </c>
      <c r="C166" s="12" t="s">
        <v>80</v>
      </c>
      <c r="D166" s="12" t="s">
        <v>81</v>
      </c>
      <c r="E166" s="12" t="s">
        <v>290</v>
      </c>
      <c r="F166" s="12" t="s">
        <v>37</v>
      </c>
      <c r="G166" s="12" t="n">
        <v>2</v>
      </c>
      <c r="H166" s="12" t="n">
        <v>2.1</v>
      </c>
      <c r="I166" s="12" t="s">
        <v>291</v>
      </c>
      <c r="J166" s="12" t="n">
        <v>11</v>
      </c>
      <c r="K166" s="12" t="n">
        <v>10</v>
      </c>
      <c r="L166" s="28" t="n">
        <v>1</v>
      </c>
      <c r="M166" s="12" t="n">
        <f aca="false">IF(L166=1,COUNTIFS($C$2:$C$1090,C166,$L$2:$L$1090,1),"")</f>
        <v>10</v>
      </c>
      <c r="N166" s="12" t="n">
        <f aca="false">IF(L166=1,1+COUNTIFS($C$2:$C$1090,C166,$L$2:$L$1090,1,$G$2:$G$1090,"&gt;"&amp;G166),"")</f>
        <v>8</v>
      </c>
      <c r="O166" s="12" t="n">
        <f aca="false">IF(L166=1,1+COUNTIFS($C$2:$C$1090,C166,$L$2:$L$1090,1,$H$2:$H$1090,"&gt;"&amp;H166),"")</f>
        <v>9</v>
      </c>
      <c r="P166" s="12" t="n">
        <f aca="false">IF(L166=1,N166-O166,"")</f>
        <v>-1</v>
      </c>
      <c r="Q166" s="12" t="n">
        <f aca="false">INDEX(Directions!$D$2:$D$100,MATCH(C166,Directions!$A$2:$A$100,0))</f>
        <v>0</v>
      </c>
      <c r="R166" s="12" t="n">
        <f aca="false">IF(L166=1,P166*Q166,"")</f>
        <v>-0</v>
      </c>
      <c r="S166" s="12" t="str">
        <f aca="false">IF(L166&lt;&gt;1,"Excluded",IF(Q166=0,"No direction",IF(R166&gt;0,"Better",IF(R166&lt;0,"Worse","No change"))))</f>
        <v>No direction</v>
      </c>
      <c r="T166" s="12"/>
      <c r="U166" s="12" t="str">
        <f aca="false">C166&amp;"|"&amp;E166</f>
        <v>F1_15|AUS</v>
      </c>
    </row>
    <row r="167" customFormat="false" ht="15" hidden="false" customHeight="false" outlineLevel="0" collapsed="false">
      <c r="A167" s="12" t="n">
        <v>1</v>
      </c>
      <c r="B167" s="12" t="s">
        <v>42</v>
      </c>
      <c r="C167" s="12" t="s">
        <v>82</v>
      </c>
      <c r="D167" s="12" t="s">
        <v>83</v>
      </c>
      <c r="E167" s="12" t="s">
        <v>281</v>
      </c>
      <c r="F167" s="12" t="s">
        <v>27</v>
      </c>
      <c r="G167" s="12" t="n">
        <v>6</v>
      </c>
      <c r="H167" s="12" t="n">
        <v>5.6</v>
      </c>
      <c r="I167" s="12" t="s">
        <v>299</v>
      </c>
      <c r="J167" s="12" t="n">
        <v>2</v>
      </c>
      <c r="K167" s="12" t="n">
        <v>2</v>
      </c>
      <c r="L167" s="28" t="n">
        <v>1</v>
      </c>
      <c r="M167" s="12" t="n">
        <f aca="false">IF(L167=1,COUNTIFS($C$2:$C$1090,C167,$L$2:$L$1090,1),"")</f>
        <v>10</v>
      </c>
      <c r="N167" s="12" t="n">
        <f aca="false">IF(L167=1,1+COUNTIFS($C$2:$C$1090,C167,$L$2:$L$1090,1,$G$2:$G$1090,"&gt;"&amp;G167),"")</f>
        <v>2</v>
      </c>
      <c r="O167" s="12" t="n">
        <f aca="false">IF(L167=1,1+COUNTIFS($C$2:$C$1090,C167,$L$2:$L$1090,1,$H$2:$H$1090,"&gt;"&amp;H167),"")</f>
        <v>2</v>
      </c>
      <c r="P167" s="12" t="n">
        <f aca="false">IF(L167=1,N167-O167,"")</f>
        <v>0</v>
      </c>
      <c r="Q167" s="12" t="n">
        <f aca="false">INDEX(Directions!$D$2:$D$100,MATCH(C167,Directions!$A$2:$A$100,0))</f>
        <v>0</v>
      </c>
      <c r="R167" s="12" t="n">
        <f aca="false">IF(L167=1,P167*Q167,"")</f>
        <v>0</v>
      </c>
      <c r="S167" s="12" t="str">
        <f aca="false">IF(L167&lt;&gt;1,"Excluded",IF(Q167=0,"No direction",IF(R167&gt;0,"Better",IF(R167&lt;0,"Worse","No change"))))</f>
        <v>No direction</v>
      </c>
      <c r="T167" s="12" t="s">
        <v>300</v>
      </c>
      <c r="U167" s="12" t="str">
        <f aca="false">C167&amp;"|"&amp;E167</f>
        <v>F1_16|USA</v>
      </c>
    </row>
    <row r="168" customFormat="false" ht="15" hidden="false" customHeight="false" outlineLevel="0" collapsed="false">
      <c r="A168" s="12" t="n">
        <v>1</v>
      </c>
      <c r="B168" s="12" t="s">
        <v>42</v>
      </c>
      <c r="C168" s="12" t="s">
        <v>82</v>
      </c>
      <c r="D168" s="12" t="s">
        <v>83</v>
      </c>
      <c r="E168" s="12" t="s">
        <v>283</v>
      </c>
      <c r="F168" s="12" t="s">
        <v>28</v>
      </c>
      <c r="G168" s="12" t="n">
        <v>3</v>
      </c>
      <c r="H168" s="12" t="n">
        <v>2.9</v>
      </c>
      <c r="I168" s="12" t="s">
        <v>293</v>
      </c>
      <c r="J168" s="12" t="n">
        <v>7</v>
      </c>
      <c r="K168" s="12" t="n">
        <v>8</v>
      </c>
      <c r="L168" s="28" t="n">
        <v>1</v>
      </c>
      <c r="M168" s="12" t="n">
        <f aca="false">IF(L168=1,COUNTIFS($C$2:$C$1090,C168,$L$2:$L$1090,1),"")</f>
        <v>10</v>
      </c>
      <c r="N168" s="12" t="n">
        <f aca="false">IF(L168=1,1+COUNTIFS($C$2:$C$1090,C168,$L$2:$L$1090,1,$G$2:$G$1090,"&gt;"&amp;G168),"")</f>
        <v>7</v>
      </c>
      <c r="O168" s="12" t="n">
        <f aca="false">IF(L168=1,1+COUNTIFS($C$2:$C$1090,C168,$L$2:$L$1090,1,$H$2:$H$1090,"&gt;"&amp;H168),"")</f>
        <v>8</v>
      </c>
      <c r="P168" s="12" t="n">
        <f aca="false">IF(L168=1,N168-O168,"")</f>
        <v>-1</v>
      </c>
      <c r="Q168" s="12" t="n">
        <f aca="false">INDEX(Directions!$D$2:$D$100,MATCH(C168,Directions!$A$2:$A$100,0))</f>
        <v>0</v>
      </c>
      <c r="R168" s="12" t="n">
        <f aca="false">IF(L168=1,P168*Q168,"")</f>
        <v>-0</v>
      </c>
      <c r="S168" s="12" t="str">
        <f aca="false">IF(L168&lt;&gt;1,"Excluded",IF(Q168=0,"No direction",IF(R168&gt;0,"Better",IF(R168&lt;0,"Worse","No change"))))</f>
        <v>No direction</v>
      </c>
      <c r="T168" s="12"/>
      <c r="U168" s="12" t="str">
        <f aca="false">C168&amp;"|"&amp;E168</f>
        <v>F1_16|GBR</v>
      </c>
    </row>
    <row r="169" customFormat="false" ht="15" hidden="false" customHeight="false" outlineLevel="0" collapsed="false">
      <c r="A169" s="12" t="n">
        <v>1</v>
      </c>
      <c r="B169" s="12" t="s">
        <v>42</v>
      </c>
      <c r="C169" s="12" t="s">
        <v>82</v>
      </c>
      <c r="D169" s="12" t="s">
        <v>83</v>
      </c>
      <c r="E169" s="12" t="s">
        <v>284</v>
      </c>
      <c r="F169" s="12" t="s">
        <v>29</v>
      </c>
      <c r="G169" s="12" t="n">
        <v>5</v>
      </c>
      <c r="H169" s="12" t="n">
        <v>5</v>
      </c>
      <c r="I169" s="12" t="s">
        <v>293</v>
      </c>
      <c r="J169" s="12" t="n">
        <v>4</v>
      </c>
      <c r="K169" s="12" t="n">
        <v>6</v>
      </c>
      <c r="L169" s="28" t="n">
        <v>1</v>
      </c>
      <c r="M169" s="12" t="n">
        <f aca="false">IF(L169=1,COUNTIFS($C$2:$C$1090,C169,$L$2:$L$1090,1),"")</f>
        <v>10</v>
      </c>
      <c r="N169" s="12" t="n">
        <f aca="false">IF(L169=1,1+COUNTIFS($C$2:$C$1090,C169,$L$2:$L$1090,1,$G$2:$G$1090,"&gt;"&amp;G169),"")</f>
        <v>4</v>
      </c>
      <c r="O169" s="12" t="n">
        <f aca="false">IF(L169=1,1+COUNTIFS($C$2:$C$1090,C169,$L$2:$L$1090,1,$H$2:$H$1090,"&gt;"&amp;H169),"")</f>
        <v>6</v>
      </c>
      <c r="P169" s="12" t="n">
        <f aca="false">IF(L169=1,N169-O169,"")</f>
        <v>-2</v>
      </c>
      <c r="Q169" s="12" t="n">
        <f aca="false">INDEX(Directions!$D$2:$D$100,MATCH(C169,Directions!$A$2:$A$100,0))</f>
        <v>0</v>
      </c>
      <c r="R169" s="12" t="n">
        <f aca="false">IF(L169=1,P169*Q169,"")</f>
        <v>-0</v>
      </c>
      <c r="S169" s="12" t="str">
        <f aca="false">IF(L169&lt;&gt;1,"Excluded",IF(Q169=0,"No direction",IF(R169&gt;0,"Better",IF(R169&lt;0,"Worse","No change"))))</f>
        <v>No direction</v>
      </c>
      <c r="T169" s="12"/>
      <c r="U169" s="12" t="str">
        <f aca="false">C169&amp;"|"&amp;E169</f>
        <v>F1_16|DEU</v>
      </c>
    </row>
    <row r="170" customFormat="false" ht="15" hidden="false" customHeight="false" outlineLevel="0" collapsed="false">
      <c r="A170" s="12" t="n">
        <v>1</v>
      </c>
      <c r="B170" s="12" t="s">
        <v>42</v>
      </c>
      <c r="C170" s="12" t="s">
        <v>82</v>
      </c>
      <c r="D170" s="12" t="s">
        <v>83</v>
      </c>
      <c r="E170" s="12" t="s">
        <v>285</v>
      </c>
      <c r="F170" s="12" t="s">
        <v>30</v>
      </c>
      <c r="G170" s="12" t="n">
        <v>5</v>
      </c>
      <c r="H170" s="12" t="n">
        <v>5.4</v>
      </c>
      <c r="I170" s="12" t="s">
        <v>293</v>
      </c>
      <c r="J170" s="12" t="n">
        <v>5</v>
      </c>
      <c r="K170" s="12" t="n">
        <v>5</v>
      </c>
      <c r="L170" s="28" t="n">
        <v>1</v>
      </c>
      <c r="M170" s="12" t="n">
        <f aca="false">IF(L170=1,COUNTIFS($C$2:$C$1090,C170,$L$2:$L$1090,1),"")</f>
        <v>10</v>
      </c>
      <c r="N170" s="12" t="n">
        <f aca="false">IF(L170=1,1+COUNTIFS($C$2:$C$1090,C170,$L$2:$L$1090,1,$G$2:$G$1090,"&gt;"&amp;G170),"")</f>
        <v>4</v>
      </c>
      <c r="O170" s="12" t="n">
        <f aca="false">IF(L170=1,1+COUNTIFS($C$2:$C$1090,C170,$L$2:$L$1090,1,$H$2:$H$1090,"&gt;"&amp;H170),"")</f>
        <v>5</v>
      </c>
      <c r="P170" s="12" t="n">
        <f aca="false">IF(L170=1,N170-O170,"")</f>
        <v>-1</v>
      </c>
      <c r="Q170" s="12" t="n">
        <f aca="false">INDEX(Directions!$D$2:$D$100,MATCH(C170,Directions!$A$2:$A$100,0))</f>
        <v>0</v>
      </c>
      <c r="R170" s="12" t="n">
        <f aca="false">IF(L170=1,P170*Q170,"")</f>
        <v>-0</v>
      </c>
      <c r="S170" s="12" t="str">
        <f aca="false">IF(L170&lt;&gt;1,"Excluded",IF(Q170=0,"No direction",IF(R170&gt;0,"Better",IF(R170&lt;0,"Worse","No change"))))</f>
        <v>No direction</v>
      </c>
      <c r="T170" s="12"/>
      <c r="U170" s="12" t="str">
        <f aca="false">C170&amp;"|"&amp;E170</f>
        <v>F1_16|SWE</v>
      </c>
    </row>
    <row r="171" customFormat="false" ht="15" hidden="false" customHeight="false" outlineLevel="0" collapsed="false">
      <c r="A171" s="12" t="n">
        <v>1</v>
      </c>
      <c r="B171" s="12" t="s">
        <v>42</v>
      </c>
      <c r="C171" s="12" t="s">
        <v>82</v>
      </c>
      <c r="D171" s="12" t="s">
        <v>83</v>
      </c>
      <c r="E171" s="12" t="s">
        <v>286</v>
      </c>
      <c r="F171" s="12" t="s">
        <v>31</v>
      </c>
      <c r="G171" s="12" t="n">
        <v>9</v>
      </c>
      <c r="H171" s="12" t="n">
        <v>5.5</v>
      </c>
      <c r="I171" s="12" t="s">
        <v>293</v>
      </c>
      <c r="J171" s="12" t="n">
        <v>1</v>
      </c>
      <c r="K171" s="12" t="n">
        <v>3</v>
      </c>
      <c r="L171" s="28" t="n">
        <v>1</v>
      </c>
      <c r="M171" s="12" t="n">
        <f aca="false">IF(L171=1,COUNTIFS($C$2:$C$1090,C171,$L$2:$L$1090,1),"")</f>
        <v>10</v>
      </c>
      <c r="N171" s="12" t="n">
        <f aca="false">IF(L171=1,1+COUNTIFS($C$2:$C$1090,C171,$L$2:$L$1090,1,$G$2:$G$1090,"&gt;"&amp;G171),"")</f>
        <v>1</v>
      </c>
      <c r="O171" s="12" t="n">
        <f aca="false">IF(L171=1,1+COUNTIFS($C$2:$C$1090,C171,$L$2:$L$1090,1,$H$2:$H$1090,"&gt;"&amp;H171),"")</f>
        <v>3</v>
      </c>
      <c r="P171" s="12" t="n">
        <f aca="false">IF(L171=1,N171-O171,"")</f>
        <v>-2</v>
      </c>
      <c r="Q171" s="12" t="n">
        <f aca="false">INDEX(Directions!$D$2:$D$100,MATCH(C171,Directions!$A$2:$A$100,0))</f>
        <v>0</v>
      </c>
      <c r="R171" s="12" t="n">
        <f aca="false">IF(L171=1,P171*Q171,"")</f>
        <v>-0</v>
      </c>
      <c r="S171" s="12" t="str">
        <f aca="false">IF(L171&lt;&gt;1,"Excluded",IF(Q171=0,"No direction",IF(R171&gt;0,"Better",IF(R171&lt;0,"Worse","No change"))))</f>
        <v>No direction</v>
      </c>
      <c r="T171" s="12"/>
      <c r="U171" s="12" t="str">
        <f aca="false">C171&amp;"|"&amp;E171</f>
        <v>F1_16|FRA</v>
      </c>
    </row>
    <row r="172" customFormat="false" ht="15" hidden="false" customHeight="false" outlineLevel="0" collapsed="false">
      <c r="A172" s="12" t="n">
        <v>1</v>
      </c>
      <c r="B172" s="12" t="s">
        <v>42</v>
      </c>
      <c r="C172" s="12" t="s">
        <v>82</v>
      </c>
      <c r="D172" s="12" t="s">
        <v>83</v>
      </c>
      <c r="E172" s="12" t="s">
        <v>32</v>
      </c>
      <c r="F172" s="12" t="s">
        <v>32</v>
      </c>
      <c r="G172" s="12" t="n">
        <v>0</v>
      </c>
      <c r="H172" s="12" t="n">
        <v>2.6</v>
      </c>
      <c r="I172" s="12" t="s">
        <v>282</v>
      </c>
      <c r="J172" s="12" t="n">
        <v>10</v>
      </c>
      <c r="K172" s="12" t="n">
        <v>9</v>
      </c>
      <c r="L172" s="28" t="n">
        <v>0</v>
      </c>
      <c r="M172" s="12" t="str">
        <f aca="false">IF(L172=1,COUNTIFS($C$2:$C$1090,C172,$L$2:$L$1090,1),"")</f>
        <v/>
      </c>
      <c r="N172" s="12" t="str">
        <f aca="false">IF(L172=1,1+COUNTIFS($C$2:$C$1090,C172,$L$2:$L$1090,1,$G$2:$G$1090,"&gt;"&amp;G172),"")</f>
        <v/>
      </c>
      <c r="O172" s="12" t="str">
        <f aca="false">IF(L172=1,1+COUNTIFS($C$2:$C$1090,C172,$L$2:$L$1090,1,$H$2:$H$1090,"&gt;"&amp;H172),"")</f>
        <v/>
      </c>
      <c r="P172" s="12" t="str">
        <f aca="false">IF(L172=1,N172-O172,"")</f>
        <v/>
      </c>
      <c r="Q172" s="12" t="n">
        <f aca="false">INDEX(Directions!$D$2:$D$100,MATCH(C172,Directions!$A$2:$A$100,0))</f>
        <v>0</v>
      </c>
      <c r="R172" s="12" t="str">
        <f aca="false">IF(L172=1,P172*Q172,"")</f>
        <v/>
      </c>
      <c r="S172" s="12" t="str">
        <f aca="false">IF(L172&lt;&gt;1,"Excluded",IF(Q172=0,"No direction",IF(R172&gt;0,"Better",IF(R172&lt;0,"Worse","No change"))))</f>
        <v>Excluded</v>
      </c>
      <c r="T172" s="12" t="s">
        <v>301</v>
      </c>
      <c r="U172" s="12" t="str">
        <f aca="false">C172&amp;"|"&amp;E172</f>
        <v>F1_16|NLD</v>
      </c>
    </row>
    <row r="173" customFormat="false" ht="15" hidden="false" customHeight="false" outlineLevel="0" collapsed="false">
      <c r="A173" s="12" t="n">
        <v>1</v>
      </c>
      <c r="B173" s="12" t="s">
        <v>42</v>
      </c>
      <c r="C173" s="12" t="s">
        <v>82</v>
      </c>
      <c r="D173" s="12" t="s">
        <v>83</v>
      </c>
      <c r="E173" s="12" t="s">
        <v>33</v>
      </c>
      <c r="F173" s="12" t="s">
        <v>33</v>
      </c>
      <c r="G173" s="12" t="n">
        <v>1</v>
      </c>
      <c r="H173" s="12" t="n">
        <v>10.1</v>
      </c>
      <c r="I173" s="12" t="s">
        <v>293</v>
      </c>
      <c r="J173" s="12" t="n">
        <v>8</v>
      </c>
      <c r="K173" s="12" t="n">
        <v>1</v>
      </c>
      <c r="L173" s="28" t="n">
        <v>1</v>
      </c>
      <c r="M173" s="12" t="n">
        <f aca="false">IF(L173=1,COUNTIFS($C$2:$C$1090,C173,$L$2:$L$1090,1),"")</f>
        <v>10</v>
      </c>
      <c r="N173" s="12" t="n">
        <f aca="false">IF(L173=1,1+COUNTIFS($C$2:$C$1090,C173,$L$2:$L$1090,1,$G$2:$G$1090,"&gt;"&amp;G173),"")</f>
        <v>8</v>
      </c>
      <c r="O173" s="12" t="n">
        <f aca="false">IF(L173=1,1+COUNTIFS($C$2:$C$1090,C173,$L$2:$L$1090,1,$H$2:$H$1090,"&gt;"&amp;H173),"")</f>
        <v>1</v>
      </c>
      <c r="P173" s="12" t="n">
        <f aca="false">IF(L173=1,N173-O173,"")</f>
        <v>7</v>
      </c>
      <c r="Q173" s="12" t="n">
        <f aca="false">INDEX(Directions!$D$2:$D$100,MATCH(C173,Directions!$A$2:$A$100,0))</f>
        <v>0</v>
      </c>
      <c r="R173" s="12" t="n">
        <f aca="false">IF(L173=1,P173*Q173,"")</f>
        <v>0</v>
      </c>
      <c r="S173" s="12" t="str">
        <f aca="false">IF(L173&lt;&gt;1,"Excluded",IF(Q173=0,"No direction",IF(R173&gt;0,"Better",IF(R173&lt;0,"Worse","No change"))))</f>
        <v>No direction</v>
      </c>
      <c r="T173" s="12"/>
      <c r="U173" s="12" t="str">
        <f aca="false">C173&amp;"|"&amp;E173</f>
        <v>F1_16|CHE</v>
      </c>
    </row>
    <row r="174" customFormat="false" ht="15" hidden="false" customHeight="false" outlineLevel="0" collapsed="false">
      <c r="A174" s="12" t="n">
        <v>1</v>
      </c>
      <c r="B174" s="12" t="s">
        <v>42</v>
      </c>
      <c r="C174" s="12" t="s">
        <v>82</v>
      </c>
      <c r="D174" s="12" t="s">
        <v>83</v>
      </c>
      <c r="E174" s="12" t="s">
        <v>287</v>
      </c>
      <c r="F174" s="12" t="s">
        <v>34</v>
      </c>
      <c r="G174" s="12" t="n">
        <v>0</v>
      </c>
      <c r="H174" s="12" t="n">
        <v>0</v>
      </c>
      <c r="I174" s="12" t="s">
        <v>282</v>
      </c>
      <c r="J174" s="12" t="n">
        <v>11</v>
      </c>
      <c r="K174" s="12" t="n">
        <v>11</v>
      </c>
      <c r="L174" s="28" t="n">
        <v>1</v>
      </c>
      <c r="M174" s="12" t="n">
        <f aca="false">IF(L174=1,COUNTIFS($C$2:$C$1090,C174,$L$2:$L$1090,1),"")</f>
        <v>10</v>
      </c>
      <c r="N174" s="12" t="n">
        <f aca="false">IF(L174=1,1+COUNTIFS($C$2:$C$1090,C174,$L$2:$L$1090,1,$G$2:$G$1090,"&gt;"&amp;G174),"")</f>
        <v>10</v>
      </c>
      <c r="O174" s="12" t="n">
        <f aca="false">IF(L174=1,1+COUNTIFS($C$2:$C$1090,C174,$L$2:$L$1090,1,$H$2:$H$1090,"&gt;"&amp;H174),"")</f>
        <v>10</v>
      </c>
      <c r="P174" s="12" t="n">
        <f aca="false">IF(L174=1,N174-O174,"")</f>
        <v>0</v>
      </c>
      <c r="Q174" s="12" t="n">
        <f aca="false">INDEX(Directions!$D$2:$D$100,MATCH(C174,Directions!$A$2:$A$100,0))</f>
        <v>0</v>
      </c>
      <c r="R174" s="12" t="n">
        <f aca="false">IF(L174=1,P174*Q174,"")</f>
        <v>0</v>
      </c>
      <c r="S174" s="12" t="str">
        <f aca="false">IF(L174&lt;&gt;1,"Excluded",IF(Q174=0,"No direction",IF(R174&gt;0,"Better",IF(R174&lt;0,"Worse","No change"))))</f>
        <v>No direction</v>
      </c>
      <c r="T174" s="12"/>
      <c r="U174" s="12" t="str">
        <f aca="false">C174&amp;"|"&amp;E174</f>
        <v>F1_16|DNK</v>
      </c>
    </row>
    <row r="175" customFormat="false" ht="15" hidden="false" customHeight="false" outlineLevel="0" collapsed="false">
      <c r="A175" s="12" t="n">
        <v>1</v>
      </c>
      <c r="B175" s="12" t="s">
        <v>42</v>
      </c>
      <c r="C175" s="12" t="s">
        <v>82</v>
      </c>
      <c r="D175" s="12" t="s">
        <v>83</v>
      </c>
      <c r="E175" s="12" t="s">
        <v>288</v>
      </c>
      <c r="F175" s="12" t="s">
        <v>35</v>
      </c>
      <c r="G175" s="12" t="n">
        <v>4</v>
      </c>
      <c r="H175" s="12" t="n">
        <v>3.7</v>
      </c>
      <c r="I175" s="12" t="s">
        <v>282</v>
      </c>
      <c r="J175" s="12" t="n">
        <v>6</v>
      </c>
      <c r="K175" s="12" t="n">
        <v>7</v>
      </c>
      <c r="L175" s="28" t="n">
        <v>1</v>
      </c>
      <c r="M175" s="12" t="n">
        <f aca="false">IF(L175=1,COUNTIFS($C$2:$C$1090,C175,$L$2:$L$1090,1),"")</f>
        <v>10</v>
      </c>
      <c r="N175" s="12" t="n">
        <f aca="false">IF(L175=1,1+COUNTIFS($C$2:$C$1090,C175,$L$2:$L$1090,1,$G$2:$G$1090,"&gt;"&amp;G175),"")</f>
        <v>6</v>
      </c>
      <c r="O175" s="12" t="n">
        <f aca="false">IF(L175=1,1+COUNTIFS($C$2:$C$1090,C175,$L$2:$L$1090,1,$H$2:$H$1090,"&gt;"&amp;H175),"")</f>
        <v>7</v>
      </c>
      <c r="P175" s="12" t="n">
        <f aca="false">IF(L175=1,N175-O175,"")</f>
        <v>-1</v>
      </c>
      <c r="Q175" s="12" t="n">
        <f aca="false">INDEX(Directions!$D$2:$D$100,MATCH(C175,Directions!$A$2:$A$100,0))</f>
        <v>0</v>
      </c>
      <c r="R175" s="12" t="n">
        <f aca="false">IF(L175=1,P175*Q175,"")</f>
        <v>-0</v>
      </c>
      <c r="S175" s="12" t="str">
        <f aca="false">IF(L175&lt;&gt;1,"Excluded",IF(Q175=0,"No direction",IF(R175&gt;0,"Better",IF(R175&lt;0,"Worse","No change"))))</f>
        <v>No direction</v>
      </c>
      <c r="T175" s="12"/>
      <c r="U175" s="12" t="str">
        <f aca="false">C175&amp;"|"&amp;E175</f>
        <v>F1_16|CAN</v>
      </c>
    </row>
    <row r="176" customFormat="false" ht="15" hidden="false" customHeight="false" outlineLevel="0" collapsed="false">
      <c r="A176" s="12" t="n">
        <v>1</v>
      </c>
      <c r="B176" s="12" t="s">
        <v>42</v>
      </c>
      <c r="C176" s="12" t="s">
        <v>82</v>
      </c>
      <c r="D176" s="12" t="s">
        <v>83</v>
      </c>
      <c r="E176" s="12" t="s">
        <v>289</v>
      </c>
      <c r="F176" s="12" t="s">
        <v>36</v>
      </c>
      <c r="G176" s="12" t="n">
        <v>1</v>
      </c>
      <c r="H176" s="12" t="n">
        <v>0.6</v>
      </c>
      <c r="I176" s="12" t="s">
        <v>291</v>
      </c>
      <c r="J176" s="12" t="n">
        <v>9</v>
      </c>
      <c r="K176" s="12" t="n">
        <v>10</v>
      </c>
      <c r="L176" s="28" t="n">
        <v>1</v>
      </c>
      <c r="M176" s="12" t="n">
        <f aca="false">IF(L176=1,COUNTIFS($C$2:$C$1090,C176,$L$2:$L$1090,1),"")</f>
        <v>10</v>
      </c>
      <c r="N176" s="12" t="n">
        <f aca="false">IF(L176=1,1+COUNTIFS($C$2:$C$1090,C176,$L$2:$L$1090,1,$G$2:$G$1090,"&gt;"&amp;G176),"")</f>
        <v>8</v>
      </c>
      <c r="O176" s="12" t="n">
        <f aca="false">IF(L176=1,1+COUNTIFS($C$2:$C$1090,C176,$L$2:$L$1090,1,$H$2:$H$1090,"&gt;"&amp;H176),"")</f>
        <v>9</v>
      </c>
      <c r="P176" s="12" t="n">
        <f aca="false">IF(L176=1,N176-O176,"")</f>
        <v>-1</v>
      </c>
      <c r="Q176" s="12" t="n">
        <f aca="false">INDEX(Directions!$D$2:$D$100,MATCH(C176,Directions!$A$2:$A$100,0))</f>
        <v>0</v>
      </c>
      <c r="R176" s="12" t="n">
        <f aca="false">IF(L176=1,P176*Q176,"")</f>
        <v>-0</v>
      </c>
      <c r="S176" s="12" t="str">
        <f aca="false">IF(L176&lt;&gt;1,"Excluded",IF(Q176=0,"No direction",IF(R176&gt;0,"Better",IF(R176&lt;0,"Worse","No change"))))</f>
        <v>No direction</v>
      </c>
      <c r="T176" s="12"/>
      <c r="U176" s="12" t="str">
        <f aca="false">C176&amp;"|"&amp;E176</f>
        <v>F1_16|JPN</v>
      </c>
    </row>
    <row r="177" customFormat="false" ht="15" hidden="false" customHeight="false" outlineLevel="0" collapsed="false">
      <c r="A177" s="12" t="n">
        <v>1</v>
      </c>
      <c r="B177" s="12" t="s">
        <v>42</v>
      </c>
      <c r="C177" s="12" t="s">
        <v>82</v>
      </c>
      <c r="D177" s="12" t="s">
        <v>83</v>
      </c>
      <c r="E177" s="12" t="s">
        <v>290</v>
      </c>
      <c r="F177" s="12" t="s">
        <v>37</v>
      </c>
      <c r="G177" s="12" t="n">
        <v>6</v>
      </c>
      <c r="H177" s="12" t="n">
        <v>5.5</v>
      </c>
      <c r="I177" s="12" t="s">
        <v>291</v>
      </c>
      <c r="J177" s="12" t="n">
        <v>3</v>
      </c>
      <c r="K177" s="12" t="n">
        <v>4</v>
      </c>
      <c r="L177" s="28" t="n">
        <v>1</v>
      </c>
      <c r="M177" s="12" t="n">
        <f aca="false">IF(L177=1,COUNTIFS($C$2:$C$1090,C177,$L$2:$L$1090,1),"")</f>
        <v>10</v>
      </c>
      <c r="N177" s="12" t="n">
        <f aca="false">IF(L177=1,1+COUNTIFS($C$2:$C$1090,C177,$L$2:$L$1090,1,$G$2:$G$1090,"&gt;"&amp;G177),"")</f>
        <v>2</v>
      </c>
      <c r="O177" s="12" t="n">
        <f aca="false">IF(L177=1,1+COUNTIFS($C$2:$C$1090,C177,$L$2:$L$1090,1,$H$2:$H$1090,"&gt;"&amp;H177),"")</f>
        <v>3</v>
      </c>
      <c r="P177" s="12" t="n">
        <f aca="false">IF(L177=1,N177-O177,"")</f>
        <v>-1</v>
      </c>
      <c r="Q177" s="12" t="n">
        <f aca="false">INDEX(Directions!$D$2:$D$100,MATCH(C177,Directions!$A$2:$A$100,0))</f>
        <v>0</v>
      </c>
      <c r="R177" s="12" t="n">
        <f aca="false">IF(L177=1,P177*Q177,"")</f>
        <v>-0</v>
      </c>
      <c r="S177" s="12" t="str">
        <f aca="false">IF(L177&lt;&gt;1,"Excluded",IF(Q177=0,"No direction",IF(R177&gt;0,"Better",IF(R177&lt;0,"Worse","No change"))))</f>
        <v>No direction</v>
      </c>
      <c r="T177" s="12"/>
      <c r="U177" s="12" t="str">
        <f aca="false">C177&amp;"|"&amp;E177</f>
        <v>F1_16|AUS</v>
      </c>
    </row>
    <row r="178" customFormat="false" ht="15" hidden="false" customHeight="false" outlineLevel="0" collapsed="false">
      <c r="A178" s="12" t="n">
        <v>1</v>
      </c>
      <c r="B178" s="12" t="s">
        <v>42</v>
      </c>
      <c r="C178" s="12" t="s">
        <v>84</v>
      </c>
      <c r="D178" s="12" t="s">
        <v>85</v>
      </c>
      <c r="E178" s="12" t="s">
        <v>281</v>
      </c>
      <c r="F178" s="12" t="s">
        <v>27</v>
      </c>
      <c r="G178" s="12" t="n">
        <v>90</v>
      </c>
      <c r="H178" s="12" t="n">
        <v>91.7</v>
      </c>
      <c r="I178" s="12" t="s">
        <v>282</v>
      </c>
      <c r="J178" s="12" t="n">
        <v>11</v>
      </c>
      <c r="K178" s="12" t="n">
        <v>11</v>
      </c>
      <c r="L178" s="28" t="n">
        <v>1</v>
      </c>
      <c r="M178" s="12" t="n">
        <f aca="false">IF(L178=1,COUNTIFS($C$2:$C$1090,C178,$L$2:$L$1090,1),"")</f>
        <v>11</v>
      </c>
      <c r="N178" s="12" t="n">
        <f aca="false">IF(L178=1,1+COUNTIFS($C$2:$C$1090,C178,$L$2:$L$1090,1,$G$2:$G$1090,"&gt;"&amp;G178),"")</f>
        <v>11</v>
      </c>
      <c r="O178" s="12" t="n">
        <f aca="false">IF(L178=1,1+COUNTIFS($C$2:$C$1090,C178,$L$2:$L$1090,1,$H$2:$H$1090,"&gt;"&amp;H178),"")</f>
        <v>11</v>
      </c>
      <c r="P178" s="12" t="n">
        <f aca="false">IF(L178=1,N178-O178,"")</f>
        <v>0</v>
      </c>
      <c r="Q178" s="12" t="n">
        <f aca="false">INDEX(Directions!$D$2:$D$100,MATCH(C178,Directions!$A$2:$A$100,0))</f>
        <v>1</v>
      </c>
      <c r="R178" s="12" t="n">
        <f aca="false">IF(L178=1,P178*Q178,"")</f>
        <v>0</v>
      </c>
      <c r="S178" s="12" t="str">
        <f aca="false">IF(L178&lt;&gt;1,"Excluded",IF(Q178=0,"No direction",IF(R178&gt;0,"Better",IF(R178&lt;0,"Worse","No change"))))</f>
        <v>No change</v>
      </c>
      <c r="T178" s="12"/>
      <c r="U178" s="12" t="str">
        <f aca="false">C178&amp;"|"&amp;E178</f>
        <v>F1_17|USA</v>
      </c>
    </row>
    <row r="179" customFormat="false" ht="15" hidden="false" customHeight="false" outlineLevel="0" collapsed="false">
      <c r="A179" s="12" t="n">
        <v>1</v>
      </c>
      <c r="B179" s="12" t="s">
        <v>42</v>
      </c>
      <c r="C179" s="12" t="s">
        <v>84</v>
      </c>
      <c r="D179" s="12" t="s">
        <v>85</v>
      </c>
      <c r="E179" s="12" t="s">
        <v>283</v>
      </c>
      <c r="F179" s="12" t="s">
        <v>28</v>
      </c>
      <c r="G179" s="12" t="n">
        <v>100</v>
      </c>
      <c r="H179" s="12" t="n">
        <v>100</v>
      </c>
      <c r="I179" s="12" t="s">
        <v>293</v>
      </c>
      <c r="J179" s="12" t="n">
        <v>1</v>
      </c>
      <c r="K179" s="12" t="n">
        <v>1</v>
      </c>
      <c r="L179" s="28" t="n">
        <v>1</v>
      </c>
      <c r="M179" s="12" t="n">
        <f aca="false">IF(L179=1,COUNTIFS($C$2:$C$1090,C179,$L$2:$L$1090,1),"")</f>
        <v>11</v>
      </c>
      <c r="N179" s="12" t="n">
        <f aca="false">IF(L179=1,1+COUNTIFS($C$2:$C$1090,C179,$L$2:$L$1090,1,$G$2:$G$1090,"&gt;"&amp;G179),"")</f>
        <v>1</v>
      </c>
      <c r="O179" s="12" t="n">
        <f aca="false">IF(L179=1,1+COUNTIFS($C$2:$C$1090,C179,$L$2:$L$1090,1,$H$2:$H$1090,"&gt;"&amp;H179),"")</f>
        <v>1</v>
      </c>
      <c r="P179" s="12" t="n">
        <f aca="false">IF(L179=1,N179-O179,"")</f>
        <v>0</v>
      </c>
      <c r="Q179" s="12" t="n">
        <f aca="false">INDEX(Directions!$D$2:$D$100,MATCH(C179,Directions!$A$2:$A$100,0))</f>
        <v>1</v>
      </c>
      <c r="R179" s="12" t="n">
        <f aca="false">IF(L179=1,P179*Q179,"")</f>
        <v>0</v>
      </c>
      <c r="S179" s="12" t="str">
        <f aca="false">IF(L179&lt;&gt;1,"Excluded",IF(Q179=0,"No direction",IF(R179&gt;0,"Better",IF(R179&lt;0,"Worse","No change"))))</f>
        <v>No change</v>
      </c>
      <c r="T179" s="12"/>
      <c r="U179" s="12" t="str">
        <f aca="false">C179&amp;"|"&amp;E179</f>
        <v>F1_17|GBR</v>
      </c>
    </row>
    <row r="180" customFormat="false" ht="15" hidden="false" customHeight="false" outlineLevel="0" collapsed="false">
      <c r="A180" s="12" t="n">
        <v>1</v>
      </c>
      <c r="B180" s="12" t="s">
        <v>42</v>
      </c>
      <c r="C180" s="12" t="s">
        <v>84</v>
      </c>
      <c r="D180" s="12" t="s">
        <v>85</v>
      </c>
      <c r="E180" s="12" t="s">
        <v>284</v>
      </c>
      <c r="F180" s="12" t="s">
        <v>29</v>
      </c>
      <c r="G180" s="12" t="n">
        <v>99.8</v>
      </c>
      <c r="H180" s="12" t="n">
        <v>99.9</v>
      </c>
      <c r="I180" s="12" t="s">
        <v>293</v>
      </c>
      <c r="J180" s="12" t="n">
        <v>10</v>
      </c>
      <c r="K180" s="12" t="n">
        <v>8</v>
      </c>
      <c r="L180" s="28" t="n">
        <v>1</v>
      </c>
      <c r="M180" s="12" t="n">
        <f aca="false">IF(L180=1,COUNTIFS($C$2:$C$1090,C180,$L$2:$L$1090,1),"")</f>
        <v>11</v>
      </c>
      <c r="N180" s="12" t="n">
        <f aca="false">IF(L180=1,1+COUNTIFS($C$2:$C$1090,C180,$L$2:$L$1090,1,$G$2:$G$1090,"&gt;"&amp;G180),"")</f>
        <v>10</v>
      </c>
      <c r="O180" s="12" t="n">
        <f aca="false">IF(L180=1,1+COUNTIFS($C$2:$C$1090,C180,$L$2:$L$1090,1,$H$2:$H$1090,"&gt;"&amp;H180),"")</f>
        <v>8</v>
      </c>
      <c r="P180" s="12" t="n">
        <f aca="false">IF(L180=1,N180-O180,"")</f>
        <v>2</v>
      </c>
      <c r="Q180" s="12" t="n">
        <f aca="false">INDEX(Directions!$D$2:$D$100,MATCH(C180,Directions!$A$2:$A$100,0))</f>
        <v>1</v>
      </c>
      <c r="R180" s="12" t="n">
        <f aca="false">IF(L180=1,P180*Q180,"")</f>
        <v>2</v>
      </c>
      <c r="S180" s="12" t="str">
        <f aca="false">IF(L180&lt;&gt;1,"Excluded",IF(Q180=0,"No direction",IF(R180&gt;0,"Better",IF(R180&lt;0,"Worse","No change"))))</f>
        <v>Better</v>
      </c>
      <c r="T180" s="12"/>
      <c r="U180" s="12" t="str">
        <f aca="false">C180&amp;"|"&amp;E180</f>
        <v>F1_17|DEU</v>
      </c>
    </row>
    <row r="181" customFormat="false" ht="15" hidden="false" customHeight="false" outlineLevel="0" collapsed="false">
      <c r="A181" s="12" t="n">
        <v>1</v>
      </c>
      <c r="B181" s="12" t="s">
        <v>42</v>
      </c>
      <c r="C181" s="12" t="s">
        <v>84</v>
      </c>
      <c r="D181" s="12" t="s">
        <v>85</v>
      </c>
      <c r="E181" s="12" t="s">
        <v>285</v>
      </c>
      <c r="F181" s="12" t="s">
        <v>30</v>
      </c>
      <c r="G181" s="12" t="n">
        <v>100</v>
      </c>
      <c r="H181" s="12" t="n">
        <v>100</v>
      </c>
      <c r="I181" s="12" t="s">
        <v>293</v>
      </c>
      <c r="J181" s="12" t="n">
        <v>2</v>
      </c>
      <c r="K181" s="12" t="n">
        <v>2</v>
      </c>
      <c r="L181" s="28" t="n">
        <v>1</v>
      </c>
      <c r="M181" s="12" t="n">
        <f aca="false">IF(L181=1,COUNTIFS($C$2:$C$1090,C181,$L$2:$L$1090,1),"")</f>
        <v>11</v>
      </c>
      <c r="N181" s="12" t="n">
        <f aca="false">IF(L181=1,1+COUNTIFS($C$2:$C$1090,C181,$L$2:$L$1090,1,$G$2:$G$1090,"&gt;"&amp;G181),"")</f>
        <v>1</v>
      </c>
      <c r="O181" s="12" t="n">
        <f aca="false">IF(L181=1,1+COUNTIFS($C$2:$C$1090,C181,$L$2:$L$1090,1,$H$2:$H$1090,"&gt;"&amp;H181),"")</f>
        <v>1</v>
      </c>
      <c r="P181" s="12" t="n">
        <f aca="false">IF(L181=1,N181-O181,"")</f>
        <v>0</v>
      </c>
      <c r="Q181" s="12" t="n">
        <f aca="false">INDEX(Directions!$D$2:$D$100,MATCH(C181,Directions!$A$2:$A$100,0))</f>
        <v>1</v>
      </c>
      <c r="R181" s="12" t="n">
        <f aca="false">IF(L181=1,P181*Q181,"")</f>
        <v>0</v>
      </c>
      <c r="S181" s="12" t="str">
        <f aca="false">IF(L181&lt;&gt;1,"Excluded",IF(Q181=0,"No direction",IF(R181&gt;0,"Better",IF(R181&lt;0,"Worse","No change"))))</f>
        <v>No change</v>
      </c>
      <c r="T181" s="12"/>
      <c r="U181" s="12" t="str">
        <f aca="false">C181&amp;"|"&amp;E181</f>
        <v>F1_17|SWE</v>
      </c>
    </row>
    <row r="182" customFormat="false" ht="15" hidden="false" customHeight="false" outlineLevel="0" collapsed="false">
      <c r="A182" s="12" t="n">
        <v>1</v>
      </c>
      <c r="B182" s="12" t="s">
        <v>42</v>
      </c>
      <c r="C182" s="12" t="s">
        <v>84</v>
      </c>
      <c r="D182" s="12" t="s">
        <v>85</v>
      </c>
      <c r="E182" s="12" t="s">
        <v>286</v>
      </c>
      <c r="F182" s="12" t="s">
        <v>31</v>
      </c>
      <c r="G182" s="12" t="n">
        <v>99.9</v>
      </c>
      <c r="H182" s="12" t="n">
        <v>99.9</v>
      </c>
      <c r="I182" s="12" t="s">
        <v>282</v>
      </c>
      <c r="J182" s="12" t="n">
        <v>8</v>
      </c>
      <c r="K182" s="12" t="n">
        <v>9</v>
      </c>
      <c r="L182" s="28" t="n">
        <v>1</v>
      </c>
      <c r="M182" s="12" t="n">
        <f aca="false">IF(L182=1,COUNTIFS($C$2:$C$1090,C182,$L$2:$L$1090,1),"")</f>
        <v>11</v>
      </c>
      <c r="N182" s="12" t="n">
        <f aca="false">IF(L182=1,1+COUNTIFS($C$2:$C$1090,C182,$L$2:$L$1090,1,$G$2:$G$1090,"&gt;"&amp;G182),"")</f>
        <v>8</v>
      </c>
      <c r="O182" s="12" t="n">
        <f aca="false">IF(L182=1,1+COUNTIFS($C$2:$C$1090,C182,$L$2:$L$1090,1,$H$2:$H$1090,"&gt;"&amp;H182),"")</f>
        <v>8</v>
      </c>
      <c r="P182" s="12" t="n">
        <f aca="false">IF(L182=1,N182-O182,"")</f>
        <v>0</v>
      </c>
      <c r="Q182" s="12" t="n">
        <f aca="false">INDEX(Directions!$D$2:$D$100,MATCH(C182,Directions!$A$2:$A$100,0))</f>
        <v>1</v>
      </c>
      <c r="R182" s="12" t="n">
        <f aca="false">IF(L182=1,P182*Q182,"")</f>
        <v>0</v>
      </c>
      <c r="S182" s="12" t="str">
        <f aca="false">IF(L182&lt;&gt;1,"Excluded",IF(Q182=0,"No direction",IF(R182&gt;0,"Better",IF(R182&lt;0,"Worse","No change"))))</f>
        <v>No change</v>
      </c>
      <c r="T182" s="12"/>
      <c r="U182" s="12" t="str">
        <f aca="false">C182&amp;"|"&amp;E182</f>
        <v>F1_17|FRA</v>
      </c>
    </row>
    <row r="183" customFormat="false" ht="15" hidden="false" customHeight="false" outlineLevel="0" collapsed="false">
      <c r="A183" s="12" t="n">
        <v>1</v>
      </c>
      <c r="B183" s="12" t="s">
        <v>42</v>
      </c>
      <c r="C183" s="12" t="s">
        <v>84</v>
      </c>
      <c r="D183" s="12" t="s">
        <v>85</v>
      </c>
      <c r="E183" s="12" t="s">
        <v>32</v>
      </c>
      <c r="F183" s="12" t="s">
        <v>32</v>
      </c>
      <c r="G183" s="12" t="n">
        <v>99.9</v>
      </c>
      <c r="H183" s="12" t="n">
        <v>99.8</v>
      </c>
      <c r="I183" s="12" t="s">
        <v>293</v>
      </c>
      <c r="J183" s="12" t="n">
        <v>9</v>
      </c>
      <c r="K183" s="12" t="n">
        <v>10</v>
      </c>
      <c r="L183" s="28" t="n">
        <v>1</v>
      </c>
      <c r="M183" s="12" t="n">
        <f aca="false">IF(L183=1,COUNTIFS($C$2:$C$1090,C183,$L$2:$L$1090,1),"")</f>
        <v>11</v>
      </c>
      <c r="N183" s="12" t="n">
        <f aca="false">IF(L183=1,1+COUNTIFS($C$2:$C$1090,C183,$L$2:$L$1090,1,$G$2:$G$1090,"&gt;"&amp;G183),"")</f>
        <v>8</v>
      </c>
      <c r="O183" s="12" t="n">
        <f aca="false">IF(L183=1,1+COUNTIFS($C$2:$C$1090,C183,$L$2:$L$1090,1,$H$2:$H$1090,"&gt;"&amp;H183),"")</f>
        <v>10</v>
      </c>
      <c r="P183" s="12" t="n">
        <f aca="false">IF(L183=1,N183-O183,"")</f>
        <v>-2</v>
      </c>
      <c r="Q183" s="12" t="n">
        <f aca="false">INDEX(Directions!$D$2:$D$100,MATCH(C183,Directions!$A$2:$A$100,0))</f>
        <v>1</v>
      </c>
      <c r="R183" s="12" t="n">
        <f aca="false">IF(L183=1,P183*Q183,"")</f>
        <v>-2</v>
      </c>
      <c r="S183" s="12" t="str">
        <f aca="false">IF(L183&lt;&gt;1,"Excluded",IF(Q183=0,"No direction",IF(R183&gt;0,"Better",IF(R183&lt;0,"Worse","No change"))))</f>
        <v>Worse</v>
      </c>
      <c r="T183" s="12"/>
      <c r="U183" s="12" t="str">
        <f aca="false">C183&amp;"|"&amp;E183</f>
        <v>F1_17|NLD</v>
      </c>
    </row>
    <row r="184" customFormat="false" ht="15" hidden="false" customHeight="false" outlineLevel="0" collapsed="false">
      <c r="A184" s="12" t="n">
        <v>1</v>
      </c>
      <c r="B184" s="12" t="s">
        <v>42</v>
      </c>
      <c r="C184" s="12" t="s">
        <v>84</v>
      </c>
      <c r="D184" s="12" t="s">
        <v>85</v>
      </c>
      <c r="E184" s="12" t="s">
        <v>33</v>
      </c>
      <c r="F184" s="12" t="s">
        <v>33</v>
      </c>
      <c r="G184" s="12" t="n">
        <v>100</v>
      </c>
      <c r="H184" s="12" t="n">
        <v>100</v>
      </c>
      <c r="I184" s="12" t="s">
        <v>293</v>
      </c>
      <c r="J184" s="12" t="n">
        <v>3</v>
      </c>
      <c r="K184" s="12" t="n">
        <v>3</v>
      </c>
      <c r="L184" s="28" t="n">
        <v>1</v>
      </c>
      <c r="M184" s="12" t="n">
        <f aca="false">IF(L184=1,COUNTIFS($C$2:$C$1090,C184,$L$2:$L$1090,1),"")</f>
        <v>11</v>
      </c>
      <c r="N184" s="12" t="n">
        <f aca="false">IF(L184=1,1+COUNTIFS($C$2:$C$1090,C184,$L$2:$L$1090,1,$G$2:$G$1090,"&gt;"&amp;G184),"")</f>
        <v>1</v>
      </c>
      <c r="O184" s="12" t="n">
        <f aca="false">IF(L184=1,1+COUNTIFS($C$2:$C$1090,C184,$L$2:$L$1090,1,$H$2:$H$1090,"&gt;"&amp;H184),"")</f>
        <v>1</v>
      </c>
      <c r="P184" s="12" t="n">
        <f aca="false">IF(L184=1,N184-O184,"")</f>
        <v>0</v>
      </c>
      <c r="Q184" s="12" t="n">
        <f aca="false">INDEX(Directions!$D$2:$D$100,MATCH(C184,Directions!$A$2:$A$100,0))</f>
        <v>1</v>
      </c>
      <c r="R184" s="12" t="n">
        <f aca="false">IF(L184=1,P184*Q184,"")</f>
        <v>0</v>
      </c>
      <c r="S184" s="12" t="str">
        <f aca="false">IF(L184&lt;&gt;1,"Excluded",IF(Q184=0,"No direction",IF(R184&gt;0,"Better",IF(R184&lt;0,"Worse","No change"))))</f>
        <v>No change</v>
      </c>
      <c r="T184" s="12"/>
      <c r="U184" s="12" t="str">
        <f aca="false">C184&amp;"|"&amp;E184</f>
        <v>F1_17|CHE</v>
      </c>
    </row>
    <row r="185" customFormat="false" ht="15" hidden="false" customHeight="false" outlineLevel="0" collapsed="false">
      <c r="A185" s="12" t="n">
        <v>1</v>
      </c>
      <c r="B185" s="12" t="s">
        <v>42</v>
      </c>
      <c r="C185" s="12" t="s">
        <v>84</v>
      </c>
      <c r="D185" s="12" t="s">
        <v>85</v>
      </c>
      <c r="E185" s="12" t="s">
        <v>287</v>
      </c>
      <c r="F185" s="12" t="s">
        <v>34</v>
      </c>
      <c r="G185" s="12" t="n">
        <v>100</v>
      </c>
      <c r="H185" s="12" t="n">
        <v>100</v>
      </c>
      <c r="I185" s="12" t="s">
        <v>293</v>
      </c>
      <c r="J185" s="12" t="n">
        <v>4</v>
      </c>
      <c r="K185" s="12" t="n">
        <v>4</v>
      </c>
      <c r="L185" s="28" t="n">
        <v>1</v>
      </c>
      <c r="M185" s="12" t="n">
        <f aca="false">IF(L185=1,COUNTIFS($C$2:$C$1090,C185,$L$2:$L$1090,1),"")</f>
        <v>11</v>
      </c>
      <c r="N185" s="12" t="n">
        <f aca="false">IF(L185=1,1+COUNTIFS($C$2:$C$1090,C185,$L$2:$L$1090,1,$G$2:$G$1090,"&gt;"&amp;G185),"")</f>
        <v>1</v>
      </c>
      <c r="O185" s="12" t="n">
        <f aca="false">IF(L185=1,1+COUNTIFS($C$2:$C$1090,C185,$L$2:$L$1090,1,$H$2:$H$1090,"&gt;"&amp;H185),"")</f>
        <v>1</v>
      </c>
      <c r="P185" s="12" t="n">
        <f aca="false">IF(L185=1,N185-O185,"")</f>
        <v>0</v>
      </c>
      <c r="Q185" s="12" t="n">
        <f aca="false">INDEX(Directions!$D$2:$D$100,MATCH(C185,Directions!$A$2:$A$100,0))</f>
        <v>1</v>
      </c>
      <c r="R185" s="12" t="n">
        <f aca="false">IF(L185=1,P185*Q185,"")</f>
        <v>0</v>
      </c>
      <c r="S185" s="12" t="str">
        <f aca="false">IF(L185&lt;&gt;1,"Excluded",IF(Q185=0,"No direction",IF(R185&gt;0,"Better",IF(R185&lt;0,"Worse","No change"))))</f>
        <v>No change</v>
      </c>
      <c r="T185" s="12"/>
      <c r="U185" s="12" t="str">
        <f aca="false">C185&amp;"|"&amp;E185</f>
        <v>F1_17|DNK</v>
      </c>
    </row>
    <row r="186" customFormat="false" ht="15" hidden="false" customHeight="false" outlineLevel="0" collapsed="false">
      <c r="A186" s="12" t="n">
        <v>1</v>
      </c>
      <c r="B186" s="12" t="s">
        <v>42</v>
      </c>
      <c r="C186" s="12" t="s">
        <v>84</v>
      </c>
      <c r="D186" s="12" t="s">
        <v>85</v>
      </c>
      <c r="E186" s="12" t="s">
        <v>288</v>
      </c>
      <c r="F186" s="12" t="s">
        <v>35</v>
      </c>
      <c r="G186" s="12" t="n">
        <v>100</v>
      </c>
      <c r="H186" s="12" t="n">
        <v>100</v>
      </c>
      <c r="I186" s="12" t="s">
        <v>282</v>
      </c>
      <c r="J186" s="12" t="n">
        <v>5</v>
      </c>
      <c r="K186" s="12" t="n">
        <v>5</v>
      </c>
      <c r="L186" s="28" t="n">
        <v>1</v>
      </c>
      <c r="M186" s="12" t="n">
        <f aca="false">IF(L186=1,COUNTIFS($C$2:$C$1090,C186,$L$2:$L$1090,1),"")</f>
        <v>11</v>
      </c>
      <c r="N186" s="12" t="n">
        <f aca="false">IF(L186=1,1+COUNTIFS($C$2:$C$1090,C186,$L$2:$L$1090,1,$G$2:$G$1090,"&gt;"&amp;G186),"")</f>
        <v>1</v>
      </c>
      <c r="O186" s="12" t="n">
        <f aca="false">IF(L186=1,1+COUNTIFS($C$2:$C$1090,C186,$L$2:$L$1090,1,$H$2:$H$1090,"&gt;"&amp;H186),"")</f>
        <v>1</v>
      </c>
      <c r="P186" s="12" t="n">
        <f aca="false">IF(L186=1,N186-O186,"")</f>
        <v>0</v>
      </c>
      <c r="Q186" s="12" t="n">
        <f aca="false">INDEX(Directions!$D$2:$D$100,MATCH(C186,Directions!$A$2:$A$100,0))</f>
        <v>1</v>
      </c>
      <c r="R186" s="12" t="n">
        <f aca="false">IF(L186=1,P186*Q186,"")</f>
        <v>0</v>
      </c>
      <c r="S186" s="12" t="str">
        <f aca="false">IF(L186&lt;&gt;1,"Excluded",IF(Q186=0,"No direction",IF(R186&gt;0,"Better",IF(R186&lt;0,"Worse","No change"))))</f>
        <v>No change</v>
      </c>
      <c r="T186" s="12"/>
      <c r="U186" s="12" t="str">
        <f aca="false">C186&amp;"|"&amp;E186</f>
        <v>F1_17|CAN</v>
      </c>
    </row>
    <row r="187" customFormat="false" ht="15" hidden="false" customHeight="false" outlineLevel="0" collapsed="false">
      <c r="A187" s="12" t="n">
        <v>1</v>
      </c>
      <c r="B187" s="12" t="s">
        <v>42</v>
      </c>
      <c r="C187" s="12" t="s">
        <v>84</v>
      </c>
      <c r="D187" s="12" t="s">
        <v>85</v>
      </c>
      <c r="E187" s="12" t="s">
        <v>289</v>
      </c>
      <c r="F187" s="12" t="s">
        <v>36</v>
      </c>
      <c r="G187" s="12" t="n">
        <v>100</v>
      </c>
      <c r="H187" s="12" t="n">
        <v>100</v>
      </c>
      <c r="I187" s="12" t="s">
        <v>291</v>
      </c>
      <c r="J187" s="12" t="n">
        <v>6</v>
      </c>
      <c r="K187" s="12" t="n">
        <v>6</v>
      </c>
      <c r="L187" s="28" t="n">
        <v>1</v>
      </c>
      <c r="M187" s="12" t="n">
        <f aca="false">IF(L187=1,COUNTIFS($C$2:$C$1090,C187,$L$2:$L$1090,1),"")</f>
        <v>11</v>
      </c>
      <c r="N187" s="12" t="n">
        <f aca="false">IF(L187=1,1+COUNTIFS($C$2:$C$1090,C187,$L$2:$L$1090,1,$G$2:$G$1090,"&gt;"&amp;G187),"")</f>
        <v>1</v>
      </c>
      <c r="O187" s="12" t="n">
        <f aca="false">IF(L187=1,1+COUNTIFS($C$2:$C$1090,C187,$L$2:$L$1090,1,$H$2:$H$1090,"&gt;"&amp;H187),"")</f>
        <v>1</v>
      </c>
      <c r="P187" s="12" t="n">
        <f aca="false">IF(L187=1,N187-O187,"")</f>
        <v>0</v>
      </c>
      <c r="Q187" s="12" t="n">
        <f aca="false">INDEX(Directions!$D$2:$D$100,MATCH(C187,Directions!$A$2:$A$100,0))</f>
        <v>1</v>
      </c>
      <c r="R187" s="12" t="n">
        <f aca="false">IF(L187=1,P187*Q187,"")</f>
        <v>0</v>
      </c>
      <c r="S187" s="12" t="str">
        <f aca="false">IF(L187&lt;&gt;1,"Excluded",IF(Q187=0,"No direction",IF(R187&gt;0,"Better",IF(R187&lt;0,"Worse","No change"))))</f>
        <v>No change</v>
      </c>
      <c r="T187" s="12"/>
      <c r="U187" s="12" t="str">
        <f aca="false">C187&amp;"|"&amp;E187</f>
        <v>F1_17|JPN</v>
      </c>
    </row>
    <row r="188" customFormat="false" ht="15" hidden="false" customHeight="false" outlineLevel="0" collapsed="false">
      <c r="A188" s="12" t="n">
        <v>1</v>
      </c>
      <c r="B188" s="12" t="s">
        <v>42</v>
      </c>
      <c r="C188" s="12" t="s">
        <v>84</v>
      </c>
      <c r="D188" s="12" t="s">
        <v>85</v>
      </c>
      <c r="E188" s="12" t="s">
        <v>290</v>
      </c>
      <c r="F188" s="12" t="s">
        <v>37</v>
      </c>
      <c r="G188" s="12" t="n">
        <v>100</v>
      </c>
      <c r="H188" s="12" t="n">
        <v>100</v>
      </c>
      <c r="I188" s="12" t="s">
        <v>282</v>
      </c>
      <c r="J188" s="12" t="n">
        <v>7</v>
      </c>
      <c r="K188" s="12" t="n">
        <v>7</v>
      </c>
      <c r="L188" s="28" t="n">
        <v>1</v>
      </c>
      <c r="M188" s="12" t="n">
        <f aca="false">IF(L188=1,COUNTIFS($C$2:$C$1090,C188,$L$2:$L$1090,1),"")</f>
        <v>11</v>
      </c>
      <c r="N188" s="12" t="n">
        <f aca="false">IF(L188=1,1+COUNTIFS($C$2:$C$1090,C188,$L$2:$L$1090,1,$G$2:$G$1090,"&gt;"&amp;G188),"")</f>
        <v>1</v>
      </c>
      <c r="O188" s="12" t="n">
        <f aca="false">IF(L188=1,1+COUNTIFS($C$2:$C$1090,C188,$L$2:$L$1090,1,$H$2:$H$1090,"&gt;"&amp;H188),"")</f>
        <v>1</v>
      </c>
      <c r="P188" s="12" t="n">
        <f aca="false">IF(L188=1,N188-O188,"")</f>
        <v>0</v>
      </c>
      <c r="Q188" s="12" t="n">
        <f aca="false">INDEX(Directions!$D$2:$D$100,MATCH(C188,Directions!$A$2:$A$100,0))</f>
        <v>1</v>
      </c>
      <c r="R188" s="12" t="n">
        <f aca="false">IF(L188=1,P188*Q188,"")</f>
        <v>0</v>
      </c>
      <c r="S188" s="12" t="str">
        <f aca="false">IF(L188&lt;&gt;1,"Excluded",IF(Q188=0,"No direction",IF(R188&gt;0,"Better",IF(R188&lt;0,"Worse","No change"))))</f>
        <v>No change</v>
      </c>
      <c r="T188" s="12"/>
      <c r="U188" s="12" t="str">
        <f aca="false">C188&amp;"|"&amp;E188</f>
        <v>F1_17|AUS</v>
      </c>
    </row>
    <row r="189" customFormat="false" ht="15" hidden="false" customHeight="false" outlineLevel="0" collapsed="false">
      <c r="A189" s="12" t="n">
        <v>4</v>
      </c>
      <c r="B189" s="12" t="s">
        <v>39</v>
      </c>
      <c r="C189" s="12" t="s">
        <v>87</v>
      </c>
      <c r="D189" s="12" t="s">
        <v>88</v>
      </c>
      <c r="E189" s="12" t="s">
        <v>281</v>
      </c>
      <c r="F189" s="12" t="s">
        <v>27</v>
      </c>
      <c r="G189" s="12" t="n">
        <v>11.4</v>
      </c>
      <c r="H189" s="12" t="n">
        <v>7.4</v>
      </c>
      <c r="I189" s="12" t="s">
        <v>293</v>
      </c>
      <c r="J189" s="12" t="n">
        <v>10</v>
      </c>
      <c r="K189" s="12" t="n">
        <v>11</v>
      </c>
      <c r="L189" s="28" t="n">
        <v>1</v>
      </c>
      <c r="M189" s="12" t="n">
        <f aca="false">IF(L189=1,COUNTIFS($C$2:$C$1090,C189,$L$2:$L$1090,1),"")</f>
        <v>11</v>
      </c>
      <c r="N189" s="12" t="n">
        <f aca="false">IF(L189=1,1+COUNTIFS($C$2:$C$1090,C189,$L$2:$L$1090,1,$G$2:$G$1090,"&gt;"&amp;G189),"")</f>
        <v>10</v>
      </c>
      <c r="O189" s="12" t="n">
        <f aca="false">IF(L189=1,1+COUNTIFS($C$2:$C$1090,C189,$L$2:$L$1090,1,$H$2:$H$1090,"&gt;"&amp;H189),"")</f>
        <v>11</v>
      </c>
      <c r="P189" s="12" t="n">
        <f aca="false">IF(L189=1,N189-O189,"")</f>
        <v>-1</v>
      </c>
      <c r="Q189" s="12" t="n">
        <f aca="false">INDEX(Directions!$D$2:$D$100,MATCH(C189,Directions!$A$2:$A$100,0))</f>
        <v>-1</v>
      </c>
      <c r="R189" s="12" t="n">
        <f aca="false">IF(L189=1,P189*Q189,"")</f>
        <v>1</v>
      </c>
      <c r="S189" s="12" t="str">
        <f aca="false">IF(L189&lt;&gt;1,"Excluded",IF(Q189=0,"No direction",IF(R189&gt;0,"Better",IF(R189&lt;0,"Worse","No change"))))</f>
        <v>Better</v>
      </c>
      <c r="T189" s="12"/>
      <c r="U189" s="12" t="str">
        <f aca="false">C189&amp;"|"&amp;E189</f>
        <v>F4_01|USA</v>
      </c>
    </row>
    <row r="190" customFormat="false" ht="15" hidden="false" customHeight="false" outlineLevel="0" collapsed="false">
      <c r="A190" s="12" t="n">
        <v>4</v>
      </c>
      <c r="B190" s="12" t="s">
        <v>39</v>
      </c>
      <c r="C190" s="12" t="s">
        <v>87</v>
      </c>
      <c r="D190" s="12" t="s">
        <v>88</v>
      </c>
      <c r="E190" s="12" t="s">
        <v>283</v>
      </c>
      <c r="F190" s="12" t="s">
        <v>28</v>
      </c>
      <c r="G190" s="12" t="n">
        <v>16.1</v>
      </c>
      <c r="H190" s="12" t="n">
        <v>9.1</v>
      </c>
      <c r="I190" s="12" t="s">
        <v>293</v>
      </c>
      <c r="J190" s="12" t="n">
        <v>7</v>
      </c>
      <c r="K190" s="12" t="n">
        <v>7</v>
      </c>
      <c r="L190" s="28" t="n">
        <v>1</v>
      </c>
      <c r="M190" s="12" t="n">
        <f aca="false">IF(L190=1,COUNTIFS($C$2:$C$1090,C190,$L$2:$L$1090,1),"")</f>
        <v>11</v>
      </c>
      <c r="N190" s="12" t="n">
        <f aca="false">IF(L190=1,1+COUNTIFS($C$2:$C$1090,C190,$L$2:$L$1090,1,$G$2:$G$1090,"&gt;"&amp;G190),"")</f>
        <v>7</v>
      </c>
      <c r="O190" s="12" t="n">
        <f aca="false">IF(L190=1,1+COUNTIFS($C$2:$C$1090,C190,$L$2:$L$1090,1,$H$2:$H$1090,"&gt;"&amp;H190),"")</f>
        <v>7</v>
      </c>
      <c r="P190" s="12" t="n">
        <f aca="false">IF(L190=1,N190-O190,"")</f>
        <v>0</v>
      </c>
      <c r="Q190" s="12" t="n">
        <f aca="false">INDEX(Directions!$D$2:$D$100,MATCH(C190,Directions!$A$2:$A$100,0))</f>
        <v>-1</v>
      </c>
      <c r="R190" s="12" t="n">
        <f aca="false">IF(L190=1,P190*Q190,"")</f>
        <v>-0</v>
      </c>
      <c r="S190" s="12" t="str">
        <f aca="false">IF(L190&lt;&gt;1,"Excluded",IF(Q190=0,"No direction",IF(R190&gt;0,"Better",IF(R190&lt;0,"Worse","No change"))))</f>
        <v>No change</v>
      </c>
      <c r="T190" s="12"/>
      <c r="U190" s="12" t="str">
        <f aca="false">C190&amp;"|"&amp;E190</f>
        <v>F4_01|GBR</v>
      </c>
    </row>
    <row r="191" customFormat="false" ht="15" hidden="false" customHeight="false" outlineLevel="0" collapsed="false">
      <c r="A191" s="12" t="n">
        <v>4</v>
      </c>
      <c r="B191" s="12" t="s">
        <v>39</v>
      </c>
      <c r="C191" s="12" t="s">
        <v>87</v>
      </c>
      <c r="D191" s="12" t="s">
        <v>88</v>
      </c>
      <c r="E191" s="12" t="s">
        <v>284</v>
      </c>
      <c r="F191" s="12" t="s">
        <v>29</v>
      </c>
      <c r="G191" s="12" t="n">
        <v>20.9</v>
      </c>
      <c r="H191" s="12" t="n">
        <v>14</v>
      </c>
      <c r="I191" s="12" t="s">
        <v>282</v>
      </c>
      <c r="J191" s="12" t="n">
        <v>2</v>
      </c>
      <c r="K191" s="12" t="n">
        <v>4</v>
      </c>
      <c r="L191" s="28" t="n">
        <v>1</v>
      </c>
      <c r="M191" s="12" t="n">
        <f aca="false">IF(L191=1,COUNTIFS($C$2:$C$1090,C191,$L$2:$L$1090,1),"")</f>
        <v>11</v>
      </c>
      <c r="N191" s="12" t="n">
        <f aca="false">IF(L191=1,1+COUNTIFS($C$2:$C$1090,C191,$L$2:$L$1090,1,$G$2:$G$1090,"&gt;"&amp;G191),"")</f>
        <v>2</v>
      </c>
      <c r="O191" s="12" t="n">
        <f aca="false">IF(L191=1,1+COUNTIFS($C$2:$C$1090,C191,$L$2:$L$1090,1,$H$2:$H$1090,"&gt;"&amp;H191),"")</f>
        <v>4</v>
      </c>
      <c r="P191" s="12" t="n">
        <f aca="false">IF(L191=1,N191-O191,"")</f>
        <v>-2</v>
      </c>
      <c r="Q191" s="12" t="n">
        <f aca="false">INDEX(Directions!$D$2:$D$100,MATCH(C191,Directions!$A$2:$A$100,0))</f>
        <v>-1</v>
      </c>
      <c r="R191" s="12" t="n">
        <f aca="false">IF(L191=1,P191*Q191,"")</f>
        <v>2</v>
      </c>
      <c r="S191" s="12" t="str">
        <f aca="false">IF(L191&lt;&gt;1,"Excluded",IF(Q191=0,"No direction",IF(R191&gt;0,"Better",IF(R191&lt;0,"Worse","No change"))))</f>
        <v>Better</v>
      </c>
      <c r="T191" s="12"/>
      <c r="U191" s="12" t="str">
        <f aca="false">C191&amp;"|"&amp;E191</f>
        <v>F4_01|DEU</v>
      </c>
    </row>
    <row r="192" customFormat="false" ht="15" hidden="false" customHeight="false" outlineLevel="0" collapsed="false">
      <c r="A192" s="12" t="n">
        <v>4</v>
      </c>
      <c r="B192" s="12" t="s">
        <v>39</v>
      </c>
      <c r="C192" s="12" t="s">
        <v>87</v>
      </c>
      <c r="D192" s="12" t="s">
        <v>88</v>
      </c>
      <c r="E192" s="12" t="s">
        <v>285</v>
      </c>
      <c r="F192" s="12" t="s">
        <v>30</v>
      </c>
      <c r="G192" s="12" t="n">
        <v>11.2</v>
      </c>
      <c r="H192" s="12" t="n">
        <v>8.4</v>
      </c>
      <c r="I192" s="12" t="s">
        <v>282</v>
      </c>
      <c r="J192" s="12" t="n">
        <v>11</v>
      </c>
      <c r="K192" s="12" t="n">
        <v>9</v>
      </c>
      <c r="L192" s="28" t="n">
        <v>1</v>
      </c>
      <c r="M192" s="12" t="n">
        <f aca="false">IF(L192=1,COUNTIFS($C$2:$C$1090,C192,$L$2:$L$1090,1),"")</f>
        <v>11</v>
      </c>
      <c r="N192" s="12" t="n">
        <f aca="false">IF(L192=1,1+COUNTIFS($C$2:$C$1090,C192,$L$2:$L$1090,1,$G$2:$G$1090,"&gt;"&amp;G192),"")</f>
        <v>11</v>
      </c>
      <c r="O192" s="12" t="n">
        <f aca="false">IF(L192=1,1+COUNTIFS($C$2:$C$1090,C192,$L$2:$L$1090,1,$H$2:$H$1090,"&gt;"&amp;H192),"")</f>
        <v>9</v>
      </c>
      <c r="P192" s="12" t="n">
        <f aca="false">IF(L192=1,N192-O192,"")</f>
        <v>2</v>
      </c>
      <c r="Q192" s="12" t="n">
        <f aca="false">INDEX(Directions!$D$2:$D$100,MATCH(C192,Directions!$A$2:$A$100,0))</f>
        <v>-1</v>
      </c>
      <c r="R192" s="12" t="n">
        <f aca="false">IF(L192=1,P192*Q192,"")</f>
        <v>-2</v>
      </c>
      <c r="S192" s="12" t="str">
        <f aca="false">IF(L192&lt;&gt;1,"Excluded",IF(Q192=0,"No direction",IF(R192&gt;0,"Better",IF(R192&lt;0,"Worse","No change"))))</f>
        <v>Worse</v>
      </c>
      <c r="T192" s="12"/>
      <c r="U192" s="12" t="str">
        <f aca="false">C192&amp;"|"&amp;E192</f>
        <v>F4_01|SWE</v>
      </c>
    </row>
    <row r="193" customFormat="false" ht="15" hidden="false" customHeight="false" outlineLevel="0" collapsed="false">
      <c r="A193" s="12" t="n">
        <v>4</v>
      </c>
      <c r="B193" s="12" t="s">
        <v>39</v>
      </c>
      <c r="C193" s="12" t="s">
        <v>87</v>
      </c>
      <c r="D193" s="12" t="s">
        <v>88</v>
      </c>
      <c r="E193" s="12" t="s">
        <v>286</v>
      </c>
      <c r="F193" s="12" t="s">
        <v>31</v>
      </c>
      <c r="G193" s="12" t="n">
        <v>22.4</v>
      </c>
      <c r="H193" s="12" t="n">
        <v>18.2</v>
      </c>
      <c r="I193" s="12" t="s">
        <v>293</v>
      </c>
      <c r="J193" s="12" t="n">
        <v>1</v>
      </c>
      <c r="K193" s="12" t="n">
        <v>1</v>
      </c>
      <c r="L193" s="28" t="n">
        <v>1</v>
      </c>
      <c r="M193" s="12" t="n">
        <f aca="false">IF(L193=1,COUNTIFS($C$2:$C$1090,C193,$L$2:$L$1090,1),"")</f>
        <v>11</v>
      </c>
      <c r="N193" s="12" t="n">
        <f aca="false">IF(L193=1,1+COUNTIFS($C$2:$C$1090,C193,$L$2:$L$1090,1,$G$2:$G$1090,"&gt;"&amp;G193),"")</f>
        <v>1</v>
      </c>
      <c r="O193" s="12" t="n">
        <f aca="false">IF(L193=1,1+COUNTIFS($C$2:$C$1090,C193,$L$2:$L$1090,1,$H$2:$H$1090,"&gt;"&amp;H193),"")</f>
        <v>1</v>
      </c>
      <c r="P193" s="12" t="n">
        <f aca="false">IF(L193=1,N193-O193,"")</f>
        <v>0</v>
      </c>
      <c r="Q193" s="12" t="n">
        <f aca="false">INDEX(Directions!$D$2:$D$100,MATCH(C193,Directions!$A$2:$A$100,0))</f>
        <v>-1</v>
      </c>
      <c r="R193" s="12" t="n">
        <f aca="false">IF(L193=1,P193*Q193,"")</f>
        <v>-0</v>
      </c>
      <c r="S193" s="12" t="str">
        <f aca="false">IF(L193&lt;&gt;1,"Excluded",IF(Q193=0,"No direction",IF(R193&gt;0,"Better",IF(R193&lt;0,"Worse","No change"))))</f>
        <v>No change</v>
      </c>
      <c r="T193" s="12"/>
      <c r="U193" s="12" t="str">
        <f aca="false">C193&amp;"|"&amp;E193</f>
        <v>F4_01|FRA</v>
      </c>
    </row>
    <row r="194" customFormat="false" ht="15" hidden="false" customHeight="false" outlineLevel="0" collapsed="false">
      <c r="A194" s="12" t="n">
        <v>4</v>
      </c>
      <c r="B194" s="12" t="s">
        <v>39</v>
      </c>
      <c r="C194" s="12" t="s">
        <v>87</v>
      </c>
      <c r="D194" s="12" t="s">
        <v>88</v>
      </c>
      <c r="E194" s="12" t="s">
        <v>32</v>
      </c>
      <c r="F194" s="12" t="s">
        <v>32</v>
      </c>
      <c r="G194" s="12" t="n">
        <v>19</v>
      </c>
      <c r="H194" s="12" t="n">
        <v>12</v>
      </c>
      <c r="I194" s="12" t="s">
        <v>293</v>
      </c>
      <c r="J194" s="12" t="n">
        <v>4</v>
      </c>
      <c r="K194" s="12" t="n">
        <v>5</v>
      </c>
      <c r="L194" s="28" t="n">
        <v>1</v>
      </c>
      <c r="M194" s="12" t="n">
        <f aca="false">IF(L194=1,COUNTIFS($C$2:$C$1090,C194,$L$2:$L$1090,1),"")</f>
        <v>11</v>
      </c>
      <c r="N194" s="12" t="n">
        <f aca="false">IF(L194=1,1+COUNTIFS($C$2:$C$1090,C194,$L$2:$L$1090,1,$G$2:$G$1090,"&gt;"&amp;G194),"")</f>
        <v>4</v>
      </c>
      <c r="O194" s="12" t="n">
        <f aca="false">IF(L194=1,1+COUNTIFS($C$2:$C$1090,C194,$L$2:$L$1090,1,$H$2:$H$1090,"&gt;"&amp;H194),"")</f>
        <v>5</v>
      </c>
      <c r="P194" s="12" t="n">
        <f aca="false">IF(L194=1,N194-O194,"")</f>
        <v>-1</v>
      </c>
      <c r="Q194" s="12" t="n">
        <f aca="false">INDEX(Directions!$D$2:$D$100,MATCH(C194,Directions!$A$2:$A$100,0))</f>
        <v>-1</v>
      </c>
      <c r="R194" s="12" t="n">
        <f aca="false">IF(L194=1,P194*Q194,"")</f>
        <v>1</v>
      </c>
      <c r="S194" s="12" t="str">
        <f aca="false">IF(L194&lt;&gt;1,"Excluded",IF(Q194=0,"No direction",IF(R194&gt;0,"Better",IF(R194&lt;0,"Worse","No change"))))</f>
        <v>Better</v>
      </c>
      <c r="T194" s="12"/>
      <c r="U194" s="12" t="str">
        <f aca="false">C194&amp;"|"&amp;E194</f>
        <v>F4_01|NLD</v>
      </c>
    </row>
    <row r="195" customFormat="false" ht="15" hidden="false" customHeight="false" outlineLevel="0" collapsed="false">
      <c r="A195" s="12" t="n">
        <v>4</v>
      </c>
      <c r="B195" s="12" t="s">
        <v>39</v>
      </c>
      <c r="C195" s="12" t="s">
        <v>87</v>
      </c>
      <c r="D195" s="12" t="s">
        <v>88</v>
      </c>
      <c r="E195" s="12" t="s">
        <v>33</v>
      </c>
      <c r="F195" s="12" t="s">
        <v>33</v>
      </c>
      <c r="G195" s="12" t="n">
        <v>20.4</v>
      </c>
      <c r="H195" s="12" t="n">
        <v>16.1</v>
      </c>
      <c r="I195" s="12" t="s">
        <v>294</v>
      </c>
      <c r="J195" s="12" t="n">
        <v>3</v>
      </c>
      <c r="K195" s="12" t="n">
        <v>2</v>
      </c>
      <c r="L195" s="28" t="n">
        <v>1</v>
      </c>
      <c r="M195" s="12" t="n">
        <f aca="false">IF(L195=1,COUNTIFS($C$2:$C$1090,C195,$L$2:$L$1090,1),"")</f>
        <v>11</v>
      </c>
      <c r="N195" s="12" t="n">
        <f aca="false">IF(L195=1,1+COUNTIFS($C$2:$C$1090,C195,$L$2:$L$1090,1,$G$2:$G$1090,"&gt;"&amp;G195),"")</f>
        <v>3</v>
      </c>
      <c r="O195" s="12" t="n">
        <f aca="false">IF(L195=1,1+COUNTIFS($C$2:$C$1090,C195,$L$2:$L$1090,1,$H$2:$H$1090,"&gt;"&amp;H195),"")</f>
        <v>2</v>
      </c>
      <c r="P195" s="12" t="n">
        <f aca="false">IF(L195=1,N195-O195,"")</f>
        <v>1</v>
      </c>
      <c r="Q195" s="12" t="n">
        <f aca="false">INDEX(Directions!$D$2:$D$100,MATCH(C195,Directions!$A$2:$A$100,0))</f>
        <v>-1</v>
      </c>
      <c r="R195" s="12" t="n">
        <f aca="false">IF(L195=1,P195*Q195,"")</f>
        <v>-1</v>
      </c>
      <c r="S195" s="12" t="str">
        <f aca="false">IF(L195&lt;&gt;1,"Excluded",IF(Q195=0,"No direction",IF(R195&gt;0,"Better",IF(R195&lt;0,"Worse","No change"))))</f>
        <v>Worse</v>
      </c>
      <c r="T195" s="12"/>
      <c r="U195" s="12" t="str">
        <f aca="false">C195&amp;"|"&amp;E195</f>
        <v>F4_01|CHE</v>
      </c>
    </row>
    <row r="196" customFormat="false" ht="15" hidden="false" customHeight="false" outlineLevel="0" collapsed="false">
      <c r="A196" s="12" t="n">
        <v>4</v>
      </c>
      <c r="B196" s="12" t="s">
        <v>39</v>
      </c>
      <c r="C196" s="12" t="s">
        <v>87</v>
      </c>
      <c r="D196" s="12" t="s">
        <v>88</v>
      </c>
      <c r="E196" s="12" t="s">
        <v>287</v>
      </c>
      <c r="F196" s="12" t="s">
        <v>34</v>
      </c>
      <c r="G196" s="12" t="n">
        <v>17</v>
      </c>
      <c r="H196" s="12" t="n">
        <v>11</v>
      </c>
      <c r="I196" s="12" t="s">
        <v>293</v>
      </c>
      <c r="J196" s="12" t="n">
        <v>6</v>
      </c>
      <c r="K196" s="12" t="n">
        <v>6</v>
      </c>
      <c r="L196" s="28" t="n">
        <v>1</v>
      </c>
      <c r="M196" s="12" t="n">
        <f aca="false">IF(L196=1,COUNTIFS($C$2:$C$1090,C196,$L$2:$L$1090,1),"")</f>
        <v>11</v>
      </c>
      <c r="N196" s="12" t="n">
        <f aca="false">IF(L196=1,1+COUNTIFS($C$2:$C$1090,C196,$L$2:$L$1090,1,$G$2:$G$1090,"&gt;"&amp;G196),"")</f>
        <v>6</v>
      </c>
      <c r="O196" s="12" t="n">
        <f aca="false">IF(L196=1,1+COUNTIFS($C$2:$C$1090,C196,$L$2:$L$1090,1,$H$2:$H$1090,"&gt;"&amp;H196),"")</f>
        <v>6</v>
      </c>
      <c r="P196" s="12" t="n">
        <f aca="false">IF(L196=1,N196-O196,"")</f>
        <v>0</v>
      </c>
      <c r="Q196" s="12" t="n">
        <f aca="false">INDEX(Directions!$D$2:$D$100,MATCH(C196,Directions!$A$2:$A$100,0))</f>
        <v>-1</v>
      </c>
      <c r="R196" s="12" t="n">
        <f aca="false">IF(L196=1,P196*Q196,"")</f>
        <v>-0</v>
      </c>
      <c r="S196" s="12" t="str">
        <f aca="false">IF(L196&lt;&gt;1,"Excluded",IF(Q196=0,"No direction",IF(R196&gt;0,"Better",IF(R196&lt;0,"Worse","No change"))))</f>
        <v>No change</v>
      </c>
      <c r="T196" s="12"/>
      <c r="U196" s="12" t="str">
        <f aca="false">C196&amp;"|"&amp;E196</f>
        <v>F4_01|DNK</v>
      </c>
    </row>
    <row r="197" customFormat="false" ht="15" hidden="false" customHeight="false" outlineLevel="0" collapsed="false">
      <c r="A197" s="12" t="n">
        <v>4</v>
      </c>
      <c r="B197" s="12" t="s">
        <v>39</v>
      </c>
      <c r="C197" s="12" t="s">
        <v>87</v>
      </c>
      <c r="D197" s="12" t="s">
        <v>88</v>
      </c>
      <c r="E197" s="12" t="s">
        <v>288</v>
      </c>
      <c r="F197" s="12" t="s">
        <v>35</v>
      </c>
      <c r="G197" s="12" t="n">
        <v>14</v>
      </c>
      <c r="H197" s="12" t="n">
        <v>8.2</v>
      </c>
      <c r="I197" s="12" t="s">
        <v>293</v>
      </c>
      <c r="J197" s="12" t="n">
        <v>8</v>
      </c>
      <c r="K197" s="12" t="n">
        <v>10</v>
      </c>
      <c r="L197" s="28" t="n">
        <v>1</v>
      </c>
      <c r="M197" s="12" t="n">
        <f aca="false">IF(L197=1,COUNTIFS($C$2:$C$1090,C197,$L$2:$L$1090,1),"")</f>
        <v>11</v>
      </c>
      <c r="N197" s="12" t="n">
        <f aca="false">IF(L197=1,1+COUNTIFS($C$2:$C$1090,C197,$L$2:$L$1090,1,$G$2:$G$1090,"&gt;"&amp;G197),"")</f>
        <v>8</v>
      </c>
      <c r="O197" s="12" t="n">
        <f aca="false">IF(L197=1,1+COUNTIFS($C$2:$C$1090,C197,$L$2:$L$1090,1,$H$2:$H$1090,"&gt;"&amp;H197),"")</f>
        <v>10</v>
      </c>
      <c r="P197" s="12" t="n">
        <f aca="false">IF(L197=1,N197-O197,"")</f>
        <v>-2</v>
      </c>
      <c r="Q197" s="12" t="n">
        <f aca="false">INDEX(Directions!$D$2:$D$100,MATCH(C197,Directions!$A$2:$A$100,0))</f>
        <v>-1</v>
      </c>
      <c r="R197" s="12" t="n">
        <f aca="false">IF(L197=1,P197*Q197,"")</f>
        <v>2</v>
      </c>
      <c r="S197" s="12" t="str">
        <f aca="false">IF(L197&lt;&gt;1,"Excluded",IF(Q197=0,"No direction",IF(R197&gt;0,"Better",IF(R197&lt;0,"Worse","No change"))))</f>
        <v>Better</v>
      </c>
      <c r="T197" s="12"/>
      <c r="U197" s="12" t="str">
        <f aca="false">C197&amp;"|"&amp;E197</f>
        <v>F4_01|CAN</v>
      </c>
    </row>
    <row r="198" customFormat="false" ht="15" hidden="false" customHeight="false" outlineLevel="0" collapsed="false">
      <c r="A198" s="12" t="n">
        <v>4</v>
      </c>
      <c r="B198" s="12" t="s">
        <v>39</v>
      </c>
      <c r="C198" s="12" t="s">
        <v>87</v>
      </c>
      <c r="D198" s="12" t="s">
        <v>88</v>
      </c>
      <c r="E198" s="12" t="s">
        <v>289</v>
      </c>
      <c r="F198" s="12" t="s">
        <v>36</v>
      </c>
      <c r="G198" s="12" t="n">
        <v>18.2</v>
      </c>
      <c r="H198" s="12" t="n">
        <v>14.8</v>
      </c>
      <c r="I198" s="12" t="s">
        <v>293</v>
      </c>
      <c r="J198" s="12" t="n">
        <v>5</v>
      </c>
      <c r="K198" s="12" t="n">
        <v>3</v>
      </c>
      <c r="L198" s="28" t="n">
        <v>1</v>
      </c>
      <c r="M198" s="12" t="n">
        <f aca="false">IF(L198=1,COUNTIFS($C$2:$C$1090,C198,$L$2:$L$1090,1),"")</f>
        <v>11</v>
      </c>
      <c r="N198" s="12" t="n">
        <f aca="false">IF(L198=1,1+COUNTIFS($C$2:$C$1090,C198,$L$2:$L$1090,1,$G$2:$G$1090,"&gt;"&amp;G198),"")</f>
        <v>5</v>
      </c>
      <c r="O198" s="12" t="n">
        <f aca="false">IF(L198=1,1+COUNTIFS($C$2:$C$1090,C198,$L$2:$L$1090,1,$H$2:$H$1090,"&gt;"&amp;H198),"")</f>
        <v>3</v>
      </c>
      <c r="P198" s="12" t="n">
        <f aca="false">IF(L198=1,N198-O198,"")</f>
        <v>2</v>
      </c>
      <c r="Q198" s="12" t="n">
        <f aca="false">INDEX(Directions!$D$2:$D$100,MATCH(C198,Directions!$A$2:$A$100,0))</f>
        <v>-1</v>
      </c>
      <c r="R198" s="12" t="n">
        <f aca="false">IF(L198=1,P198*Q198,"")</f>
        <v>-2</v>
      </c>
      <c r="S198" s="12" t="str">
        <f aca="false">IF(L198&lt;&gt;1,"Excluded",IF(Q198=0,"No direction",IF(R198&gt;0,"Better",IF(R198&lt;0,"Worse","No change"))))</f>
        <v>Worse</v>
      </c>
      <c r="T198" s="12"/>
      <c r="U198" s="12" t="str">
        <f aca="false">C198&amp;"|"&amp;E198</f>
        <v>F4_01|JPN</v>
      </c>
    </row>
    <row r="199" customFormat="false" ht="15" hidden="false" customHeight="false" outlineLevel="0" collapsed="false">
      <c r="A199" s="12" t="n">
        <v>4</v>
      </c>
      <c r="B199" s="12" t="s">
        <v>39</v>
      </c>
      <c r="C199" s="12" t="s">
        <v>87</v>
      </c>
      <c r="D199" s="12" t="s">
        <v>88</v>
      </c>
      <c r="E199" s="12" t="s">
        <v>290</v>
      </c>
      <c r="F199" s="12" t="s">
        <v>37</v>
      </c>
      <c r="G199" s="12" t="n">
        <v>12.4</v>
      </c>
      <c r="H199" s="12" t="n">
        <v>8.5</v>
      </c>
      <c r="I199" s="12" t="s">
        <v>294</v>
      </c>
      <c r="J199" s="12" t="n">
        <v>9</v>
      </c>
      <c r="K199" s="12" t="n">
        <v>8</v>
      </c>
      <c r="L199" s="28" t="n">
        <v>1</v>
      </c>
      <c r="M199" s="12" t="n">
        <f aca="false">IF(L199=1,COUNTIFS($C$2:$C$1090,C199,$L$2:$L$1090,1),"")</f>
        <v>11</v>
      </c>
      <c r="N199" s="12" t="n">
        <f aca="false">IF(L199=1,1+COUNTIFS($C$2:$C$1090,C199,$L$2:$L$1090,1,$G$2:$G$1090,"&gt;"&amp;G199),"")</f>
        <v>9</v>
      </c>
      <c r="O199" s="12" t="n">
        <f aca="false">IF(L199=1,1+COUNTIFS($C$2:$C$1090,C199,$L$2:$L$1090,1,$H$2:$H$1090,"&gt;"&amp;H199),"")</f>
        <v>8</v>
      </c>
      <c r="P199" s="12" t="n">
        <f aca="false">IF(L199=1,N199-O199,"")</f>
        <v>1</v>
      </c>
      <c r="Q199" s="12" t="n">
        <f aca="false">INDEX(Directions!$D$2:$D$100,MATCH(C199,Directions!$A$2:$A$100,0))</f>
        <v>-1</v>
      </c>
      <c r="R199" s="12" t="n">
        <f aca="false">IF(L199=1,P199*Q199,"")</f>
        <v>-1</v>
      </c>
      <c r="S199" s="12" t="str">
        <f aca="false">IF(L199&lt;&gt;1,"Excluded",IF(Q199=0,"No direction",IF(R199&gt;0,"Better",IF(R199&lt;0,"Worse","No change"))))</f>
        <v>Worse</v>
      </c>
      <c r="T199" s="12"/>
      <c r="U199" s="12" t="str">
        <f aca="false">C199&amp;"|"&amp;E199</f>
        <v>F4_01|AUS</v>
      </c>
    </row>
    <row r="200" customFormat="false" ht="15" hidden="false" customHeight="false" outlineLevel="0" collapsed="false">
      <c r="A200" s="12" t="n">
        <v>4</v>
      </c>
      <c r="B200" s="12" t="s">
        <v>39</v>
      </c>
      <c r="C200" s="12" t="s">
        <v>90</v>
      </c>
      <c r="D200" s="12" t="s">
        <v>91</v>
      </c>
      <c r="E200" s="12" t="s">
        <v>281</v>
      </c>
      <c r="F200" s="12" t="s">
        <v>27</v>
      </c>
      <c r="G200" s="12" t="n">
        <v>8.8</v>
      </c>
      <c r="H200" s="12" t="n">
        <v>9.4</v>
      </c>
      <c r="I200" s="12" t="s">
        <v>291</v>
      </c>
      <c r="J200" s="12" t="n">
        <v>7</v>
      </c>
      <c r="K200" s="12" t="n">
        <v>4</v>
      </c>
      <c r="L200" s="28" t="n">
        <v>1</v>
      </c>
      <c r="M200" s="12" t="n">
        <f aca="false">IF(L200=1,COUNTIFS($C$2:$C$1090,C200,$L$2:$L$1090,1),"")</f>
        <v>11</v>
      </c>
      <c r="N200" s="12" t="n">
        <f aca="false">IF(L200=1,1+COUNTIFS($C$2:$C$1090,C200,$L$2:$L$1090,1,$G$2:$G$1090,"&gt;"&amp;G200),"")</f>
        <v>7</v>
      </c>
      <c r="O200" s="12" t="n">
        <f aca="false">IF(L200=1,1+COUNTIFS($C$2:$C$1090,C200,$L$2:$L$1090,1,$H$2:$H$1090,"&gt;"&amp;H200),"")</f>
        <v>4</v>
      </c>
      <c r="P200" s="12" t="n">
        <f aca="false">IF(L200=1,N200-O200,"")</f>
        <v>3</v>
      </c>
      <c r="Q200" s="12" t="n">
        <f aca="false">INDEX(Directions!$D$2:$D$100,MATCH(C200,Directions!$A$2:$A$100,0))</f>
        <v>-1</v>
      </c>
      <c r="R200" s="12" t="n">
        <f aca="false">IF(L200=1,P200*Q200,"")</f>
        <v>-3</v>
      </c>
      <c r="S200" s="12" t="str">
        <f aca="false">IF(L200&lt;&gt;1,"Excluded",IF(Q200=0,"No direction",IF(R200&gt;0,"Better",IF(R200&lt;0,"Worse","No change"))))</f>
        <v>Worse</v>
      </c>
      <c r="T200" s="12"/>
      <c r="U200" s="12" t="str">
        <f aca="false">C200&amp;"|"&amp;E200</f>
        <v>F4_02|USA</v>
      </c>
    </row>
    <row r="201" customFormat="false" ht="15" hidden="false" customHeight="false" outlineLevel="0" collapsed="false">
      <c r="A201" s="12" t="n">
        <v>4</v>
      </c>
      <c r="B201" s="12" t="s">
        <v>39</v>
      </c>
      <c r="C201" s="12" t="s">
        <v>90</v>
      </c>
      <c r="D201" s="12" t="s">
        <v>91</v>
      </c>
      <c r="E201" s="12" t="s">
        <v>283</v>
      </c>
      <c r="F201" s="12" t="s">
        <v>28</v>
      </c>
      <c r="G201" s="12" t="n">
        <v>9.5</v>
      </c>
      <c r="H201" s="12" t="n">
        <v>8.8</v>
      </c>
      <c r="I201" s="12" t="s">
        <v>293</v>
      </c>
      <c r="J201" s="12" t="n">
        <v>4</v>
      </c>
      <c r="K201" s="12" t="n">
        <v>6</v>
      </c>
      <c r="L201" s="28" t="n">
        <v>1</v>
      </c>
      <c r="M201" s="12" t="n">
        <f aca="false">IF(L201=1,COUNTIFS($C$2:$C$1090,C201,$L$2:$L$1090,1),"")</f>
        <v>11</v>
      </c>
      <c r="N201" s="12" t="n">
        <f aca="false">IF(L201=1,1+COUNTIFS($C$2:$C$1090,C201,$L$2:$L$1090,1,$G$2:$G$1090,"&gt;"&amp;G201),"")</f>
        <v>4</v>
      </c>
      <c r="O201" s="12" t="n">
        <f aca="false">IF(L201=1,1+COUNTIFS($C$2:$C$1090,C201,$L$2:$L$1090,1,$H$2:$H$1090,"&gt;"&amp;H201),"")</f>
        <v>6</v>
      </c>
      <c r="P201" s="12" t="n">
        <f aca="false">IF(L201=1,N201-O201,"")</f>
        <v>-2</v>
      </c>
      <c r="Q201" s="12" t="n">
        <f aca="false">INDEX(Directions!$D$2:$D$100,MATCH(C201,Directions!$A$2:$A$100,0))</f>
        <v>-1</v>
      </c>
      <c r="R201" s="12" t="n">
        <f aca="false">IF(L201=1,P201*Q201,"")</f>
        <v>2</v>
      </c>
      <c r="S201" s="12" t="str">
        <f aca="false">IF(L201&lt;&gt;1,"Excluded",IF(Q201=0,"No direction",IF(R201&gt;0,"Better",IF(R201&lt;0,"Worse","No change"))))</f>
        <v>Better</v>
      </c>
      <c r="T201" s="12"/>
      <c r="U201" s="12" t="str">
        <f aca="false">C201&amp;"|"&amp;E201</f>
        <v>F4_02|GBR</v>
      </c>
    </row>
    <row r="202" customFormat="false" ht="15" hidden="false" customHeight="false" outlineLevel="0" collapsed="false">
      <c r="A202" s="12" t="n">
        <v>4</v>
      </c>
      <c r="B202" s="12" t="s">
        <v>39</v>
      </c>
      <c r="C202" s="12" t="s">
        <v>90</v>
      </c>
      <c r="D202" s="12" t="s">
        <v>91</v>
      </c>
      <c r="E202" s="12" t="s">
        <v>284</v>
      </c>
      <c r="F202" s="12" t="s">
        <v>29</v>
      </c>
      <c r="G202" s="12" t="n">
        <v>11</v>
      </c>
      <c r="H202" s="12" t="n">
        <v>10.2</v>
      </c>
      <c r="I202" s="12" t="s">
        <v>291</v>
      </c>
      <c r="J202" s="12" t="n">
        <v>2</v>
      </c>
      <c r="K202" s="12" t="n">
        <v>1</v>
      </c>
      <c r="L202" s="28" t="n">
        <v>1</v>
      </c>
      <c r="M202" s="12" t="n">
        <f aca="false">IF(L202=1,COUNTIFS($C$2:$C$1090,C202,$L$2:$L$1090,1),"")</f>
        <v>11</v>
      </c>
      <c r="N202" s="12" t="n">
        <f aca="false">IF(L202=1,1+COUNTIFS($C$2:$C$1090,C202,$L$2:$L$1090,1,$G$2:$G$1090,"&gt;"&amp;G202),"")</f>
        <v>2</v>
      </c>
      <c r="O202" s="12" t="n">
        <f aca="false">IF(L202=1,1+COUNTIFS($C$2:$C$1090,C202,$L$2:$L$1090,1,$H$2:$H$1090,"&gt;"&amp;H202),"")</f>
        <v>1</v>
      </c>
      <c r="P202" s="12" t="n">
        <f aca="false">IF(L202=1,N202-O202,"")</f>
        <v>1</v>
      </c>
      <c r="Q202" s="12" t="n">
        <f aca="false">INDEX(Directions!$D$2:$D$100,MATCH(C202,Directions!$A$2:$A$100,0))</f>
        <v>-1</v>
      </c>
      <c r="R202" s="12" t="n">
        <f aca="false">IF(L202=1,P202*Q202,"")</f>
        <v>-1</v>
      </c>
      <c r="S202" s="12" t="str">
        <f aca="false">IF(L202&lt;&gt;1,"Excluded",IF(Q202=0,"No direction",IF(R202&gt;0,"Better",IF(R202&lt;0,"Worse","No change"))))</f>
        <v>Worse</v>
      </c>
      <c r="T202" s="12"/>
      <c r="U202" s="12" t="str">
        <f aca="false">C202&amp;"|"&amp;E202</f>
        <v>F4_02|DEU</v>
      </c>
    </row>
    <row r="203" customFormat="false" ht="15" hidden="false" customHeight="false" outlineLevel="0" collapsed="false">
      <c r="A203" s="12" t="n">
        <v>4</v>
      </c>
      <c r="B203" s="12" t="s">
        <v>39</v>
      </c>
      <c r="C203" s="12" t="s">
        <v>90</v>
      </c>
      <c r="D203" s="12" t="s">
        <v>91</v>
      </c>
      <c r="E203" s="12" t="s">
        <v>285</v>
      </c>
      <c r="F203" s="12" t="s">
        <v>30</v>
      </c>
      <c r="G203" s="12" t="n">
        <v>7.2</v>
      </c>
      <c r="H203" s="12" t="n">
        <v>7.3</v>
      </c>
      <c r="I203" s="12" t="s">
        <v>293</v>
      </c>
      <c r="J203" s="12" t="n">
        <v>10</v>
      </c>
      <c r="K203" s="12" t="n">
        <v>9</v>
      </c>
      <c r="L203" s="28" t="n">
        <v>1</v>
      </c>
      <c r="M203" s="12" t="n">
        <f aca="false">IF(L203=1,COUNTIFS($C$2:$C$1090,C203,$L$2:$L$1090,1),"")</f>
        <v>11</v>
      </c>
      <c r="N203" s="12" t="n">
        <f aca="false">IF(L203=1,1+COUNTIFS($C$2:$C$1090,C203,$L$2:$L$1090,1,$G$2:$G$1090,"&gt;"&amp;G203),"")</f>
        <v>10</v>
      </c>
      <c r="O203" s="12" t="n">
        <f aca="false">IF(L203=1,1+COUNTIFS($C$2:$C$1090,C203,$L$2:$L$1090,1,$H$2:$H$1090,"&gt;"&amp;H203),"")</f>
        <v>9</v>
      </c>
      <c r="P203" s="12" t="n">
        <f aca="false">IF(L203=1,N203-O203,"")</f>
        <v>1</v>
      </c>
      <c r="Q203" s="12" t="n">
        <f aca="false">INDEX(Directions!$D$2:$D$100,MATCH(C203,Directions!$A$2:$A$100,0))</f>
        <v>-1</v>
      </c>
      <c r="R203" s="12" t="n">
        <f aca="false">IF(L203=1,P203*Q203,"")</f>
        <v>-1</v>
      </c>
      <c r="S203" s="12" t="str">
        <f aca="false">IF(L203&lt;&gt;1,"Excluded",IF(Q203=0,"No direction",IF(R203&gt;0,"Better",IF(R203&lt;0,"Worse","No change"))))</f>
        <v>Worse</v>
      </c>
      <c r="T203" s="12"/>
      <c r="U203" s="12" t="str">
        <f aca="false">C203&amp;"|"&amp;E203</f>
        <v>F4_02|SWE</v>
      </c>
    </row>
    <row r="204" customFormat="false" ht="15" hidden="false" customHeight="false" outlineLevel="0" collapsed="false">
      <c r="A204" s="12" t="n">
        <v>4</v>
      </c>
      <c r="B204" s="12" t="s">
        <v>39</v>
      </c>
      <c r="C204" s="12" t="s">
        <v>90</v>
      </c>
      <c r="D204" s="12" t="s">
        <v>91</v>
      </c>
      <c r="E204" s="12" t="s">
        <v>286</v>
      </c>
      <c r="F204" s="12" t="s">
        <v>31</v>
      </c>
      <c r="G204" s="12" t="n">
        <v>11.9</v>
      </c>
      <c r="H204" s="12" t="n">
        <v>9.8</v>
      </c>
      <c r="I204" s="12" t="s">
        <v>293</v>
      </c>
      <c r="J204" s="12" t="n">
        <v>1</v>
      </c>
      <c r="K204" s="12" t="n">
        <v>2</v>
      </c>
      <c r="L204" s="28" t="n">
        <v>1</v>
      </c>
      <c r="M204" s="12" t="n">
        <f aca="false">IF(L204=1,COUNTIFS($C$2:$C$1090,C204,$L$2:$L$1090,1),"")</f>
        <v>11</v>
      </c>
      <c r="N204" s="12" t="n">
        <f aca="false">IF(L204=1,1+COUNTIFS($C$2:$C$1090,C204,$L$2:$L$1090,1,$G$2:$G$1090,"&gt;"&amp;G204),"")</f>
        <v>1</v>
      </c>
      <c r="O204" s="12" t="n">
        <f aca="false">IF(L204=1,1+COUNTIFS($C$2:$C$1090,C204,$L$2:$L$1090,1,$H$2:$H$1090,"&gt;"&amp;H204),"")</f>
        <v>2</v>
      </c>
      <c r="P204" s="12" t="n">
        <f aca="false">IF(L204=1,N204-O204,"")</f>
        <v>-1</v>
      </c>
      <c r="Q204" s="12" t="n">
        <f aca="false">INDEX(Directions!$D$2:$D$100,MATCH(C204,Directions!$A$2:$A$100,0))</f>
        <v>-1</v>
      </c>
      <c r="R204" s="12" t="n">
        <f aca="false">IF(L204=1,P204*Q204,"")</f>
        <v>1</v>
      </c>
      <c r="S204" s="12" t="str">
        <f aca="false">IF(L204&lt;&gt;1,"Excluded",IF(Q204=0,"No direction",IF(R204&gt;0,"Better",IF(R204&lt;0,"Worse","No change"))))</f>
        <v>Better</v>
      </c>
      <c r="T204" s="12"/>
      <c r="U204" s="12" t="str">
        <f aca="false">C204&amp;"|"&amp;E204</f>
        <v>F4_02|FRA</v>
      </c>
    </row>
    <row r="205" customFormat="false" ht="15" hidden="false" customHeight="false" outlineLevel="0" collapsed="false">
      <c r="A205" s="12" t="n">
        <v>4</v>
      </c>
      <c r="B205" s="12" t="s">
        <v>39</v>
      </c>
      <c r="C205" s="12" t="s">
        <v>90</v>
      </c>
      <c r="D205" s="12" t="s">
        <v>91</v>
      </c>
      <c r="E205" s="12" t="s">
        <v>32</v>
      </c>
      <c r="F205" s="12" t="s">
        <v>32</v>
      </c>
      <c r="G205" s="12" t="n">
        <v>8</v>
      </c>
      <c r="H205" s="12" t="n">
        <v>7.3</v>
      </c>
      <c r="I205" s="12" t="s">
        <v>293</v>
      </c>
      <c r="J205" s="12" t="n">
        <v>9</v>
      </c>
      <c r="K205" s="12" t="n">
        <v>10</v>
      </c>
      <c r="L205" s="28" t="n">
        <v>1</v>
      </c>
      <c r="M205" s="12" t="n">
        <f aca="false">IF(L205=1,COUNTIFS($C$2:$C$1090,C205,$L$2:$L$1090,1),"")</f>
        <v>11</v>
      </c>
      <c r="N205" s="12" t="n">
        <f aca="false">IF(L205=1,1+COUNTIFS($C$2:$C$1090,C205,$L$2:$L$1090,1,$G$2:$G$1090,"&gt;"&amp;G205),"")</f>
        <v>9</v>
      </c>
      <c r="O205" s="12" t="n">
        <f aca="false">IF(L205=1,1+COUNTIFS($C$2:$C$1090,C205,$L$2:$L$1090,1,$H$2:$H$1090,"&gt;"&amp;H205),"")</f>
        <v>9</v>
      </c>
      <c r="P205" s="12" t="n">
        <f aca="false">IF(L205=1,N205-O205,"")</f>
        <v>0</v>
      </c>
      <c r="Q205" s="12" t="n">
        <f aca="false">INDEX(Directions!$D$2:$D$100,MATCH(C205,Directions!$A$2:$A$100,0))</f>
        <v>-1</v>
      </c>
      <c r="R205" s="12" t="n">
        <f aca="false">IF(L205=1,P205*Q205,"")</f>
        <v>-0</v>
      </c>
      <c r="S205" s="12" t="str">
        <f aca="false">IF(L205&lt;&gt;1,"Excluded",IF(Q205=0,"No direction",IF(R205&gt;0,"Better",IF(R205&lt;0,"Worse","No change"))))</f>
        <v>No change</v>
      </c>
      <c r="T205" s="12"/>
      <c r="U205" s="12" t="str">
        <f aca="false">C205&amp;"|"&amp;E205</f>
        <v>F4_02|NLD</v>
      </c>
    </row>
    <row r="206" customFormat="false" ht="15" hidden="false" customHeight="false" outlineLevel="0" collapsed="false">
      <c r="A206" s="12" t="n">
        <v>4</v>
      </c>
      <c r="B206" s="12" t="s">
        <v>39</v>
      </c>
      <c r="C206" s="12" t="s">
        <v>90</v>
      </c>
      <c r="D206" s="12" t="s">
        <v>91</v>
      </c>
      <c r="E206" s="12" t="s">
        <v>33</v>
      </c>
      <c r="F206" s="12" t="s">
        <v>33</v>
      </c>
      <c r="G206" s="12" t="n">
        <v>9.5</v>
      </c>
      <c r="H206" s="12" t="n">
        <v>7.6</v>
      </c>
      <c r="I206" s="12" t="s">
        <v>293</v>
      </c>
      <c r="J206" s="12" t="n">
        <v>5</v>
      </c>
      <c r="K206" s="12" t="n">
        <v>8</v>
      </c>
      <c r="L206" s="28" t="n">
        <v>1</v>
      </c>
      <c r="M206" s="12" t="n">
        <f aca="false">IF(L206=1,COUNTIFS($C$2:$C$1090,C206,$L$2:$L$1090,1),"")</f>
        <v>11</v>
      </c>
      <c r="N206" s="12" t="n">
        <f aca="false">IF(L206=1,1+COUNTIFS($C$2:$C$1090,C206,$L$2:$L$1090,1,$G$2:$G$1090,"&gt;"&amp;G206),"")</f>
        <v>4</v>
      </c>
      <c r="O206" s="12" t="n">
        <f aca="false">IF(L206=1,1+COUNTIFS($C$2:$C$1090,C206,$L$2:$L$1090,1,$H$2:$H$1090,"&gt;"&amp;H206),"")</f>
        <v>8</v>
      </c>
      <c r="P206" s="12" t="n">
        <f aca="false">IF(L206=1,N206-O206,"")</f>
        <v>-4</v>
      </c>
      <c r="Q206" s="12" t="n">
        <f aca="false">INDEX(Directions!$D$2:$D$100,MATCH(C206,Directions!$A$2:$A$100,0))</f>
        <v>-1</v>
      </c>
      <c r="R206" s="12" t="n">
        <f aca="false">IF(L206=1,P206*Q206,"")</f>
        <v>4</v>
      </c>
      <c r="S206" s="12" t="str">
        <f aca="false">IF(L206&lt;&gt;1,"Excluded",IF(Q206=0,"No direction",IF(R206&gt;0,"Better",IF(R206&lt;0,"Worse","No change"))))</f>
        <v>Better</v>
      </c>
      <c r="T206" s="12"/>
      <c r="U206" s="12" t="str">
        <f aca="false">C206&amp;"|"&amp;E206</f>
        <v>F4_02|CHE</v>
      </c>
    </row>
    <row r="207" customFormat="false" ht="15" hidden="false" customHeight="false" outlineLevel="0" collapsed="false">
      <c r="A207" s="12" t="n">
        <v>4</v>
      </c>
      <c r="B207" s="12" t="s">
        <v>39</v>
      </c>
      <c r="C207" s="12" t="s">
        <v>90</v>
      </c>
      <c r="D207" s="12" t="s">
        <v>91</v>
      </c>
      <c r="E207" s="12" t="s">
        <v>287</v>
      </c>
      <c r="F207" s="12" t="s">
        <v>34</v>
      </c>
      <c r="G207" s="12" t="n">
        <v>9.4</v>
      </c>
      <c r="H207" s="12" t="n">
        <v>9.1</v>
      </c>
      <c r="I207" s="12" t="s">
        <v>293</v>
      </c>
      <c r="J207" s="12" t="n">
        <v>6</v>
      </c>
      <c r="K207" s="12" t="n">
        <v>5</v>
      </c>
      <c r="L207" s="28" t="n">
        <v>1</v>
      </c>
      <c r="M207" s="12" t="n">
        <f aca="false">IF(L207=1,COUNTIFS($C$2:$C$1090,C207,$L$2:$L$1090,1),"")</f>
        <v>11</v>
      </c>
      <c r="N207" s="12" t="n">
        <f aca="false">IF(L207=1,1+COUNTIFS($C$2:$C$1090,C207,$L$2:$L$1090,1,$G$2:$G$1090,"&gt;"&amp;G207),"")</f>
        <v>6</v>
      </c>
      <c r="O207" s="12" t="n">
        <f aca="false">IF(L207=1,1+COUNTIFS($C$2:$C$1090,C207,$L$2:$L$1090,1,$H$2:$H$1090,"&gt;"&amp;H207),"")</f>
        <v>5</v>
      </c>
      <c r="P207" s="12" t="n">
        <f aca="false">IF(L207=1,N207-O207,"")</f>
        <v>1</v>
      </c>
      <c r="Q207" s="12" t="n">
        <f aca="false">INDEX(Directions!$D$2:$D$100,MATCH(C207,Directions!$A$2:$A$100,0))</f>
        <v>-1</v>
      </c>
      <c r="R207" s="12" t="n">
        <f aca="false">IF(L207=1,P207*Q207,"")</f>
        <v>-1</v>
      </c>
      <c r="S207" s="12" t="str">
        <f aca="false">IF(L207&lt;&gt;1,"Excluded",IF(Q207=0,"No direction",IF(R207&gt;0,"Better",IF(R207&lt;0,"Worse","No change"))))</f>
        <v>Worse</v>
      </c>
      <c r="T207" s="12"/>
      <c r="U207" s="12" t="str">
        <f aca="false">C207&amp;"|"&amp;E207</f>
        <v>F4_02|DNK</v>
      </c>
    </row>
    <row r="208" customFormat="false" ht="15" hidden="false" customHeight="false" outlineLevel="0" collapsed="false">
      <c r="A208" s="12" t="n">
        <v>4</v>
      </c>
      <c r="B208" s="12" t="s">
        <v>39</v>
      </c>
      <c r="C208" s="12" t="s">
        <v>90</v>
      </c>
      <c r="D208" s="12" t="s">
        <v>91</v>
      </c>
      <c r="E208" s="12" t="s">
        <v>288</v>
      </c>
      <c r="F208" s="12" t="s">
        <v>35</v>
      </c>
      <c r="G208" s="12" t="n">
        <v>8.1</v>
      </c>
      <c r="H208" s="12" t="n">
        <v>8.1</v>
      </c>
      <c r="I208" s="12" t="s">
        <v>294</v>
      </c>
      <c r="J208" s="12" t="n">
        <v>8</v>
      </c>
      <c r="K208" s="12" t="n">
        <v>7</v>
      </c>
      <c r="L208" s="28" t="n">
        <v>1</v>
      </c>
      <c r="M208" s="12" t="n">
        <f aca="false">IF(L208=1,COUNTIFS($C$2:$C$1090,C208,$L$2:$L$1090,1),"")</f>
        <v>11</v>
      </c>
      <c r="N208" s="12" t="n">
        <f aca="false">IF(L208=1,1+COUNTIFS($C$2:$C$1090,C208,$L$2:$L$1090,1,$G$2:$G$1090,"&gt;"&amp;G208),"")</f>
        <v>8</v>
      </c>
      <c r="O208" s="12" t="n">
        <f aca="false">IF(L208=1,1+COUNTIFS($C$2:$C$1090,C208,$L$2:$L$1090,1,$H$2:$H$1090,"&gt;"&amp;H208),"")</f>
        <v>7</v>
      </c>
      <c r="P208" s="12" t="n">
        <f aca="false">IF(L208=1,N208-O208,"")</f>
        <v>1</v>
      </c>
      <c r="Q208" s="12" t="n">
        <f aca="false">INDEX(Directions!$D$2:$D$100,MATCH(C208,Directions!$A$2:$A$100,0))</f>
        <v>-1</v>
      </c>
      <c r="R208" s="12" t="n">
        <f aca="false">IF(L208=1,P208*Q208,"")</f>
        <v>-1</v>
      </c>
      <c r="S208" s="12" t="str">
        <f aca="false">IF(L208&lt;&gt;1,"Excluded",IF(Q208=0,"No direction",IF(R208&gt;0,"Better",IF(R208&lt;0,"Worse","No change"))))</f>
        <v>Worse</v>
      </c>
      <c r="T208" s="12"/>
      <c r="U208" s="12" t="str">
        <f aca="false">C208&amp;"|"&amp;E208</f>
        <v>F4_02|CAN</v>
      </c>
    </row>
    <row r="209" customFormat="false" ht="15" hidden="false" customHeight="false" outlineLevel="0" collapsed="false">
      <c r="A209" s="12" t="n">
        <v>4</v>
      </c>
      <c r="B209" s="12" t="s">
        <v>39</v>
      </c>
      <c r="C209" s="12" t="s">
        <v>90</v>
      </c>
      <c r="D209" s="12" t="s">
        <v>91</v>
      </c>
      <c r="E209" s="12" t="s">
        <v>289</v>
      </c>
      <c r="F209" s="12" t="s">
        <v>36</v>
      </c>
      <c r="G209" s="12" t="n">
        <v>7.2</v>
      </c>
      <c r="H209" s="12" t="n">
        <v>6.7</v>
      </c>
      <c r="I209" s="12" t="s">
        <v>293</v>
      </c>
      <c r="J209" s="12" t="n">
        <v>11</v>
      </c>
      <c r="K209" s="12" t="n">
        <v>11</v>
      </c>
      <c r="L209" s="28" t="n">
        <v>1</v>
      </c>
      <c r="M209" s="12" t="n">
        <f aca="false">IF(L209=1,COUNTIFS($C$2:$C$1090,C209,$L$2:$L$1090,1),"")</f>
        <v>11</v>
      </c>
      <c r="N209" s="12" t="n">
        <f aca="false">IF(L209=1,1+COUNTIFS($C$2:$C$1090,C209,$L$2:$L$1090,1,$G$2:$G$1090,"&gt;"&amp;G209),"")</f>
        <v>10</v>
      </c>
      <c r="O209" s="12" t="n">
        <f aca="false">IF(L209=1,1+COUNTIFS($C$2:$C$1090,C209,$L$2:$L$1090,1,$H$2:$H$1090,"&gt;"&amp;H209),"")</f>
        <v>11</v>
      </c>
      <c r="P209" s="12" t="n">
        <f aca="false">IF(L209=1,N209-O209,"")</f>
        <v>-1</v>
      </c>
      <c r="Q209" s="12" t="n">
        <f aca="false">INDEX(Directions!$D$2:$D$100,MATCH(C209,Directions!$A$2:$A$100,0))</f>
        <v>-1</v>
      </c>
      <c r="R209" s="12" t="n">
        <f aca="false">IF(L209=1,P209*Q209,"")</f>
        <v>1</v>
      </c>
      <c r="S209" s="12" t="str">
        <f aca="false">IF(L209&lt;&gt;1,"Excluded",IF(Q209=0,"No direction",IF(R209&gt;0,"Better",IF(R209&lt;0,"Worse","No change"))))</f>
        <v>Better</v>
      </c>
      <c r="T209" s="12"/>
      <c r="U209" s="12" t="str">
        <f aca="false">C209&amp;"|"&amp;E209</f>
        <v>F4_02|JPN</v>
      </c>
    </row>
    <row r="210" customFormat="false" ht="15" hidden="false" customHeight="false" outlineLevel="0" collapsed="false">
      <c r="A210" s="12" t="n">
        <v>4</v>
      </c>
      <c r="B210" s="12" t="s">
        <v>39</v>
      </c>
      <c r="C210" s="12" t="s">
        <v>90</v>
      </c>
      <c r="D210" s="12" t="s">
        <v>91</v>
      </c>
      <c r="E210" s="12" t="s">
        <v>290</v>
      </c>
      <c r="F210" s="12" t="s">
        <v>37</v>
      </c>
      <c r="G210" s="12" t="n">
        <v>9.7</v>
      </c>
      <c r="H210" s="12" t="n">
        <v>9.8</v>
      </c>
      <c r="I210" s="12" t="s">
        <v>291</v>
      </c>
      <c r="J210" s="12" t="n">
        <v>3</v>
      </c>
      <c r="K210" s="12" t="n">
        <v>3</v>
      </c>
      <c r="L210" s="28" t="n">
        <v>1</v>
      </c>
      <c r="M210" s="12" t="n">
        <f aca="false">IF(L210=1,COUNTIFS($C$2:$C$1090,C210,$L$2:$L$1090,1),"")</f>
        <v>11</v>
      </c>
      <c r="N210" s="12" t="n">
        <f aca="false">IF(L210=1,1+COUNTIFS($C$2:$C$1090,C210,$L$2:$L$1090,1,$G$2:$G$1090,"&gt;"&amp;G210),"")</f>
        <v>3</v>
      </c>
      <c r="O210" s="12" t="n">
        <f aca="false">IF(L210=1,1+COUNTIFS($C$2:$C$1090,C210,$L$2:$L$1090,1,$H$2:$H$1090,"&gt;"&amp;H210),"")</f>
        <v>2</v>
      </c>
      <c r="P210" s="12" t="n">
        <f aca="false">IF(L210=1,N210-O210,"")</f>
        <v>1</v>
      </c>
      <c r="Q210" s="12" t="n">
        <f aca="false">INDEX(Directions!$D$2:$D$100,MATCH(C210,Directions!$A$2:$A$100,0))</f>
        <v>-1</v>
      </c>
      <c r="R210" s="12" t="n">
        <f aca="false">IF(L210=1,P210*Q210,"")</f>
        <v>-1</v>
      </c>
      <c r="S210" s="12" t="str">
        <f aca="false">IF(L210&lt;&gt;1,"Excluded",IF(Q210=0,"No direction",IF(R210&gt;0,"Better",IF(R210&lt;0,"Worse","No change"))))</f>
        <v>Worse</v>
      </c>
      <c r="T210" s="12"/>
      <c r="U210" s="12" t="str">
        <f aca="false">C210&amp;"|"&amp;E210</f>
        <v>F4_02|AUS</v>
      </c>
    </row>
    <row r="211" customFormat="false" ht="15" hidden="false" customHeight="false" outlineLevel="0" collapsed="false">
      <c r="A211" s="12" t="n">
        <v>4</v>
      </c>
      <c r="B211" s="12" t="s">
        <v>39</v>
      </c>
      <c r="C211" s="12" t="s">
        <v>92</v>
      </c>
      <c r="D211" s="12" t="s">
        <v>93</v>
      </c>
      <c r="E211" s="12" t="s">
        <v>281</v>
      </c>
      <c r="F211" s="12" t="s">
        <v>27</v>
      </c>
      <c r="G211" s="12" t="n">
        <v>70.1</v>
      </c>
      <c r="H211" s="12" t="n">
        <v>72.2</v>
      </c>
      <c r="I211" s="12" t="s">
        <v>291</v>
      </c>
      <c r="J211" s="12" t="n">
        <v>1</v>
      </c>
      <c r="K211" s="12" t="n">
        <v>1</v>
      </c>
      <c r="L211" s="28" t="n">
        <v>1</v>
      </c>
      <c r="M211" s="12" t="n">
        <f aca="false">IF(L211=1,COUNTIFS($C$2:$C$1090,C211,$L$2:$L$1090,1),"")</f>
        <v>10</v>
      </c>
      <c r="N211" s="12" t="n">
        <f aca="false">IF(L211=1,1+COUNTIFS($C$2:$C$1090,C211,$L$2:$L$1090,1,$G$2:$G$1090,"&gt;"&amp;G211),"")</f>
        <v>1</v>
      </c>
      <c r="O211" s="12" t="n">
        <f aca="false">IF(L211=1,1+COUNTIFS($C$2:$C$1090,C211,$L$2:$L$1090,1,$H$2:$H$1090,"&gt;"&amp;H211),"")</f>
        <v>1</v>
      </c>
      <c r="P211" s="12" t="n">
        <f aca="false">IF(L211=1,N211-O211,"")</f>
        <v>0</v>
      </c>
      <c r="Q211" s="12" t="n">
        <f aca="false">INDEX(Directions!$D$2:$D$100,MATCH(C211,Directions!$A$2:$A$100,0))</f>
        <v>-1</v>
      </c>
      <c r="R211" s="12" t="n">
        <f aca="false">IF(L211=1,P211*Q211,"")</f>
        <v>-0</v>
      </c>
      <c r="S211" s="12" t="str">
        <f aca="false">IF(L211&lt;&gt;1,"Excluded",IF(Q211=0,"No direction",IF(R211&gt;0,"Better",IF(R211&lt;0,"Worse","No change"))))</f>
        <v>No change</v>
      </c>
      <c r="T211" s="12"/>
      <c r="U211" s="12" t="str">
        <f aca="false">C211&amp;"|"&amp;E211</f>
        <v>F4_03|USA</v>
      </c>
    </row>
    <row r="212" customFormat="false" ht="15" hidden="false" customHeight="false" outlineLevel="0" collapsed="false">
      <c r="A212" s="12" t="n">
        <v>4</v>
      </c>
      <c r="B212" s="12" t="s">
        <v>39</v>
      </c>
      <c r="C212" s="12" t="s">
        <v>92</v>
      </c>
      <c r="D212" s="12" t="s">
        <v>93</v>
      </c>
      <c r="E212" s="12" t="s">
        <v>283</v>
      </c>
      <c r="F212" s="12" t="s">
        <v>28</v>
      </c>
      <c r="G212" s="12" t="n">
        <v>62.9</v>
      </c>
      <c r="H212" s="12" t="n">
        <v>64.2</v>
      </c>
      <c r="I212" s="12" t="s">
        <v>305</v>
      </c>
      <c r="J212" s="12" t="n">
        <v>3</v>
      </c>
      <c r="K212" s="12" t="n">
        <v>2</v>
      </c>
      <c r="L212" s="28" t="n">
        <v>1</v>
      </c>
      <c r="M212" s="12" t="n">
        <f aca="false">IF(L212=1,COUNTIFS($C$2:$C$1090,C212,$L$2:$L$1090,1),"")</f>
        <v>10</v>
      </c>
      <c r="N212" s="12" t="n">
        <f aca="false">IF(L212=1,1+COUNTIFS($C$2:$C$1090,C212,$L$2:$L$1090,1,$G$2:$G$1090,"&gt;"&amp;G212),"")</f>
        <v>3</v>
      </c>
      <c r="O212" s="12" t="n">
        <f aca="false">IF(L212=1,1+COUNTIFS($C$2:$C$1090,C212,$L$2:$L$1090,1,$H$2:$H$1090,"&gt;"&amp;H212),"")</f>
        <v>2</v>
      </c>
      <c r="P212" s="12" t="n">
        <f aca="false">IF(L212=1,N212-O212,"")</f>
        <v>1</v>
      </c>
      <c r="Q212" s="12" t="n">
        <f aca="false">INDEX(Directions!$D$2:$D$100,MATCH(C212,Directions!$A$2:$A$100,0))</f>
        <v>-1</v>
      </c>
      <c r="R212" s="12" t="n">
        <f aca="false">IF(L212=1,P212*Q212,"")</f>
        <v>-1</v>
      </c>
      <c r="S212" s="12" t="str">
        <f aca="false">IF(L212&lt;&gt;1,"Excluded",IF(Q212=0,"No direction",IF(R212&gt;0,"Better",IF(R212&lt;0,"Worse","No change"))))</f>
        <v>Worse</v>
      </c>
      <c r="T212" s="12"/>
      <c r="U212" s="12" t="str">
        <f aca="false">C212&amp;"|"&amp;E212</f>
        <v>F4_03|GBR</v>
      </c>
    </row>
    <row r="213" customFormat="false" ht="15" hidden="false" customHeight="false" outlineLevel="0" collapsed="false">
      <c r="A213" s="12" t="n">
        <v>4</v>
      </c>
      <c r="B213" s="12" t="s">
        <v>39</v>
      </c>
      <c r="C213" s="12" t="s">
        <v>92</v>
      </c>
      <c r="D213" s="12" t="s">
        <v>93</v>
      </c>
      <c r="E213" s="12" t="s">
        <v>284</v>
      </c>
      <c r="F213" s="12" t="s">
        <v>29</v>
      </c>
      <c r="G213" s="12" t="n">
        <v>60</v>
      </c>
      <c r="H213" s="12" t="n">
        <v>53.4</v>
      </c>
      <c r="I213" s="12" t="s">
        <v>282</v>
      </c>
      <c r="J213" s="12" t="n">
        <v>5</v>
      </c>
      <c r="K213" s="12" t="n">
        <v>5</v>
      </c>
      <c r="L213" s="28" t="n">
        <v>0</v>
      </c>
      <c r="M213" s="12" t="str">
        <f aca="false">IF(L213=1,COUNTIFS($C$2:$C$1090,C213,$L$2:$L$1090,1),"")</f>
        <v/>
      </c>
      <c r="N213" s="12" t="str">
        <f aca="false">IF(L213=1,1+COUNTIFS($C$2:$C$1090,C213,$L$2:$L$1090,1,$G$2:$G$1090,"&gt;"&amp;G213),"")</f>
        <v/>
      </c>
      <c r="O213" s="12" t="str">
        <f aca="false">IF(L213=1,1+COUNTIFS($C$2:$C$1090,C213,$L$2:$L$1090,1,$H$2:$H$1090,"&gt;"&amp;H213),"")</f>
        <v/>
      </c>
      <c r="P213" s="12" t="str">
        <f aca="false">IF(L213=1,N213-O213,"")</f>
        <v/>
      </c>
      <c r="Q213" s="12" t="n">
        <f aca="false">INDEX(Directions!$D$2:$D$100,MATCH(C213,Directions!$A$2:$A$100,0))</f>
        <v>-1</v>
      </c>
      <c r="R213" s="12" t="str">
        <f aca="false">IF(L213=1,P213*Q213,"")</f>
        <v/>
      </c>
      <c r="S213" s="12" t="str">
        <f aca="false">IF(L213&lt;&gt;1,"Excluded",IF(Q213=0,"No direction",IF(R213&gt;0,"Better",IF(R213&lt;0,"Worse","No change"))))</f>
        <v>Excluded</v>
      </c>
      <c r="T213" s="12" t="s">
        <v>306</v>
      </c>
      <c r="U213" s="12" t="str">
        <f aca="false">C213&amp;"|"&amp;E213</f>
        <v>F4_03|DEU</v>
      </c>
    </row>
    <row r="214" customFormat="false" ht="15" hidden="false" customHeight="false" outlineLevel="0" collapsed="false">
      <c r="A214" s="12" t="n">
        <v>4</v>
      </c>
      <c r="B214" s="12" t="s">
        <v>39</v>
      </c>
      <c r="C214" s="12" t="s">
        <v>92</v>
      </c>
      <c r="D214" s="12" t="s">
        <v>93</v>
      </c>
      <c r="E214" s="12" t="s">
        <v>285</v>
      </c>
      <c r="F214" s="12" t="s">
        <v>30</v>
      </c>
      <c r="G214" s="12" t="n">
        <v>48.3</v>
      </c>
      <c r="H214" s="12" t="n">
        <v>53</v>
      </c>
      <c r="I214" s="12" t="s">
        <v>282</v>
      </c>
      <c r="J214" s="12" t="n">
        <v>7</v>
      </c>
      <c r="K214" s="12" t="n">
        <v>6</v>
      </c>
      <c r="L214" s="28" t="n">
        <v>1</v>
      </c>
      <c r="M214" s="12" t="n">
        <f aca="false">IF(L214=1,COUNTIFS($C$2:$C$1090,C214,$L$2:$L$1090,1),"")</f>
        <v>10</v>
      </c>
      <c r="N214" s="12" t="n">
        <f aca="false">IF(L214=1,1+COUNTIFS($C$2:$C$1090,C214,$L$2:$L$1090,1,$G$2:$G$1090,"&gt;"&amp;G214),"")</f>
        <v>6</v>
      </c>
      <c r="O214" s="12" t="n">
        <f aca="false">IF(L214=1,1+COUNTIFS($C$2:$C$1090,C214,$L$2:$L$1090,1,$H$2:$H$1090,"&gt;"&amp;H214),"")</f>
        <v>5</v>
      </c>
      <c r="P214" s="12" t="n">
        <f aca="false">IF(L214=1,N214-O214,"")</f>
        <v>1</v>
      </c>
      <c r="Q214" s="12" t="n">
        <f aca="false">INDEX(Directions!$D$2:$D$100,MATCH(C214,Directions!$A$2:$A$100,0))</f>
        <v>-1</v>
      </c>
      <c r="R214" s="12" t="n">
        <f aca="false">IF(L214=1,P214*Q214,"")</f>
        <v>-1</v>
      </c>
      <c r="S214" s="12" t="str">
        <f aca="false">IF(L214&lt;&gt;1,"Excluded",IF(Q214=0,"No direction",IF(R214&gt;0,"Better",IF(R214&lt;0,"Worse","No change"))))</f>
        <v>Worse</v>
      </c>
      <c r="T214" s="12"/>
      <c r="U214" s="12" t="str">
        <f aca="false">C214&amp;"|"&amp;E214</f>
        <v>F4_03|SWE</v>
      </c>
    </row>
    <row r="215" customFormat="false" ht="15" hidden="false" customHeight="false" outlineLevel="0" collapsed="false">
      <c r="A215" s="12" t="n">
        <v>4</v>
      </c>
      <c r="B215" s="12" t="s">
        <v>39</v>
      </c>
      <c r="C215" s="12" t="s">
        <v>92</v>
      </c>
      <c r="D215" s="12" t="s">
        <v>93</v>
      </c>
      <c r="E215" s="12" t="s">
        <v>286</v>
      </c>
      <c r="F215" s="12" t="s">
        <v>31</v>
      </c>
      <c r="G215" s="12" t="n">
        <v>49</v>
      </c>
      <c r="H215" s="12" t="n">
        <v>46.4</v>
      </c>
      <c r="I215" s="12" t="s">
        <v>307</v>
      </c>
      <c r="J215" s="12" t="n">
        <v>6</v>
      </c>
      <c r="K215" s="12" t="n">
        <v>9</v>
      </c>
      <c r="L215" s="28" t="n">
        <v>1</v>
      </c>
      <c r="M215" s="12" t="n">
        <f aca="false">IF(L215=1,COUNTIFS($C$2:$C$1090,C215,$L$2:$L$1090,1),"")</f>
        <v>10</v>
      </c>
      <c r="N215" s="12" t="n">
        <f aca="false">IF(L215=1,1+COUNTIFS($C$2:$C$1090,C215,$L$2:$L$1090,1,$G$2:$G$1090,"&gt;"&amp;G215),"")</f>
        <v>5</v>
      </c>
      <c r="O215" s="12" t="n">
        <f aca="false">IF(L215=1,1+COUNTIFS($C$2:$C$1090,C215,$L$2:$L$1090,1,$H$2:$H$1090,"&gt;"&amp;H215),"")</f>
        <v>8</v>
      </c>
      <c r="P215" s="12" t="n">
        <f aca="false">IF(L215=1,N215-O215,"")</f>
        <v>-3</v>
      </c>
      <c r="Q215" s="12" t="n">
        <f aca="false">INDEX(Directions!$D$2:$D$100,MATCH(C215,Directions!$A$2:$A$100,0))</f>
        <v>-1</v>
      </c>
      <c r="R215" s="12" t="n">
        <f aca="false">IF(L215=1,P215*Q215,"")</f>
        <v>3</v>
      </c>
      <c r="S215" s="12" t="str">
        <f aca="false">IF(L215&lt;&gt;1,"Excluded",IF(Q215=0,"No direction",IF(R215&gt;0,"Better",IF(R215&lt;0,"Worse","No change"))))</f>
        <v>Better</v>
      </c>
      <c r="T215" s="12"/>
      <c r="U215" s="12" t="str">
        <f aca="false">C215&amp;"|"&amp;E215</f>
        <v>F4_03|FRA</v>
      </c>
    </row>
    <row r="216" customFormat="false" ht="15" hidden="false" customHeight="false" outlineLevel="0" collapsed="false">
      <c r="A216" s="12" t="n">
        <v>4</v>
      </c>
      <c r="B216" s="12" t="s">
        <v>39</v>
      </c>
      <c r="C216" s="12" t="s">
        <v>92</v>
      </c>
      <c r="D216" s="12" t="s">
        <v>93</v>
      </c>
      <c r="E216" s="12" t="s">
        <v>32</v>
      </c>
      <c r="F216" s="12" t="s">
        <v>32</v>
      </c>
      <c r="G216" s="12" t="n">
        <v>47.4</v>
      </c>
      <c r="H216" s="12" t="n">
        <v>48.7</v>
      </c>
      <c r="I216" s="12" t="s">
        <v>293</v>
      </c>
      <c r="J216" s="12" t="n">
        <v>8</v>
      </c>
      <c r="K216" s="12" t="n">
        <v>8</v>
      </c>
      <c r="L216" s="28" t="n">
        <v>1</v>
      </c>
      <c r="M216" s="12" t="n">
        <f aca="false">IF(L216=1,COUNTIFS($C$2:$C$1090,C216,$L$2:$L$1090,1),"")</f>
        <v>10</v>
      </c>
      <c r="N216" s="12" t="n">
        <f aca="false">IF(L216=1,1+COUNTIFS($C$2:$C$1090,C216,$L$2:$L$1090,1,$G$2:$G$1090,"&gt;"&amp;G216),"")</f>
        <v>7</v>
      </c>
      <c r="O216" s="12" t="n">
        <f aca="false">IF(L216=1,1+COUNTIFS($C$2:$C$1090,C216,$L$2:$L$1090,1,$H$2:$H$1090,"&gt;"&amp;H216),"")</f>
        <v>7</v>
      </c>
      <c r="P216" s="12" t="n">
        <f aca="false">IF(L216=1,N216-O216,"")</f>
        <v>0</v>
      </c>
      <c r="Q216" s="12" t="n">
        <f aca="false">INDEX(Directions!$D$2:$D$100,MATCH(C216,Directions!$A$2:$A$100,0))</f>
        <v>-1</v>
      </c>
      <c r="R216" s="12" t="n">
        <f aca="false">IF(L216=1,P216*Q216,"")</f>
        <v>-0</v>
      </c>
      <c r="S216" s="12" t="str">
        <f aca="false">IF(L216&lt;&gt;1,"Excluded",IF(Q216=0,"No direction",IF(R216&gt;0,"Better",IF(R216&lt;0,"Worse","No change"))))</f>
        <v>No change</v>
      </c>
      <c r="T216" s="12"/>
      <c r="U216" s="12" t="str">
        <f aca="false">C216&amp;"|"&amp;E216</f>
        <v>F4_03|NLD</v>
      </c>
    </row>
    <row r="217" customFormat="false" ht="15" hidden="false" customHeight="false" outlineLevel="0" collapsed="false">
      <c r="A217" s="12" t="n">
        <v>4</v>
      </c>
      <c r="B217" s="12" t="s">
        <v>39</v>
      </c>
      <c r="C217" s="12" t="s">
        <v>92</v>
      </c>
      <c r="D217" s="12" t="s">
        <v>93</v>
      </c>
      <c r="E217" s="12" t="s">
        <v>33</v>
      </c>
      <c r="F217" s="12" t="s">
        <v>33</v>
      </c>
      <c r="G217" s="12" t="n">
        <v>41</v>
      </c>
      <c r="H217" s="12" t="n">
        <v>42.9</v>
      </c>
      <c r="I217" s="12" t="s">
        <v>294</v>
      </c>
      <c r="J217" s="12" t="n">
        <v>10</v>
      </c>
      <c r="K217" s="12" t="n">
        <v>10</v>
      </c>
      <c r="L217" s="28" t="n">
        <v>1</v>
      </c>
      <c r="M217" s="12" t="n">
        <f aca="false">IF(L217=1,COUNTIFS($C$2:$C$1090,C217,$L$2:$L$1090,1),"")</f>
        <v>10</v>
      </c>
      <c r="N217" s="12" t="n">
        <f aca="false">IF(L217=1,1+COUNTIFS($C$2:$C$1090,C217,$L$2:$L$1090,1,$G$2:$G$1090,"&gt;"&amp;G217),"")</f>
        <v>9</v>
      </c>
      <c r="O217" s="12" t="n">
        <f aca="false">IF(L217=1,1+COUNTIFS($C$2:$C$1090,C217,$L$2:$L$1090,1,$H$2:$H$1090,"&gt;"&amp;H217),"")</f>
        <v>9</v>
      </c>
      <c r="P217" s="12" t="n">
        <f aca="false">IF(L217=1,N217-O217,"")</f>
        <v>0</v>
      </c>
      <c r="Q217" s="12" t="n">
        <f aca="false">INDEX(Directions!$D$2:$D$100,MATCH(C217,Directions!$A$2:$A$100,0))</f>
        <v>-1</v>
      </c>
      <c r="R217" s="12" t="n">
        <f aca="false">IF(L217=1,P217*Q217,"")</f>
        <v>-0</v>
      </c>
      <c r="S217" s="12" t="str">
        <f aca="false">IF(L217&lt;&gt;1,"Excluded",IF(Q217=0,"No direction",IF(R217&gt;0,"Better",IF(R217&lt;0,"Worse","No change"))))</f>
        <v>No change</v>
      </c>
      <c r="T217" s="12"/>
      <c r="U217" s="12" t="str">
        <f aca="false">C217&amp;"|"&amp;E217</f>
        <v>F4_03|CHE</v>
      </c>
    </row>
    <row r="218" customFormat="false" ht="15" hidden="false" customHeight="false" outlineLevel="0" collapsed="false">
      <c r="A218" s="12" t="n">
        <v>4</v>
      </c>
      <c r="B218" s="12" t="s">
        <v>39</v>
      </c>
      <c r="C218" s="12" t="s">
        <v>92</v>
      </c>
      <c r="D218" s="12" t="s">
        <v>93</v>
      </c>
      <c r="E218" s="12" t="s">
        <v>287</v>
      </c>
      <c r="F218" s="12" t="s">
        <v>34</v>
      </c>
      <c r="G218" s="12" t="n">
        <v>47.4</v>
      </c>
      <c r="H218" s="12" t="n">
        <v>52.9</v>
      </c>
      <c r="I218" s="12" t="s">
        <v>291</v>
      </c>
      <c r="J218" s="12" t="n">
        <v>9</v>
      </c>
      <c r="K218" s="12" t="n">
        <v>7</v>
      </c>
      <c r="L218" s="28" t="n">
        <v>1</v>
      </c>
      <c r="M218" s="12" t="n">
        <f aca="false">IF(L218=1,COUNTIFS($C$2:$C$1090,C218,$L$2:$L$1090,1),"")</f>
        <v>10</v>
      </c>
      <c r="N218" s="12" t="n">
        <f aca="false">IF(L218=1,1+COUNTIFS($C$2:$C$1090,C218,$L$2:$L$1090,1,$G$2:$G$1090,"&gt;"&amp;G218),"")</f>
        <v>7</v>
      </c>
      <c r="O218" s="12" t="n">
        <f aca="false">IF(L218=1,1+COUNTIFS($C$2:$C$1090,C218,$L$2:$L$1090,1,$H$2:$H$1090,"&gt;"&amp;H218),"")</f>
        <v>6</v>
      </c>
      <c r="P218" s="12" t="n">
        <f aca="false">IF(L218=1,N218-O218,"")</f>
        <v>1</v>
      </c>
      <c r="Q218" s="12" t="n">
        <f aca="false">INDEX(Directions!$D$2:$D$100,MATCH(C218,Directions!$A$2:$A$100,0))</f>
        <v>-1</v>
      </c>
      <c r="R218" s="12" t="n">
        <f aca="false">IF(L218=1,P218*Q218,"")</f>
        <v>-1</v>
      </c>
      <c r="S218" s="12" t="str">
        <f aca="false">IF(L218&lt;&gt;1,"Excluded",IF(Q218=0,"No direction",IF(R218&gt;0,"Better",IF(R218&lt;0,"Worse","No change"))))</f>
        <v>Worse</v>
      </c>
      <c r="T218" s="12"/>
      <c r="U218" s="12" t="str">
        <f aca="false">C218&amp;"|"&amp;E218</f>
        <v>F4_03|DNK</v>
      </c>
    </row>
    <row r="219" customFormat="false" ht="15" hidden="false" customHeight="false" outlineLevel="0" collapsed="false">
      <c r="A219" s="12" t="n">
        <v>4</v>
      </c>
      <c r="B219" s="12" t="s">
        <v>39</v>
      </c>
      <c r="C219" s="12" t="s">
        <v>92</v>
      </c>
      <c r="D219" s="12" t="s">
        <v>93</v>
      </c>
      <c r="E219" s="12" t="s">
        <v>288</v>
      </c>
      <c r="F219" s="12" t="s">
        <v>35</v>
      </c>
      <c r="G219" s="12" t="n">
        <v>60.3</v>
      </c>
      <c r="H219" s="12" t="n">
        <v>59.8</v>
      </c>
      <c r="I219" s="12" t="s">
        <v>305</v>
      </c>
      <c r="J219" s="12" t="n">
        <v>4</v>
      </c>
      <c r="K219" s="12" t="n">
        <v>4</v>
      </c>
      <c r="L219" s="28" t="n">
        <v>1</v>
      </c>
      <c r="M219" s="12" t="n">
        <f aca="false">IF(L219=1,COUNTIFS($C$2:$C$1090,C219,$L$2:$L$1090,1),"")</f>
        <v>10</v>
      </c>
      <c r="N219" s="12" t="n">
        <f aca="false">IF(L219=1,1+COUNTIFS($C$2:$C$1090,C219,$L$2:$L$1090,1,$G$2:$G$1090,"&gt;"&amp;G219),"")</f>
        <v>4</v>
      </c>
      <c r="O219" s="12" t="n">
        <f aca="false">IF(L219=1,1+COUNTIFS($C$2:$C$1090,C219,$L$2:$L$1090,1,$H$2:$H$1090,"&gt;"&amp;H219),"")</f>
        <v>4</v>
      </c>
      <c r="P219" s="12" t="n">
        <f aca="false">IF(L219=1,N219-O219,"")</f>
        <v>0</v>
      </c>
      <c r="Q219" s="12" t="n">
        <f aca="false">INDEX(Directions!$D$2:$D$100,MATCH(C219,Directions!$A$2:$A$100,0))</f>
        <v>-1</v>
      </c>
      <c r="R219" s="12" t="n">
        <f aca="false">IF(L219=1,P219*Q219,"")</f>
        <v>-0</v>
      </c>
      <c r="S219" s="12" t="str">
        <f aca="false">IF(L219&lt;&gt;1,"Excluded",IF(Q219=0,"No direction",IF(R219&gt;0,"Better",IF(R219&lt;0,"Worse","No change"))))</f>
        <v>No change</v>
      </c>
      <c r="T219" s="12"/>
      <c r="U219" s="12" t="str">
        <f aca="false">C219&amp;"|"&amp;E219</f>
        <v>F4_03|CAN</v>
      </c>
    </row>
    <row r="220" customFormat="false" ht="15" hidden="false" customHeight="false" outlineLevel="0" collapsed="false">
      <c r="A220" s="12" t="n">
        <v>4</v>
      </c>
      <c r="B220" s="12" t="s">
        <v>39</v>
      </c>
      <c r="C220" s="12" t="s">
        <v>92</v>
      </c>
      <c r="D220" s="12" t="s">
        <v>93</v>
      </c>
      <c r="E220" s="12" t="s">
        <v>289</v>
      </c>
      <c r="F220" s="12" t="s">
        <v>36</v>
      </c>
      <c r="G220" s="12" t="n">
        <v>23.8</v>
      </c>
      <c r="H220" s="12" t="n">
        <v>25.3</v>
      </c>
      <c r="I220" s="12" t="s">
        <v>293</v>
      </c>
      <c r="J220" s="12" t="n">
        <v>11</v>
      </c>
      <c r="K220" s="12" t="n">
        <v>11</v>
      </c>
      <c r="L220" s="28" t="n">
        <v>1</v>
      </c>
      <c r="M220" s="12" t="n">
        <f aca="false">IF(L220=1,COUNTIFS($C$2:$C$1090,C220,$L$2:$L$1090,1),"")</f>
        <v>10</v>
      </c>
      <c r="N220" s="12" t="n">
        <f aca="false">IF(L220=1,1+COUNTIFS($C$2:$C$1090,C220,$L$2:$L$1090,1,$G$2:$G$1090,"&gt;"&amp;G220),"")</f>
        <v>10</v>
      </c>
      <c r="O220" s="12" t="n">
        <f aca="false">IF(L220=1,1+COUNTIFS($C$2:$C$1090,C220,$L$2:$L$1090,1,$H$2:$H$1090,"&gt;"&amp;H220),"")</f>
        <v>10</v>
      </c>
      <c r="P220" s="12" t="n">
        <f aca="false">IF(L220=1,N220-O220,"")</f>
        <v>0</v>
      </c>
      <c r="Q220" s="12" t="n">
        <f aca="false">INDEX(Directions!$D$2:$D$100,MATCH(C220,Directions!$A$2:$A$100,0))</f>
        <v>-1</v>
      </c>
      <c r="R220" s="12" t="n">
        <f aca="false">IF(L220=1,P220*Q220,"")</f>
        <v>-0</v>
      </c>
      <c r="S220" s="12" t="str">
        <f aca="false">IF(L220&lt;&gt;1,"Excluded",IF(Q220=0,"No direction",IF(R220&gt;0,"Better",IF(R220&lt;0,"Worse","No change"))))</f>
        <v>No change</v>
      </c>
      <c r="T220" s="12"/>
      <c r="U220" s="12" t="str">
        <f aca="false">C220&amp;"|"&amp;E220</f>
        <v>F4_03|JPN</v>
      </c>
    </row>
    <row r="221" customFormat="false" ht="15" hidden="false" customHeight="false" outlineLevel="0" collapsed="false">
      <c r="A221" s="12" t="n">
        <v>4</v>
      </c>
      <c r="B221" s="12" t="s">
        <v>39</v>
      </c>
      <c r="C221" s="12" t="s">
        <v>92</v>
      </c>
      <c r="D221" s="12" t="s">
        <v>93</v>
      </c>
      <c r="E221" s="12" t="s">
        <v>290</v>
      </c>
      <c r="F221" s="12" t="s">
        <v>37</v>
      </c>
      <c r="G221" s="12" t="n">
        <v>63.4</v>
      </c>
      <c r="H221" s="12" t="n">
        <v>64</v>
      </c>
      <c r="I221" s="12" t="s">
        <v>294</v>
      </c>
      <c r="J221" s="12" t="n">
        <v>2</v>
      </c>
      <c r="K221" s="12" t="n">
        <v>3</v>
      </c>
      <c r="L221" s="28" t="n">
        <v>1</v>
      </c>
      <c r="M221" s="12" t="n">
        <f aca="false">IF(L221=1,COUNTIFS($C$2:$C$1090,C221,$L$2:$L$1090,1),"")</f>
        <v>10</v>
      </c>
      <c r="N221" s="12" t="n">
        <f aca="false">IF(L221=1,1+COUNTIFS($C$2:$C$1090,C221,$L$2:$L$1090,1,$G$2:$G$1090,"&gt;"&amp;G221),"")</f>
        <v>2</v>
      </c>
      <c r="O221" s="12" t="n">
        <f aca="false">IF(L221=1,1+COUNTIFS($C$2:$C$1090,C221,$L$2:$L$1090,1,$H$2:$H$1090,"&gt;"&amp;H221),"")</f>
        <v>3</v>
      </c>
      <c r="P221" s="12" t="n">
        <f aca="false">IF(L221=1,N221-O221,"")</f>
        <v>-1</v>
      </c>
      <c r="Q221" s="12" t="n">
        <f aca="false">INDEX(Directions!$D$2:$D$100,MATCH(C221,Directions!$A$2:$A$100,0))</f>
        <v>-1</v>
      </c>
      <c r="R221" s="12" t="n">
        <f aca="false">IF(L221=1,P221*Q221,"")</f>
        <v>1</v>
      </c>
      <c r="S221" s="12" t="str">
        <f aca="false">IF(L221&lt;&gt;1,"Excluded",IF(Q221=0,"No direction",IF(R221&gt;0,"Better",IF(R221&lt;0,"Worse","No change"))))</f>
        <v>Better</v>
      </c>
      <c r="T221" s="12"/>
      <c r="U221" s="12" t="str">
        <f aca="false">C221&amp;"|"&amp;E221</f>
        <v>F4_03|AUS</v>
      </c>
    </row>
    <row r="222" customFormat="false" ht="15" hidden="false" customHeight="false" outlineLevel="0" collapsed="false">
      <c r="A222" s="12" t="n">
        <v>4</v>
      </c>
      <c r="B222" s="12" t="s">
        <v>39</v>
      </c>
      <c r="C222" s="12" t="s">
        <v>94</v>
      </c>
      <c r="D222" s="12" t="s">
        <v>95</v>
      </c>
      <c r="E222" s="12" t="s">
        <v>281</v>
      </c>
      <c r="F222" s="12" t="s">
        <v>27</v>
      </c>
      <c r="G222" s="12" t="n">
        <v>78.8</v>
      </c>
      <c r="H222" s="12" t="n">
        <v>79</v>
      </c>
      <c r="I222" s="12" t="s">
        <v>293</v>
      </c>
      <c r="J222" s="12" t="n">
        <v>11</v>
      </c>
      <c r="K222" s="12" t="n">
        <v>11</v>
      </c>
      <c r="L222" s="28" t="n">
        <v>1</v>
      </c>
      <c r="M222" s="12" t="n">
        <f aca="false">IF(L222=1,COUNTIFS($C$2:$C$1090,C222,$L$2:$L$1090,1),"")</f>
        <v>11</v>
      </c>
      <c r="N222" s="12" t="n">
        <f aca="false">IF(L222=1,1+COUNTIFS($C$2:$C$1090,C222,$L$2:$L$1090,1,$G$2:$G$1090,"&gt;"&amp;G222),"")</f>
        <v>11</v>
      </c>
      <c r="O222" s="12" t="n">
        <f aca="false">IF(L222=1,1+COUNTIFS($C$2:$C$1090,C222,$L$2:$L$1090,1,$H$2:$H$1090,"&gt;"&amp;H222),"")</f>
        <v>11</v>
      </c>
      <c r="P222" s="12" t="n">
        <f aca="false">IF(L222=1,N222-O222,"")</f>
        <v>0</v>
      </c>
      <c r="Q222" s="12" t="n">
        <f aca="false">INDEX(Directions!$D$2:$D$100,MATCH(C222,Directions!$A$2:$A$100,0))</f>
        <v>1</v>
      </c>
      <c r="R222" s="12" t="n">
        <f aca="false">IF(L222=1,P222*Q222,"")</f>
        <v>0</v>
      </c>
      <c r="S222" s="12" t="str">
        <f aca="false">IF(L222&lt;&gt;1,"Excluded",IF(Q222=0,"No direction",IF(R222&gt;0,"Better",IF(R222&lt;0,"Worse","No change"))))</f>
        <v>No change</v>
      </c>
      <c r="T222" s="12"/>
      <c r="U222" s="12" t="str">
        <f aca="false">C222&amp;"|"&amp;E222</f>
        <v>F4_04|USA</v>
      </c>
    </row>
    <row r="223" customFormat="false" ht="15" hidden="false" customHeight="false" outlineLevel="0" collapsed="false">
      <c r="A223" s="12" t="n">
        <v>4</v>
      </c>
      <c r="B223" s="12" t="s">
        <v>39</v>
      </c>
      <c r="C223" s="12" t="s">
        <v>94</v>
      </c>
      <c r="D223" s="12" t="s">
        <v>95</v>
      </c>
      <c r="E223" s="12" t="s">
        <v>283</v>
      </c>
      <c r="F223" s="12" t="s">
        <v>28</v>
      </c>
      <c r="G223" s="12" t="n">
        <v>81</v>
      </c>
      <c r="H223" s="12" t="n">
        <v>81.3</v>
      </c>
      <c r="I223" s="12" t="s">
        <v>293</v>
      </c>
      <c r="J223" s="12" t="n">
        <v>8</v>
      </c>
      <c r="K223" s="12" t="n">
        <v>9</v>
      </c>
      <c r="L223" s="28" t="n">
        <v>1</v>
      </c>
      <c r="M223" s="12" t="n">
        <f aca="false">IF(L223=1,COUNTIFS($C$2:$C$1090,C223,$L$2:$L$1090,1),"")</f>
        <v>11</v>
      </c>
      <c r="N223" s="12" t="n">
        <f aca="false">IF(L223=1,1+COUNTIFS($C$2:$C$1090,C223,$L$2:$L$1090,1,$G$2:$G$1090,"&gt;"&amp;G223),"")</f>
        <v>8</v>
      </c>
      <c r="O223" s="12" t="n">
        <f aca="false">IF(L223=1,1+COUNTIFS($C$2:$C$1090,C223,$L$2:$L$1090,1,$H$2:$H$1090,"&gt;"&amp;H223),"")</f>
        <v>9</v>
      </c>
      <c r="P223" s="12" t="n">
        <f aca="false">IF(L223=1,N223-O223,"")</f>
        <v>-1</v>
      </c>
      <c r="Q223" s="12" t="n">
        <f aca="false">INDEX(Directions!$D$2:$D$100,MATCH(C223,Directions!$A$2:$A$100,0))</f>
        <v>1</v>
      </c>
      <c r="R223" s="12" t="n">
        <f aca="false">IF(L223=1,P223*Q223,"")</f>
        <v>-1</v>
      </c>
      <c r="S223" s="12" t="str">
        <f aca="false">IF(L223&lt;&gt;1,"Excluded",IF(Q223=0,"No direction",IF(R223&gt;0,"Better",IF(R223&lt;0,"Worse","No change"))))</f>
        <v>Worse</v>
      </c>
      <c r="T223" s="12"/>
      <c r="U223" s="12" t="str">
        <f aca="false">C223&amp;"|"&amp;E223</f>
        <v>F4_04|GBR</v>
      </c>
    </row>
    <row r="224" customFormat="false" ht="15" hidden="false" customHeight="false" outlineLevel="0" collapsed="false">
      <c r="A224" s="12" t="n">
        <v>4</v>
      </c>
      <c r="B224" s="12" t="s">
        <v>39</v>
      </c>
      <c r="C224" s="12" t="s">
        <v>94</v>
      </c>
      <c r="D224" s="12" t="s">
        <v>95</v>
      </c>
      <c r="E224" s="12" t="s">
        <v>284</v>
      </c>
      <c r="F224" s="12" t="s">
        <v>29</v>
      </c>
      <c r="G224" s="12" t="n">
        <v>80.7</v>
      </c>
      <c r="H224" s="12" t="n">
        <v>81.2</v>
      </c>
      <c r="I224" s="12" t="s">
        <v>293</v>
      </c>
      <c r="J224" s="12" t="n">
        <v>10</v>
      </c>
      <c r="K224" s="12" t="n">
        <v>10</v>
      </c>
      <c r="L224" s="28" t="n">
        <v>1</v>
      </c>
      <c r="M224" s="12" t="n">
        <f aca="false">IF(L224=1,COUNTIFS($C$2:$C$1090,C224,$L$2:$L$1090,1),"")</f>
        <v>11</v>
      </c>
      <c r="N224" s="12" t="n">
        <f aca="false">IF(L224=1,1+COUNTIFS($C$2:$C$1090,C224,$L$2:$L$1090,1,$G$2:$G$1090,"&gt;"&amp;G224),"")</f>
        <v>10</v>
      </c>
      <c r="O224" s="12" t="n">
        <f aca="false">IF(L224=1,1+COUNTIFS($C$2:$C$1090,C224,$L$2:$L$1090,1,$H$2:$H$1090,"&gt;"&amp;H224),"")</f>
        <v>10</v>
      </c>
      <c r="P224" s="12" t="n">
        <f aca="false">IF(L224=1,N224-O224,"")</f>
        <v>0</v>
      </c>
      <c r="Q224" s="12" t="n">
        <f aca="false">INDEX(Directions!$D$2:$D$100,MATCH(C224,Directions!$A$2:$A$100,0))</f>
        <v>1</v>
      </c>
      <c r="R224" s="12" t="n">
        <f aca="false">IF(L224=1,P224*Q224,"")</f>
        <v>0</v>
      </c>
      <c r="S224" s="12" t="str">
        <f aca="false">IF(L224&lt;&gt;1,"Excluded",IF(Q224=0,"No direction",IF(R224&gt;0,"Better",IF(R224&lt;0,"Worse","No change"))))</f>
        <v>No change</v>
      </c>
      <c r="T224" s="12"/>
      <c r="U224" s="12" t="str">
        <f aca="false">C224&amp;"|"&amp;E224</f>
        <v>F4_04|DEU</v>
      </c>
    </row>
    <row r="225" customFormat="false" ht="15" hidden="false" customHeight="false" outlineLevel="0" collapsed="false">
      <c r="A225" s="12" t="n">
        <v>4</v>
      </c>
      <c r="B225" s="12" t="s">
        <v>39</v>
      </c>
      <c r="C225" s="12" t="s">
        <v>94</v>
      </c>
      <c r="D225" s="12" t="s">
        <v>95</v>
      </c>
      <c r="E225" s="12" t="s">
        <v>285</v>
      </c>
      <c r="F225" s="12" t="s">
        <v>30</v>
      </c>
      <c r="G225" s="12" t="n">
        <v>82.3</v>
      </c>
      <c r="H225" s="12" t="n">
        <v>83.8</v>
      </c>
      <c r="I225" s="12" t="s">
        <v>293</v>
      </c>
      <c r="J225" s="12" t="n">
        <v>5</v>
      </c>
      <c r="K225" s="12" t="n">
        <v>3</v>
      </c>
      <c r="L225" s="28" t="n">
        <v>1</v>
      </c>
      <c r="M225" s="12" t="n">
        <f aca="false">IF(L225=1,COUNTIFS($C$2:$C$1090,C225,$L$2:$L$1090,1),"")</f>
        <v>11</v>
      </c>
      <c r="N225" s="12" t="n">
        <f aca="false">IF(L225=1,1+COUNTIFS($C$2:$C$1090,C225,$L$2:$L$1090,1,$G$2:$G$1090,"&gt;"&amp;G225),"")</f>
        <v>5</v>
      </c>
      <c r="O225" s="12" t="n">
        <f aca="false">IF(L225=1,1+COUNTIFS($C$2:$C$1090,C225,$L$2:$L$1090,1,$H$2:$H$1090,"&gt;"&amp;H225),"")</f>
        <v>3</v>
      </c>
      <c r="P225" s="12" t="n">
        <f aca="false">IF(L225=1,N225-O225,"")</f>
        <v>2</v>
      </c>
      <c r="Q225" s="12" t="n">
        <f aca="false">INDEX(Directions!$D$2:$D$100,MATCH(C225,Directions!$A$2:$A$100,0))</f>
        <v>1</v>
      </c>
      <c r="R225" s="12" t="n">
        <f aca="false">IF(L225=1,P225*Q225,"")</f>
        <v>2</v>
      </c>
      <c r="S225" s="12" t="str">
        <f aca="false">IF(L225&lt;&gt;1,"Excluded",IF(Q225=0,"No direction",IF(R225&gt;0,"Better",IF(R225&lt;0,"Worse","No change"))))</f>
        <v>Better</v>
      </c>
      <c r="T225" s="12"/>
      <c r="U225" s="12" t="str">
        <f aca="false">C225&amp;"|"&amp;E225</f>
        <v>F4_04|SWE</v>
      </c>
    </row>
    <row r="226" customFormat="false" ht="15" hidden="false" customHeight="false" outlineLevel="0" collapsed="false">
      <c r="A226" s="12" t="n">
        <v>4</v>
      </c>
      <c r="B226" s="12" t="s">
        <v>39</v>
      </c>
      <c r="C226" s="12" t="s">
        <v>94</v>
      </c>
      <c r="D226" s="12" t="s">
        <v>95</v>
      </c>
      <c r="E226" s="12" t="s">
        <v>286</v>
      </c>
      <c r="F226" s="12" t="s">
        <v>31</v>
      </c>
      <c r="G226" s="12" t="n">
        <v>82.4</v>
      </c>
      <c r="H226" s="12" t="n">
        <v>83</v>
      </c>
      <c r="I226" s="12" t="s">
        <v>293</v>
      </c>
      <c r="J226" s="12" t="n">
        <v>4</v>
      </c>
      <c r="K226" s="12" t="n">
        <v>4</v>
      </c>
      <c r="L226" s="28" t="n">
        <v>1</v>
      </c>
      <c r="M226" s="12" t="n">
        <f aca="false">IF(L226=1,COUNTIFS($C$2:$C$1090,C226,$L$2:$L$1090,1),"")</f>
        <v>11</v>
      </c>
      <c r="N226" s="12" t="n">
        <f aca="false">IF(L226=1,1+COUNTIFS($C$2:$C$1090,C226,$L$2:$L$1090,1,$G$2:$G$1090,"&gt;"&amp;G226),"")</f>
        <v>4</v>
      </c>
      <c r="O226" s="12" t="n">
        <f aca="false">IF(L226=1,1+COUNTIFS($C$2:$C$1090,C226,$L$2:$L$1090,1,$H$2:$H$1090,"&gt;"&amp;H226),"")</f>
        <v>4</v>
      </c>
      <c r="P226" s="12" t="n">
        <f aca="false">IF(L226=1,N226-O226,"")</f>
        <v>0</v>
      </c>
      <c r="Q226" s="12" t="n">
        <f aca="false">INDEX(Directions!$D$2:$D$100,MATCH(C226,Directions!$A$2:$A$100,0))</f>
        <v>1</v>
      </c>
      <c r="R226" s="12" t="n">
        <f aca="false">IF(L226=1,P226*Q226,"")</f>
        <v>0</v>
      </c>
      <c r="S226" s="12" t="str">
        <f aca="false">IF(L226&lt;&gt;1,"Excluded",IF(Q226=0,"No direction",IF(R226&gt;0,"Better",IF(R226&lt;0,"Worse","No change"))))</f>
        <v>No change</v>
      </c>
      <c r="T226" s="12"/>
      <c r="U226" s="12" t="str">
        <f aca="false">C226&amp;"|"&amp;E226</f>
        <v>F4_04|FRA</v>
      </c>
    </row>
    <row r="227" customFormat="false" ht="15" hidden="false" customHeight="false" outlineLevel="0" collapsed="false">
      <c r="A227" s="12" t="n">
        <v>4</v>
      </c>
      <c r="B227" s="12" t="s">
        <v>39</v>
      </c>
      <c r="C227" s="12" t="s">
        <v>94</v>
      </c>
      <c r="D227" s="12" t="s">
        <v>95</v>
      </c>
      <c r="E227" s="12" t="s">
        <v>32</v>
      </c>
      <c r="F227" s="12" t="s">
        <v>32</v>
      </c>
      <c r="G227" s="12" t="n">
        <v>81.6</v>
      </c>
      <c r="H227" s="12" t="n">
        <v>81.9</v>
      </c>
      <c r="I227" s="12" t="s">
        <v>293</v>
      </c>
      <c r="J227" s="12" t="n">
        <v>7</v>
      </c>
      <c r="K227" s="12" t="n">
        <v>8</v>
      </c>
      <c r="L227" s="28" t="n">
        <v>1</v>
      </c>
      <c r="M227" s="12" t="n">
        <f aca="false">IF(L227=1,COUNTIFS($C$2:$C$1090,C227,$L$2:$L$1090,1),"")</f>
        <v>11</v>
      </c>
      <c r="N227" s="12" t="n">
        <f aca="false">IF(L227=1,1+COUNTIFS($C$2:$C$1090,C227,$L$2:$L$1090,1,$G$2:$G$1090,"&gt;"&amp;G227),"")</f>
        <v>7</v>
      </c>
      <c r="O227" s="12" t="n">
        <f aca="false">IF(L227=1,1+COUNTIFS($C$2:$C$1090,C227,$L$2:$L$1090,1,$H$2:$H$1090,"&gt;"&amp;H227),"")</f>
        <v>8</v>
      </c>
      <c r="P227" s="12" t="n">
        <f aca="false">IF(L227=1,N227-O227,"")</f>
        <v>-1</v>
      </c>
      <c r="Q227" s="12" t="n">
        <f aca="false">INDEX(Directions!$D$2:$D$100,MATCH(C227,Directions!$A$2:$A$100,0))</f>
        <v>1</v>
      </c>
      <c r="R227" s="12" t="n">
        <f aca="false">IF(L227=1,P227*Q227,"")</f>
        <v>-1</v>
      </c>
      <c r="S227" s="12" t="str">
        <f aca="false">IF(L227&lt;&gt;1,"Excluded",IF(Q227=0,"No direction",IF(R227&gt;0,"Better",IF(R227&lt;0,"Worse","No change"))))</f>
        <v>Worse</v>
      </c>
      <c r="T227" s="12"/>
      <c r="U227" s="12" t="str">
        <f aca="false">C227&amp;"|"&amp;E227</f>
        <v>F4_04|NLD</v>
      </c>
    </row>
    <row r="228" customFormat="false" ht="15" hidden="false" customHeight="false" outlineLevel="0" collapsed="false">
      <c r="A228" s="12" t="n">
        <v>4</v>
      </c>
      <c r="B228" s="12" t="s">
        <v>39</v>
      </c>
      <c r="C228" s="12" t="s">
        <v>94</v>
      </c>
      <c r="D228" s="12" t="s">
        <v>95</v>
      </c>
      <c r="E228" s="12" t="s">
        <v>33</v>
      </c>
      <c r="F228" s="12" t="s">
        <v>33</v>
      </c>
      <c r="G228" s="12" t="n">
        <v>83</v>
      </c>
      <c r="H228" s="12" t="n">
        <v>84.2</v>
      </c>
      <c r="I228" s="12" t="s">
        <v>293</v>
      </c>
      <c r="J228" s="12" t="n">
        <v>2</v>
      </c>
      <c r="K228" s="12" t="n">
        <v>1</v>
      </c>
      <c r="L228" s="28" t="n">
        <v>1</v>
      </c>
      <c r="M228" s="12" t="n">
        <f aca="false">IF(L228=1,COUNTIFS($C$2:$C$1090,C228,$L$2:$L$1090,1),"")</f>
        <v>11</v>
      </c>
      <c r="N228" s="12" t="n">
        <f aca="false">IF(L228=1,1+COUNTIFS($C$2:$C$1090,C228,$L$2:$L$1090,1,$G$2:$G$1090,"&gt;"&amp;G228),"")</f>
        <v>2</v>
      </c>
      <c r="O228" s="12" t="n">
        <f aca="false">IF(L228=1,1+COUNTIFS($C$2:$C$1090,C228,$L$2:$L$1090,1,$H$2:$H$1090,"&gt;"&amp;H228),"")</f>
        <v>1</v>
      </c>
      <c r="P228" s="12" t="n">
        <f aca="false">IF(L228=1,N228-O228,"")</f>
        <v>1</v>
      </c>
      <c r="Q228" s="12" t="n">
        <f aca="false">INDEX(Directions!$D$2:$D$100,MATCH(C228,Directions!$A$2:$A$100,0))</f>
        <v>1</v>
      </c>
      <c r="R228" s="12" t="n">
        <f aca="false">IF(L228=1,P228*Q228,"")</f>
        <v>1</v>
      </c>
      <c r="S228" s="12" t="str">
        <f aca="false">IF(L228&lt;&gt;1,"Excluded",IF(Q228=0,"No direction",IF(R228&gt;0,"Better",IF(R228&lt;0,"Worse","No change"))))</f>
        <v>Better</v>
      </c>
      <c r="T228" s="12"/>
      <c r="U228" s="12" t="str">
        <f aca="false">C228&amp;"|"&amp;E228</f>
        <v>F4_04|CHE</v>
      </c>
    </row>
    <row r="229" customFormat="false" ht="15" hidden="false" customHeight="false" outlineLevel="0" collapsed="false">
      <c r="A229" s="12" t="n">
        <v>4</v>
      </c>
      <c r="B229" s="12" t="s">
        <v>39</v>
      </c>
      <c r="C229" s="12" t="s">
        <v>94</v>
      </c>
      <c r="D229" s="12" t="s">
        <v>95</v>
      </c>
      <c r="E229" s="12" t="s">
        <v>287</v>
      </c>
      <c r="F229" s="12" t="s">
        <v>34</v>
      </c>
      <c r="G229" s="12" t="n">
        <v>80.8</v>
      </c>
      <c r="H229" s="12" t="n">
        <v>82</v>
      </c>
      <c r="I229" s="12" t="s">
        <v>293</v>
      </c>
      <c r="J229" s="12" t="n">
        <v>9</v>
      </c>
      <c r="K229" s="12" t="n">
        <v>7</v>
      </c>
      <c r="L229" s="28" t="n">
        <v>1</v>
      </c>
      <c r="M229" s="12" t="n">
        <f aca="false">IF(L229=1,COUNTIFS($C$2:$C$1090,C229,$L$2:$L$1090,1),"")</f>
        <v>11</v>
      </c>
      <c r="N229" s="12" t="n">
        <f aca="false">IF(L229=1,1+COUNTIFS($C$2:$C$1090,C229,$L$2:$L$1090,1,$G$2:$G$1090,"&gt;"&amp;G229),"")</f>
        <v>9</v>
      </c>
      <c r="O229" s="12" t="n">
        <f aca="false">IF(L229=1,1+COUNTIFS($C$2:$C$1090,C229,$L$2:$L$1090,1,$H$2:$H$1090,"&gt;"&amp;H229),"")</f>
        <v>7</v>
      </c>
      <c r="P229" s="12" t="n">
        <f aca="false">IF(L229=1,N229-O229,"")</f>
        <v>2</v>
      </c>
      <c r="Q229" s="12" t="n">
        <f aca="false">INDEX(Directions!$D$2:$D$100,MATCH(C229,Directions!$A$2:$A$100,0))</f>
        <v>1</v>
      </c>
      <c r="R229" s="12" t="n">
        <f aca="false">IF(L229=1,P229*Q229,"")</f>
        <v>2</v>
      </c>
      <c r="S229" s="12" t="str">
        <f aca="false">IF(L229&lt;&gt;1,"Excluded",IF(Q229=0,"No direction",IF(R229&gt;0,"Better",IF(R229&lt;0,"Worse","No change"))))</f>
        <v>Better</v>
      </c>
      <c r="T229" s="12"/>
      <c r="U229" s="12" t="str">
        <f aca="false">C229&amp;"|"&amp;E229</f>
        <v>F4_04|DNK</v>
      </c>
    </row>
    <row r="230" customFormat="false" ht="15" hidden="false" customHeight="false" outlineLevel="0" collapsed="false">
      <c r="A230" s="12" t="n">
        <v>4</v>
      </c>
      <c r="B230" s="12" t="s">
        <v>39</v>
      </c>
      <c r="C230" s="12" t="s">
        <v>94</v>
      </c>
      <c r="D230" s="12" t="s">
        <v>95</v>
      </c>
      <c r="E230" s="12" t="s">
        <v>288</v>
      </c>
      <c r="F230" s="12" t="s">
        <v>35</v>
      </c>
      <c r="G230" s="12" t="n">
        <v>81.7</v>
      </c>
      <c r="H230" s="12" t="n">
        <v>82.2</v>
      </c>
      <c r="I230" s="12" t="s">
        <v>293</v>
      </c>
      <c r="J230" s="12" t="n">
        <v>6</v>
      </c>
      <c r="K230" s="12" t="n">
        <v>6</v>
      </c>
      <c r="L230" s="28" t="n">
        <v>1</v>
      </c>
      <c r="M230" s="12" t="n">
        <f aca="false">IF(L230=1,COUNTIFS($C$2:$C$1090,C230,$L$2:$L$1090,1),"")</f>
        <v>11</v>
      </c>
      <c r="N230" s="12" t="n">
        <f aca="false">IF(L230=1,1+COUNTIFS($C$2:$C$1090,C230,$L$2:$L$1090,1,$G$2:$G$1090,"&gt;"&amp;G230),"")</f>
        <v>6</v>
      </c>
      <c r="O230" s="12" t="n">
        <f aca="false">IF(L230=1,1+COUNTIFS($C$2:$C$1090,C230,$L$2:$L$1090,1,$H$2:$H$1090,"&gt;"&amp;H230),"")</f>
        <v>6</v>
      </c>
      <c r="P230" s="12" t="n">
        <f aca="false">IF(L230=1,N230-O230,"")</f>
        <v>0</v>
      </c>
      <c r="Q230" s="12" t="n">
        <f aca="false">INDEX(Directions!$D$2:$D$100,MATCH(C230,Directions!$A$2:$A$100,0))</f>
        <v>1</v>
      </c>
      <c r="R230" s="12" t="n">
        <f aca="false">IF(L230=1,P230*Q230,"")</f>
        <v>0</v>
      </c>
      <c r="S230" s="12" t="str">
        <f aca="false">IF(L230&lt;&gt;1,"Excluded",IF(Q230=0,"No direction",IF(R230&gt;0,"Better",IF(R230&lt;0,"Worse","No change"))))</f>
        <v>No change</v>
      </c>
      <c r="T230" s="12"/>
      <c r="U230" s="12" t="str">
        <f aca="false">C230&amp;"|"&amp;E230</f>
        <v>F4_04|CAN</v>
      </c>
    </row>
    <row r="231" customFormat="false" ht="15" hidden="false" customHeight="false" outlineLevel="0" collapsed="false">
      <c r="A231" s="12" t="n">
        <v>4</v>
      </c>
      <c r="B231" s="12" t="s">
        <v>39</v>
      </c>
      <c r="C231" s="12" t="s">
        <v>94</v>
      </c>
      <c r="D231" s="12" t="s">
        <v>95</v>
      </c>
      <c r="E231" s="12" t="s">
        <v>289</v>
      </c>
      <c r="F231" s="12" t="s">
        <v>36</v>
      </c>
      <c r="G231" s="12" t="n">
        <v>83.9</v>
      </c>
      <c r="H231" s="12" t="n">
        <v>84.1</v>
      </c>
      <c r="I231" s="12" t="s">
        <v>293</v>
      </c>
      <c r="J231" s="12" t="n">
        <v>1</v>
      </c>
      <c r="K231" s="12" t="n">
        <v>2</v>
      </c>
      <c r="L231" s="28" t="n">
        <v>1</v>
      </c>
      <c r="M231" s="12" t="n">
        <f aca="false">IF(L231=1,COUNTIFS($C$2:$C$1090,C231,$L$2:$L$1090,1),"")</f>
        <v>11</v>
      </c>
      <c r="N231" s="12" t="n">
        <f aca="false">IF(L231=1,1+COUNTIFS($C$2:$C$1090,C231,$L$2:$L$1090,1,$G$2:$G$1090,"&gt;"&amp;G231),"")</f>
        <v>1</v>
      </c>
      <c r="O231" s="12" t="n">
        <f aca="false">IF(L231=1,1+COUNTIFS($C$2:$C$1090,C231,$L$2:$L$1090,1,$H$2:$H$1090,"&gt;"&amp;H231),"")</f>
        <v>2</v>
      </c>
      <c r="P231" s="12" t="n">
        <f aca="false">IF(L231=1,N231-O231,"")</f>
        <v>-1</v>
      </c>
      <c r="Q231" s="12" t="n">
        <f aca="false">INDEX(Directions!$D$2:$D$100,MATCH(C231,Directions!$A$2:$A$100,0))</f>
        <v>1</v>
      </c>
      <c r="R231" s="12" t="n">
        <f aca="false">IF(L231=1,P231*Q231,"")</f>
        <v>-1</v>
      </c>
      <c r="S231" s="12" t="str">
        <f aca="false">IF(L231&lt;&gt;1,"Excluded",IF(Q231=0,"No direction",IF(R231&gt;0,"Better",IF(R231&lt;0,"Worse","No change"))))</f>
        <v>Worse</v>
      </c>
      <c r="T231" s="12"/>
      <c r="U231" s="12" t="str">
        <f aca="false">C231&amp;"|"&amp;E231</f>
        <v>F4_04|JPN</v>
      </c>
    </row>
    <row r="232" customFormat="false" ht="15" hidden="false" customHeight="false" outlineLevel="0" collapsed="false">
      <c r="A232" s="12" t="n">
        <v>4</v>
      </c>
      <c r="B232" s="12" t="s">
        <v>39</v>
      </c>
      <c r="C232" s="12" t="s">
        <v>94</v>
      </c>
      <c r="D232" s="12" t="s">
        <v>95</v>
      </c>
      <c r="E232" s="12" t="s">
        <v>290</v>
      </c>
      <c r="F232" s="12" t="s">
        <v>37</v>
      </c>
      <c r="G232" s="12" t="n">
        <v>82.5</v>
      </c>
      <c r="H232" s="12" t="n">
        <v>83</v>
      </c>
      <c r="I232" s="12" t="s">
        <v>293</v>
      </c>
      <c r="J232" s="12" t="n">
        <v>3</v>
      </c>
      <c r="K232" s="12" t="n">
        <v>5</v>
      </c>
      <c r="L232" s="28" t="n">
        <v>1</v>
      </c>
      <c r="M232" s="12" t="n">
        <f aca="false">IF(L232=1,COUNTIFS($C$2:$C$1090,C232,$L$2:$L$1090,1),"")</f>
        <v>11</v>
      </c>
      <c r="N232" s="12" t="n">
        <f aca="false">IF(L232=1,1+COUNTIFS($C$2:$C$1090,C232,$L$2:$L$1090,1,$G$2:$G$1090,"&gt;"&amp;G232),"")</f>
        <v>3</v>
      </c>
      <c r="O232" s="12" t="n">
        <f aca="false">IF(L232=1,1+COUNTIFS($C$2:$C$1090,C232,$L$2:$L$1090,1,$H$2:$H$1090,"&gt;"&amp;H232),"")</f>
        <v>4</v>
      </c>
      <c r="P232" s="12" t="n">
        <f aca="false">IF(L232=1,N232-O232,"")</f>
        <v>-1</v>
      </c>
      <c r="Q232" s="12" t="n">
        <f aca="false">INDEX(Directions!$D$2:$D$100,MATCH(C232,Directions!$A$2:$A$100,0))</f>
        <v>1</v>
      </c>
      <c r="R232" s="12" t="n">
        <f aca="false">IF(L232=1,P232*Q232,"")</f>
        <v>-1</v>
      </c>
      <c r="S232" s="12" t="str">
        <f aca="false">IF(L232&lt;&gt;1,"Excluded",IF(Q232=0,"No direction",IF(R232&gt;0,"Better",IF(R232&lt;0,"Worse","No change"))))</f>
        <v>Worse</v>
      </c>
      <c r="T232" s="12"/>
      <c r="U232" s="12" t="str">
        <f aca="false">C232&amp;"|"&amp;E232</f>
        <v>F4_04|AUS</v>
      </c>
    </row>
    <row r="233" customFormat="false" ht="15" hidden="false" customHeight="false" outlineLevel="0" collapsed="false">
      <c r="A233" s="12" t="n">
        <v>4</v>
      </c>
      <c r="B233" s="12" t="s">
        <v>39</v>
      </c>
      <c r="C233" s="12" t="s">
        <v>97</v>
      </c>
      <c r="D233" s="12" t="s">
        <v>98</v>
      </c>
      <c r="E233" s="12" t="s">
        <v>281</v>
      </c>
      <c r="F233" s="12" t="s">
        <v>27</v>
      </c>
      <c r="G233" s="12" t="n">
        <v>69.1</v>
      </c>
      <c r="H233" s="12" t="n">
        <v>63.91</v>
      </c>
      <c r="I233" s="12" t="s">
        <v>295</v>
      </c>
      <c r="J233" s="12" t="n">
        <v>11</v>
      </c>
      <c r="K233" s="12" t="n">
        <v>11</v>
      </c>
      <c r="L233" s="28" t="n">
        <v>1</v>
      </c>
      <c r="M233" s="12" t="n">
        <f aca="false">IF(L233=1,COUNTIFS($C$2:$C$1090,C233,$L$2:$L$1090,1),"")</f>
        <v>11</v>
      </c>
      <c r="N233" s="12" t="n">
        <f aca="false">IF(L233=1,1+COUNTIFS($C$2:$C$1090,C233,$L$2:$L$1090,1,$G$2:$G$1090,"&gt;"&amp;G233),"")</f>
        <v>11</v>
      </c>
      <c r="O233" s="12" t="n">
        <f aca="false">IF(L233=1,1+COUNTIFS($C$2:$C$1090,C233,$L$2:$L$1090,1,$H$2:$H$1090,"&gt;"&amp;H233),"")</f>
        <v>11</v>
      </c>
      <c r="P233" s="12" t="n">
        <f aca="false">IF(L233=1,N233-O233,"")</f>
        <v>0</v>
      </c>
      <c r="Q233" s="12" t="n">
        <f aca="false">INDEX(Directions!$D$2:$D$100,MATCH(C233,Directions!$A$2:$A$100,0))</f>
        <v>1</v>
      </c>
      <c r="R233" s="12" t="n">
        <f aca="false">IF(L233=1,P233*Q233,"")</f>
        <v>0</v>
      </c>
      <c r="S233" s="12" t="str">
        <f aca="false">IF(L233&lt;&gt;1,"Excluded",IF(Q233=0,"No direction",IF(R233&gt;0,"Better",IF(R233&lt;0,"Worse","No change"))))</f>
        <v>No change</v>
      </c>
      <c r="T233" s="12" t="s">
        <v>308</v>
      </c>
      <c r="U233" s="12" t="str">
        <f aca="false">C233&amp;"|"&amp;E233</f>
        <v>F4_05|USA</v>
      </c>
    </row>
    <row r="234" customFormat="false" ht="15" hidden="false" customHeight="false" outlineLevel="0" collapsed="false">
      <c r="A234" s="12" t="n">
        <v>4</v>
      </c>
      <c r="B234" s="12" t="s">
        <v>39</v>
      </c>
      <c r="C234" s="12" t="s">
        <v>97</v>
      </c>
      <c r="D234" s="12" t="s">
        <v>98</v>
      </c>
      <c r="E234" s="12" t="s">
        <v>283</v>
      </c>
      <c r="F234" s="12" t="s">
        <v>28</v>
      </c>
      <c r="G234" s="12" t="n">
        <v>71.4</v>
      </c>
      <c r="H234" s="12" t="n">
        <v>68.64</v>
      </c>
      <c r="I234" s="12" t="s">
        <v>295</v>
      </c>
      <c r="J234" s="12" t="n">
        <v>8</v>
      </c>
      <c r="K234" s="12" t="n">
        <v>10</v>
      </c>
      <c r="L234" s="28" t="n">
        <v>1</v>
      </c>
      <c r="M234" s="12" t="n">
        <f aca="false">IF(L234=1,COUNTIFS($C$2:$C$1090,C234,$L$2:$L$1090,1),"")</f>
        <v>11</v>
      </c>
      <c r="N234" s="12" t="n">
        <f aca="false">IF(L234=1,1+COUNTIFS($C$2:$C$1090,C234,$L$2:$L$1090,1,$G$2:$G$1090,"&gt;"&amp;G234),"")</f>
        <v>8</v>
      </c>
      <c r="O234" s="12" t="n">
        <f aca="false">IF(L234=1,1+COUNTIFS($C$2:$C$1090,C234,$L$2:$L$1090,1,$H$2:$H$1090,"&gt;"&amp;H234),"")</f>
        <v>10</v>
      </c>
      <c r="P234" s="12" t="n">
        <f aca="false">IF(L234=1,N234-O234,"")</f>
        <v>-2</v>
      </c>
      <c r="Q234" s="12" t="n">
        <f aca="false">INDEX(Directions!$D$2:$D$100,MATCH(C234,Directions!$A$2:$A$100,0))</f>
        <v>1</v>
      </c>
      <c r="R234" s="12" t="n">
        <f aca="false">IF(L234=1,P234*Q234,"")</f>
        <v>-2</v>
      </c>
      <c r="S234" s="12" t="str">
        <f aca="false">IF(L234&lt;&gt;1,"Excluded",IF(Q234=0,"No direction",IF(R234&gt;0,"Better",IF(R234&lt;0,"Worse","No change"))))</f>
        <v>Worse</v>
      </c>
      <c r="T234" s="12" t="s">
        <v>308</v>
      </c>
      <c r="U234" s="12" t="str">
        <f aca="false">C234&amp;"|"&amp;E234</f>
        <v>F4_05|GBR</v>
      </c>
    </row>
    <row r="235" customFormat="false" ht="15" hidden="false" customHeight="false" outlineLevel="0" collapsed="false">
      <c r="A235" s="12" t="n">
        <v>4</v>
      </c>
      <c r="B235" s="12" t="s">
        <v>39</v>
      </c>
      <c r="C235" s="12" t="s">
        <v>97</v>
      </c>
      <c r="D235" s="12" t="s">
        <v>98</v>
      </c>
      <c r="E235" s="12" t="s">
        <v>284</v>
      </c>
      <c r="F235" s="12" t="s">
        <v>29</v>
      </c>
      <c r="G235" s="12" t="n">
        <v>71.3</v>
      </c>
      <c r="H235" s="12" t="n">
        <v>68.93</v>
      </c>
      <c r="I235" s="12" t="s">
        <v>295</v>
      </c>
      <c r="J235" s="12" t="n">
        <v>9</v>
      </c>
      <c r="K235" s="12" t="n">
        <v>9</v>
      </c>
      <c r="L235" s="28" t="n">
        <v>1</v>
      </c>
      <c r="M235" s="12" t="n">
        <f aca="false">IF(L235=1,COUNTIFS($C$2:$C$1090,C235,$L$2:$L$1090,1),"")</f>
        <v>11</v>
      </c>
      <c r="N235" s="12" t="n">
        <f aca="false">IF(L235=1,1+COUNTIFS($C$2:$C$1090,C235,$L$2:$L$1090,1,$G$2:$G$1090,"&gt;"&amp;G235),"")</f>
        <v>9</v>
      </c>
      <c r="O235" s="12" t="n">
        <f aca="false">IF(L235=1,1+COUNTIFS($C$2:$C$1090,C235,$L$2:$L$1090,1,$H$2:$H$1090,"&gt;"&amp;H235),"")</f>
        <v>9</v>
      </c>
      <c r="P235" s="12" t="n">
        <f aca="false">IF(L235=1,N235-O235,"")</f>
        <v>0</v>
      </c>
      <c r="Q235" s="12" t="n">
        <f aca="false">INDEX(Directions!$D$2:$D$100,MATCH(C235,Directions!$A$2:$A$100,0))</f>
        <v>1</v>
      </c>
      <c r="R235" s="12" t="n">
        <f aca="false">IF(L235=1,P235*Q235,"")</f>
        <v>0</v>
      </c>
      <c r="S235" s="12" t="str">
        <f aca="false">IF(L235&lt;&gt;1,"Excluded",IF(Q235=0,"No direction",IF(R235&gt;0,"Better",IF(R235&lt;0,"Worse","No change"))))</f>
        <v>No change</v>
      </c>
      <c r="T235" s="12" t="s">
        <v>308</v>
      </c>
      <c r="U235" s="12" t="str">
        <f aca="false">C235&amp;"|"&amp;E235</f>
        <v>F4_05|DEU</v>
      </c>
    </row>
    <row r="236" customFormat="false" ht="15" hidden="false" customHeight="false" outlineLevel="0" collapsed="false">
      <c r="A236" s="12" t="n">
        <v>4</v>
      </c>
      <c r="B236" s="12" t="s">
        <v>39</v>
      </c>
      <c r="C236" s="12" t="s">
        <v>97</v>
      </c>
      <c r="D236" s="12" t="s">
        <v>98</v>
      </c>
      <c r="E236" s="12" t="s">
        <v>285</v>
      </c>
      <c r="F236" s="12" t="s">
        <v>30</v>
      </c>
      <c r="G236" s="12" t="n">
        <v>72</v>
      </c>
      <c r="H236" s="12" t="n">
        <v>71.12</v>
      </c>
      <c r="I236" s="12" t="s">
        <v>295</v>
      </c>
      <c r="J236" s="12" t="n">
        <v>6</v>
      </c>
      <c r="K236" s="12" t="n">
        <v>3</v>
      </c>
      <c r="L236" s="28" t="n">
        <v>1</v>
      </c>
      <c r="M236" s="12" t="n">
        <f aca="false">IF(L236=1,COUNTIFS($C$2:$C$1090,C236,$L$2:$L$1090,1),"")</f>
        <v>11</v>
      </c>
      <c r="N236" s="12" t="n">
        <f aca="false">IF(L236=1,1+COUNTIFS($C$2:$C$1090,C236,$L$2:$L$1090,1,$G$2:$G$1090,"&gt;"&amp;G236),"")</f>
        <v>6</v>
      </c>
      <c r="O236" s="12" t="n">
        <f aca="false">IF(L236=1,1+COUNTIFS($C$2:$C$1090,C236,$L$2:$L$1090,1,$H$2:$H$1090,"&gt;"&amp;H236),"")</f>
        <v>3</v>
      </c>
      <c r="P236" s="12" t="n">
        <f aca="false">IF(L236=1,N236-O236,"")</f>
        <v>3</v>
      </c>
      <c r="Q236" s="12" t="n">
        <f aca="false">INDEX(Directions!$D$2:$D$100,MATCH(C236,Directions!$A$2:$A$100,0))</f>
        <v>1</v>
      </c>
      <c r="R236" s="12" t="n">
        <f aca="false">IF(L236=1,P236*Q236,"")</f>
        <v>3</v>
      </c>
      <c r="S236" s="12" t="str">
        <f aca="false">IF(L236&lt;&gt;1,"Excluded",IF(Q236=0,"No direction",IF(R236&gt;0,"Better",IF(R236&lt;0,"Worse","No change"))))</f>
        <v>Better</v>
      </c>
      <c r="T236" s="12" t="s">
        <v>308</v>
      </c>
      <c r="U236" s="12" t="str">
        <f aca="false">C236&amp;"|"&amp;E236</f>
        <v>F4_05|SWE</v>
      </c>
    </row>
    <row r="237" customFormat="false" ht="15" hidden="false" customHeight="false" outlineLevel="0" collapsed="false">
      <c r="A237" s="12" t="n">
        <v>4</v>
      </c>
      <c r="B237" s="12" t="s">
        <v>39</v>
      </c>
      <c r="C237" s="12" t="s">
        <v>97</v>
      </c>
      <c r="D237" s="12" t="s">
        <v>98</v>
      </c>
      <c r="E237" s="12" t="s">
        <v>286</v>
      </c>
      <c r="F237" s="12" t="s">
        <v>31</v>
      </c>
      <c r="G237" s="12" t="n">
        <v>72.6</v>
      </c>
      <c r="H237" s="12" t="n">
        <v>70.08</v>
      </c>
      <c r="I237" s="12" t="s">
        <v>295</v>
      </c>
      <c r="J237" s="12" t="n">
        <v>3</v>
      </c>
      <c r="K237" s="12" t="n">
        <v>5</v>
      </c>
      <c r="L237" s="28" t="n">
        <v>1</v>
      </c>
      <c r="M237" s="12" t="n">
        <f aca="false">IF(L237=1,COUNTIFS($C$2:$C$1090,C237,$L$2:$L$1090,1),"")</f>
        <v>11</v>
      </c>
      <c r="N237" s="12" t="n">
        <f aca="false">IF(L237=1,1+COUNTIFS($C$2:$C$1090,C237,$L$2:$L$1090,1,$G$2:$G$1090,"&gt;"&amp;G237),"")</f>
        <v>3</v>
      </c>
      <c r="O237" s="12" t="n">
        <f aca="false">IF(L237=1,1+COUNTIFS($C$2:$C$1090,C237,$L$2:$L$1090,1,$H$2:$H$1090,"&gt;"&amp;H237),"")</f>
        <v>5</v>
      </c>
      <c r="P237" s="12" t="n">
        <f aca="false">IF(L237=1,N237-O237,"")</f>
        <v>-2</v>
      </c>
      <c r="Q237" s="12" t="n">
        <f aca="false">INDEX(Directions!$D$2:$D$100,MATCH(C237,Directions!$A$2:$A$100,0))</f>
        <v>1</v>
      </c>
      <c r="R237" s="12" t="n">
        <f aca="false">IF(L237=1,P237*Q237,"")</f>
        <v>-2</v>
      </c>
      <c r="S237" s="12" t="str">
        <f aca="false">IF(L237&lt;&gt;1,"Excluded",IF(Q237=0,"No direction",IF(R237&gt;0,"Better",IF(R237&lt;0,"Worse","No change"))))</f>
        <v>Worse</v>
      </c>
      <c r="T237" s="12" t="s">
        <v>308</v>
      </c>
      <c r="U237" s="12" t="str">
        <f aca="false">C237&amp;"|"&amp;E237</f>
        <v>F4_05|FRA</v>
      </c>
    </row>
    <row r="238" customFormat="false" ht="15" hidden="false" customHeight="false" outlineLevel="0" collapsed="false">
      <c r="A238" s="12" t="n">
        <v>4</v>
      </c>
      <c r="B238" s="12" t="s">
        <v>39</v>
      </c>
      <c r="C238" s="12" t="s">
        <v>97</v>
      </c>
      <c r="D238" s="12" t="s">
        <v>98</v>
      </c>
      <c r="E238" s="12" t="s">
        <v>32</v>
      </c>
      <c r="F238" s="12" t="s">
        <v>32</v>
      </c>
      <c r="G238" s="12" t="n">
        <v>72.2</v>
      </c>
      <c r="H238" s="12" t="n">
        <v>69.97</v>
      </c>
      <c r="I238" s="12" t="s">
        <v>295</v>
      </c>
      <c r="J238" s="12" t="n">
        <v>5</v>
      </c>
      <c r="K238" s="12" t="n">
        <v>7</v>
      </c>
      <c r="L238" s="28" t="n">
        <v>1</v>
      </c>
      <c r="M238" s="12" t="n">
        <f aca="false">IF(L238=1,COUNTIFS($C$2:$C$1090,C238,$L$2:$L$1090,1),"")</f>
        <v>11</v>
      </c>
      <c r="N238" s="12" t="n">
        <f aca="false">IF(L238=1,1+COUNTIFS($C$2:$C$1090,C238,$L$2:$L$1090,1,$G$2:$G$1090,"&gt;"&amp;G238),"")</f>
        <v>5</v>
      </c>
      <c r="O238" s="12" t="n">
        <f aca="false">IF(L238=1,1+COUNTIFS($C$2:$C$1090,C238,$L$2:$L$1090,1,$H$2:$H$1090,"&gt;"&amp;H238),"")</f>
        <v>7</v>
      </c>
      <c r="P238" s="12" t="n">
        <f aca="false">IF(L238=1,N238-O238,"")</f>
        <v>-2</v>
      </c>
      <c r="Q238" s="12" t="n">
        <f aca="false">INDEX(Directions!$D$2:$D$100,MATCH(C238,Directions!$A$2:$A$100,0))</f>
        <v>1</v>
      </c>
      <c r="R238" s="12" t="n">
        <f aca="false">IF(L238=1,P238*Q238,"")</f>
        <v>-2</v>
      </c>
      <c r="S238" s="12" t="str">
        <f aca="false">IF(L238&lt;&gt;1,"Excluded",IF(Q238=0,"No direction",IF(R238&gt;0,"Better",IF(R238&lt;0,"Worse","No change"))))</f>
        <v>Worse</v>
      </c>
      <c r="T238" s="12" t="s">
        <v>308</v>
      </c>
      <c r="U238" s="12" t="str">
        <f aca="false">C238&amp;"|"&amp;E238</f>
        <v>F4_05|NLD</v>
      </c>
    </row>
    <row r="239" customFormat="false" ht="15" hidden="false" customHeight="false" outlineLevel="0" collapsed="false">
      <c r="A239" s="12" t="n">
        <v>4</v>
      </c>
      <c r="B239" s="12" t="s">
        <v>39</v>
      </c>
      <c r="C239" s="12" t="s">
        <v>97</v>
      </c>
      <c r="D239" s="12" t="s">
        <v>98</v>
      </c>
      <c r="E239" s="12" t="s">
        <v>33</v>
      </c>
      <c r="F239" s="12" t="s">
        <v>33</v>
      </c>
      <c r="G239" s="12" t="n">
        <v>73.1</v>
      </c>
      <c r="H239" s="12" t="n">
        <v>71.15</v>
      </c>
      <c r="I239" s="12" t="s">
        <v>295</v>
      </c>
      <c r="J239" s="12" t="n">
        <v>2</v>
      </c>
      <c r="K239" s="12" t="n">
        <v>2</v>
      </c>
      <c r="L239" s="28" t="n">
        <v>1</v>
      </c>
      <c r="M239" s="12" t="n">
        <f aca="false">IF(L239=1,COUNTIFS($C$2:$C$1090,C239,$L$2:$L$1090,1),"")</f>
        <v>11</v>
      </c>
      <c r="N239" s="12" t="n">
        <f aca="false">IF(L239=1,1+COUNTIFS($C$2:$C$1090,C239,$L$2:$L$1090,1,$G$2:$G$1090,"&gt;"&amp;G239),"")</f>
        <v>2</v>
      </c>
      <c r="O239" s="12" t="n">
        <f aca="false">IF(L239=1,1+COUNTIFS($C$2:$C$1090,C239,$L$2:$L$1090,1,$H$2:$H$1090,"&gt;"&amp;H239),"")</f>
        <v>2</v>
      </c>
      <c r="P239" s="12" t="n">
        <f aca="false">IF(L239=1,N239-O239,"")</f>
        <v>0</v>
      </c>
      <c r="Q239" s="12" t="n">
        <f aca="false">INDEX(Directions!$D$2:$D$100,MATCH(C239,Directions!$A$2:$A$100,0))</f>
        <v>1</v>
      </c>
      <c r="R239" s="12" t="n">
        <f aca="false">IF(L239=1,P239*Q239,"")</f>
        <v>0</v>
      </c>
      <c r="S239" s="12" t="str">
        <f aca="false">IF(L239&lt;&gt;1,"Excluded",IF(Q239=0,"No direction",IF(R239&gt;0,"Better",IF(R239&lt;0,"Worse","No change"))))</f>
        <v>No change</v>
      </c>
      <c r="T239" s="12" t="s">
        <v>308</v>
      </c>
      <c r="U239" s="12" t="str">
        <f aca="false">C239&amp;"|"&amp;E239</f>
        <v>F4_05|CHE</v>
      </c>
    </row>
    <row r="240" customFormat="false" ht="15" hidden="false" customHeight="false" outlineLevel="0" collapsed="false">
      <c r="A240" s="12" t="n">
        <v>4</v>
      </c>
      <c r="B240" s="12" t="s">
        <v>39</v>
      </c>
      <c r="C240" s="12" t="s">
        <v>97</v>
      </c>
      <c r="D240" s="12" t="s">
        <v>98</v>
      </c>
      <c r="E240" s="12" t="s">
        <v>287</v>
      </c>
      <c r="F240" s="12" t="s">
        <v>34</v>
      </c>
      <c r="G240" s="12" t="n">
        <v>71.2</v>
      </c>
      <c r="H240" s="12" t="n">
        <v>70.06</v>
      </c>
      <c r="I240" s="12" t="s">
        <v>295</v>
      </c>
      <c r="J240" s="12" t="n">
        <v>10</v>
      </c>
      <c r="K240" s="12" t="n">
        <v>6</v>
      </c>
      <c r="L240" s="28" t="n">
        <v>1</v>
      </c>
      <c r="M240" s="12" t="n">
        <f aca="false">IF(L240=1,COUNTIFS($C$2:$C$1090,C240,$L$2:$L$1090,1),"")</f>
        <v>11</v>
      </c>
      <c r="N240" s="12" t="n">
        <f aca="false">IF(L240=1,1+COUNTIFS($C$2:$C$1090,C240,$L$2:$L$1090,1,$G$2:$G$1090,"&gt;"&amp;G240),"")</f>
        <v>10</v>
      </c>
      <c r="O240" s="12" t="n">
        <f aca="false">IF(L240=1,1+COUNTIFS($C$2:$C$1090,C240,$L$2:$L$1090,1,$H$2:$H$1090,"&gt;"&amp;H240),"")</f>
        <v>6</v>
      </c>
      <c r="P240" s="12" t="n">
        <f aca="false">IF(L240=1,N240-O240,"")</f>
        <v>4</v>
      </c>
      <c r="Q240" s="12" t="n">
        <f aca="false">INDEX(Directions!$D$2:$D$100,MATCH(C240,Directions!$A$2:$A$100,0))</f>
        <v>1</v>
      </c>
      <c r="R240" s="12" t="n">
        <f aca="false">IF(L240=1,P240*Q240,"")</f>
        <v>4</v>
      </c>
      <c r="S240" s="12" t="str">
        <f aca="false">IF(L240&lt;&gt;1,"Excluded",IF(Q240=0,"No direction",IF(R240&gt;0,"Better",IF(R240&lt;0,"Worse","No change"))))</f>
        <v>Better</v>
      </c>
      <c r="T240" s="12" t="s">
        <v>308</v>
      </c>
      <c r="U240" s="12" t="str">
        <f aca="false">C240&amp;"|"&amp;E240</f>
        <v>F4_05|DNK</v>
      </c>
    </row>
    <row r="241" customFormat="false" ht="15" hidden="false" customHeight="false" outlineLevel="0" collapsed="false">
      <c r="A241" s="12" t="n">
        <v>4</v>
      </c>
      <c r="B241" s="12" t="s">
        <v>39</v>
      </c>
      <c r="C241" s="12" t="s">
        <v>97</v>
      </c>
      <c r="D241" s="12" t="s">
        <v>98</v>
      </c>
      <c r="E241" s="12" t="s">
        <v>288</v>
      </c>
      <c r="F241" s="12" t="s">
        <v>35</v>
      </c>
      <c r="G241" s="12" t="n">
        <v>72.3</v>
      </c>
      <c r="H241" s="12" t="n">
        <v>69.78</v>
      </c>
      <c r="I241" s="12" t="s">
        <v>295</v>
      </c>
      <c r="J241" s="12" t="n">
        <v>4</v>
      </c>
      <c r="K241" s="12" t="n">
        <v>8</v>
      </c>
      <c r="L241" s="28" t="n">
        <v>1</v>
      </c>
      <c r="M241" s="12" t="n">
        <f aca="false">IF(L241=1,COUNTIFS($C$2:$C$1090,C241,$L$2:$L$1090,1),"")</f>
        <v>11</v>
      </c>
      <c r="N241" s="12" t="n">
        <f aca="false">IF(L241=1,1+COUNTIFS($C$2:$C$1090,C241,$L$2:$L$1090,1,$G$2:$G$1090,"&gt;"&amp;G241),"")</f>
        <v>4</v>
      </c>
      <c r="O241" s="12" t="n">
        <f aca="false">IF(L241=1,1+COUNTIFS($C$2:$C$1090,C241,$L$2:$L$1090,1,$H$2:$H$1090,"&gt;"&amp;H241),"")</f>
        <v>8</v>
      </c>
      <c r="P241" s="12" t="n">
        <f aca="false">IF(L241=1,N241-O241,"")</f>
        <v>-4</v>
      </c>
      <c r="Q241" s="12" t="n">
        <f aca="false">INDEX(Directions!$D$2:$D$100,MATCH(C241,Directions!$A$2:$A$100,0))</f>
        <v>1</v>
      </c>
      <c r="R241" s="12" t="n">
        <f aca="false">IF(L241=1,P241*Q241,"")</f>
        <v>-4</v>
      </c>
      <c r="S241" s="12" t="str">
        <f aca="false">IF(L241&lt;&gt;1,"Excluded",IF(Q241=0,"No direction",IF(R241&gt;0,"Better",IF(R241&lt;0,"Worse","No change"))))</f>
        <v>Worse</v>
      </c>
      <c r="T241" s="12" t="s">
        <v>308</v>
      </c>
      <c r="U241" s="12" t="str">
        <f aca="false">C241&amp;"|"&amp;E241</f>
        <v>F4_05|CAN</v>
      </c>
    </row>
    <row r="242" customFormat="false" ht="15" hidden="false" customHeight="false" outlineLevel="0" collapsed="false">
      <c r="A242" s="12" t="n">
        <v>4</v>
      </c>
      <c r="B242" s="12" t="s">
        <v>39</v>
      </c>
      <c r="C242" s="12" t="s">
        <v>97</v>
      </c>
      <c r="D242" s="12" t="s">
        <v>98</v>
      </c>
      <c r="E242" s="12" t="s">
        <v>289</v>
      </c>
      <c r="F242" s="12" t="s">
        <v>36</v>
      </c>
      <c r="G242" s="12" t="n">
        <v>74.9</v>
      </c>
      <c r="H242" s="12" t="n">
        <v>73.4</v>
      </c>
      <c r="I242" s="12" t="s">
        <v>295</v>
      </c>
      <c r="J242" s="12" t="n">
        <v>1</v>
      </c>
      <c r="K242" s="12" t="n">
        <v>1</v>
      </c>
      <c r="L242" s="28" t="n">
        <v>1</v>
      </c>
      <c r="M242" s="12" t="n">
        <f aca="false">IF(L242=1,COUNTIFS($C$2:$C$1090,C242,$L$2:$L$1090,1),"")</f>
        <v>11</v>
      </c>
      <c r="N242" s="12" t="n">
        <f aca="false">IF(L242=1,1+COUNTIFS($C$2:$C$1090,C242,$L$2:$L$1090,1,$G$2:$G$1090,"&gt;"&amp;G242),"")</f>
        <v>1</v>
      </c>
      <c r="O242" s="12" t="n">
        <f aca="false">IF(L242=1,1+COUNTIFS($C$2:$C$1090,C242,$L$2:$L$1090,1,$H$2:$H$1090,"&gt;"&amp;H242),"")</f>
        <v>1</v>
      </c>
      <c r="P242" s="12" t="n">
        <f aca="false">IF(L242=1,N242-O242,"")</f>
        <v>0</v>
      </c>
      <c r="Q242" s="12" t="n">
        <f aca="false">INDEX(Directions!$D$2:$D$100,MATCH(C242,Directions!$A$2:$A$100,0))</f>
        <v>1</v>
      </c>
      <c r="R242" s="12" t="n">
        <f aca="false">IF(L242=1,P242*Q242,"")</f>
        <v>0</v>
      </c>
      <c r="S242" s="12" t="str">
        <f aca="false">IF(L242&lt;&gt;1,"Excluded",IF(Q242=0,"No direction",IF(R242&gt;0,"Better",IF(R242&lt;0,"Worse","No change"))))</f>
        <v>No change</v>
      </c>
      <c r="T242" s="12" t="s">
        <v>308</v>
      </c>
      <c r="U242" s="12" t="str">
        <f aca="false">C242&amp;"|"&amp;E242</f>
        <v>F4_05|JPN</v>
      </c>
    </row>
    <row r="243" customFormat="false" ht="15" hidden="false" customHeight="false" outlineLevel="0" collapsed="false">
      <c r="A243" s="12" t="n">
        <v>4</v>
      </c>
      <c r="B243" s="12" t="s">
        <v>39</v>
      </c>
      <c r="C243" s="12" t="s">
        <v>97</v>
      </c>
      <c r="D243" s="12" t="s">
        <v>98</v>
      </c>
      <c r="E243" s="12" t="s">
        <v>290</v>
      </c>
      <c r="F243" s="12" t="s">
        <v>37</v>
      </c>
      <c r="G243" s="12" t="n">
        <v>71.9</v>
      </c>
      <c r="H243" s="12" t="n">
        <v>70.61</v>
      </c>
      <c r="I243" s="12" t="s">
        <v>295</v>
      </c>
      <c r="J243" s="12" t="n">
        <v>7</v>
      </c>
      <c r="K243" s="12" t="n">
        <v>4</v>
      </c>
      <c r="L243" s="28" t="n">
        <v>1</v>
      </c>
      <c r="M243" s="12" t="n">
        <f aca="false">IF(L243=1,COUNTIFS($C$2:$C$1090,C243,$L$2:$L$1090,1),"")</f>
        <v>11</v>
      </c>
      <c r="N243" s="12" t="n">
        <f aca="false">IF(L243=1,1+COUNTIFS($C$2:$C$1090,C243,$L$2:$L$1090,1,$G$2:$G$1090,"&gt;"&amp;G243),"")</f>
        <v>7</v>
      </c>
      <c r="O243" s="12" t="n">
        <f aca="false">IF(L243=1,1+COUNTIFS($C$2:$C$1090,C243,$L$2:$L$1090,1,$H$2:$H$1090,"&gt;"&amp;H243),"")</f>
        <v>4</v>
      </c>
      <c r="P243" s="12" t="n">
        <f aca="false">IF(L243=1,N243-O243,"")</f>
        <v>3</v>
      </c>
      <c r="Q243" s="12" t="n">
        <f aca="false">INDEX(Directions!$D$2:$D$100,MATCH(C243,Directions!$A$2:$A$100,0))</f>
        <v>1</v>
      </c>
      <c r="R243" s="12" t="n">
        <f aca="false">IF(L243=1,P243*Q243,"")</f>
        <v>3</v>
      </c>
      <c r="S243" s="12" t="str">
        <f aca="false">IF(L243&lt;&gt;1,"Excluded",IF(Q243=0,"No direction",IF(R243&gt;0,"Better",IF(R243&lt;0,"Worse","No change"))))</f>
        <v>Better</v>
      </c>
      <c r="T243" s="12" t="s">
        <v>308</v>
      </c>
      <c r="U243" s="12" t="str">
        <f aca="false">C243&amp;"|"&amp;E243</f>
        <v>F4_05|AUS</v>
      </c>
    </row>
    <row r="244" customFormat="false" ht="15" hidden="false" customHeight="false" outlineLevel="0" collapsed="false">
      <c r="A244" s="12" t="n">
        <v>4</v>
      </c>
      <c r="B244" s="12" t="s">
        <v>39</v>
      </c>
      <c r="C244" s="12" t="s">
        <v>99</v>
      </c>
      <c r="D244" s="12" t="s">
        <v>100</v>
      </c>
      <c r="E244" s="12" t="s">
        <v>281</v>
      </c>
      <c r="F244" s="12" t="s">
        <v>27</v>
      </c>
      <c r="G244" s="12" t="n">
        <v>42.6</v>
      </c>
      <c r="H244" s="12" t="n">
        <v>42.9</v>
      </c>
      <c r="I244" s="12" t="s">
        <v>293</v>
      </c>
      <c r="J244" s="12" t="n">
        <v>11</v>
      </c>
      <c r="K244" s="12" t="n">
        <v>11</v>
      </c>
      <c r="L244" s="28" t="n">
        <v>1</v>
      </c>
      <c r="M244" s="12" t="n">
        <f aca="false">IF(L244=1,COUNTIFS($C$2:$C$1090,C244,$L$2:$L$1090,1),"")</f>
        <v>11</v>
      </c>
      <c r="N244" s="12" t="n">
        <f aca="false">IF(L244=1,1+COUNTIFS($C$2:$C$1090,C244,$L$2:$L$1090,1,$G$2:$G$1090,"&gt;"&amp;G244),"")</f>
        <v>11</v>
      </c>
      <c r="O244" s="12" t="n">
        <f aca="false">IF(L244=1,1+COUNTIFS($C$2:$C$1090,C244,$L$2:$L$1090,1,$H$2:$H$1090,"&gt;"&amp;H244),"")</f>
        <v>11</v>
      </c>
      <c r="P244" s="12" t="n">
        <f aca="false">IF(L244=1,N244-O244,"")</f>
        <v>0</v>
      </c>
      <c r="Q244" s="12" t="n">
        <f aca="false">INDEX(Directions!$D$2:$D$100,MATCH(C244,Directions!$A$2:$A$100,0))</f>
        <v>1</v>
      </c>
      <c r="R244" s="12" t="n">
        <f aca="false">IF(L244=1,P244*Q244,"")</f>
        <v>0</v>
      </c>
      <c r="S244" s="12" t="str">
        <f aca="false">IF(L244&lt;&gt;1,"Excluded",IF(Q244=0,"No direction",IF(R244&gt;0,"Better",IF(R244&lt;0,"Worse","No change"))))</f>
        <v>No change</v>
      </c>
      <c r="T244" s="12"/>
      <c r="U244" s="12" t="str">
        <f aca="false">C244&amp;"|"&amp;E244</f>
        <v>F4_06|USA</v>
      </c>
    </row>
    <row r="245" customFormat="false" ht="15" hidden="false" customHeight="false" outlineLevel="0" collapsed="false">
      <c r="A245" s="12" t="n">
        <v>4</v>
      </c>
      <c r="B245" s="12" t="s">
        <v>39</v>
      </c>
      <c r="C245" s="12" t="s">
        <v>99</v>
      </c>
      <c r="D245" s="12" t="s">
        <v>100</v>
      </c>
      <c r="E245" s="12" t="s">
        <v>283</v>
      </c>
      <c r="F245" s="12" t="s">
        <v>28</v>
      </c>
      <c r="G245" s="12" t="n">
        <v>43.7</v>
      </c>
      <c r="H245" s="12" t="n">
        <v>44.2</v>
      </c>
      <c r="I245" s="12" t="s">
        <v>293</v>
      </c>
      <c r="J245" s="12" t="n">
        <v>9</v>
      </c>
      <c r="K245" s="12" t="n">
        <v>8</v>
      </c>
      <c r="L245" s="28" t="n">
        <v>1</v>
      </c>
      <c r="M245" s="12" t="n">
        <f aca="false">IF(L245=1,COUNTIFS($C$2:$C$1090,C245,$L$2:$L$1090,1),"")</f>
        <v>11</v>
      </c>
      <c r="N245" s="12" t="n">
        <f aca="false">IF(L245=1,1+COUNTIFS($C$2:$C$1090,C245,$L$2:$L$1090,1,$G$2:$G$1090,"&gt;"&amp;G245),"")</f>
        <v>9</v>
      </c>
      <c r="O245" s="12" t="n">
        <f aca="false">IF(L245=1,1+COUNTIFS($C$2:$C$1090,C245,$L$2:$L$1090,1,$H$2:$H$1090,"&gt;"&amp;H245),"")</f>
        <v>8</v>
      </c>
      <c r="P245" s="12" t="n">
        <f aca="false">IF(L245=1,N245-O245,"")</f>
        <v>1</v>
      </c>
      <c r="Q245" s="12" t="n">
        <f aca="false">INDEX(Directions!$D$2:$D$100,MATCH(C245,Directions!$A$2:$A$100,0))</f>
        <v>1</v>
      </c>
      <c r="R245" s="12" t="n">
        <f aca="false">IF(L245=1,P245*Q245,"")</f>
        <v>1</v>
      </c>
      <c r="S245" s="12" t="str">
        <f aca="false">IF(L245&lt;&gt;1,"Excluded",IF(Q245=0,"No direction",IF(R245&gt;0,"Better",IF(R245&lt;0,"Worse","No change"))))</f>
        <v>Better</v>
      </c>
      <c r="T245" s="12"/>
      <c r="U245" s="12" t="str">
        <f aca="false">C245&amp;"|"&amp;E245</f>
        <v>F4_06|GBR</v>
      </c>
    </row>
    <row r="246" customFormat="false" ht="15" hidden="false" customHeight="false" outlineLevel="0" collapsed="false">
      <c r="A246" s="12" t="n">
        <v>4</v>
      </c>
      <c r="B246" s="12" t="s">
        <v>39</v>
      </c>
      <c r="C246" s="12" t="s">
        <v>99</v>
      </c>
      <c r="D246" s="12" t="s">
        <v>100</v>
      </c>
      <c r="E246" s="12" t="s">
        <v>284</v>
      </c>
      <c r="F246" s="12" t="s">
        <v>29</v>
      </c>
      <c r="G246" s="12" t="n">
        <v>43.9</v>
      </c>
      <c r="H246" s="12" t="n">
        <v>44.2</v>
      </c>
      <c r="I246" s="12" t="s">
        <v>293</v>
      </c>
      <c r="J246" s="12" t="n">
        <v>7</v>
      </c>
      <c r="K246" s="12" t="n">
        <v>9</v>
      </c>
      <c r="L246" s="28" t="n">
        <v>1</v>
      </c>
      <c r="M246" s="12" t="n">
        <f aca="false">IF(L246=1,COUNTIFS($C$2:$C$1090,C246,$L$2:$L$1090,1),"")</f>
        <v>11</v>
      </c>
      <c r="N246" s="12" t="n">
        <f aca="false">IF(L246=1,1+COUNTIFS($C$2:$C$1090,C246,$L$2:$L$1090,1,$G$2:$G$1090,"&gt;"&amp;G246),"")</f>
        <v>7</v>
      </c>
      <c r="O246" s="12" t="n">
        <f aca="false">IF(L246=1,1+COUNTIFS($C$2:$C$1090,C246,$L$2:$L$1090,1,$H$2:$H$1090,"&gt;"&amp;H246),"")</f>
        <v>8</v>
      </c>
      <c r="P246" s="12" t="n">
        <f aca="false">IF(L246=1,N246-O246,"")</f>
        <v>-1</v>
      </c>
      <c r="Q246" s="12" t="n">
        <f aca="false">INDEX(Directions!$D$2:$D$100,MATCH(C246,Directions!$A$2:$A$100,0))</f>
        <v>1</v>
      </c>
      <c r="R246" s="12" t="n">
        <f aca="false">IF(L246=1,P246*Q246,"")</f>
        <v>-1</v>
      </c>
      <c r="S246" s="12" t="str">
        <f aca="false">IF(L246&lt;&gt;1,"Excluded",IF(Q246=0,"No direction",IF(R246&gt;0,"Better",IF(R246&lt;0,"Worse","No change"))))</f>
        <v>Worse</v>
      </c>
      <c r="T246" s="12"/>
      <c r="U246" s="12" t="str">
        <f aca="false">C246&amp;"|"&amp;E246</f>
        <v>F4_06|DEU</v>
      </c>
    </row>
    <row r="247" customFormat="false" ht="15" hidden="false" customHeight="false" outlineLevel="0" collapsed="false">
      <c r="A247" s="12" t="n">
        <v>4</v>
      </c>
      <c r="B247" s="12" t="s">
        <v>39</v>
      </c>
      <c r="C247" s="12" t="s">
        <v>99</v>
      </c>
      <c r="D247" s="12" t="s">
        <v>100</v>
      </c>
      <c r="E247" s="12" t="s">
        <v>285</v>
      </c>
      <c r="F247" s="12" t="s">
        <v>30</v>
      </c>
      <c r="G247" s="12" t="n">
        <v>44.8</v>
      </c>
      <c r="H247" s="12" t="n">
        <v>45.9</v>
      </c>
      <c r="I247" s="12" t="s">
        <v>293</v>
      </c>
      <c r="J247" s="12" t="n">
        <v>5</v>
      </c>
      <c r="K247" s="12" t="n">
        <v>4</v>
      </c>
      <c r="L247" s="28" t="n">
        <v>1</v>
      </c>
      <c r="M247" s="12" t="n">
        <f aca="false">IF(L247=1,COUNTIFS($C$2:$C$1090,C247,$L$2:$L$1090,1),"")</f>
        <v>11</v>
      </c>
      <c r="N247" s="12" t="n">
        <f aca="false">IF(L247=1,1+COUNTIFS($C$2:$C$1090,C247,$L$2:$L$1090,1,$G$2:$G$1090,"&gt;"&amp;G247),"")</f>
        <v>5</v>
      </c>
      <c r="O247" s="12" t="n">
        <f aca="false">IF(L247=1,1+COUNTIFS($C$2:$C$1090,C247,$L$2:$L$1090,1,$H$2:$H$1090,"&gt;"&amp;H247),"")</f>
        <v>4</v>
      </c>
      <c r="P247" s="12" t="n">
        <f aca="false">IF(L247=1,N247-O247,"")</f>
        <v>1</v>
      </c>
      <c r="Q247" s="12" t="n">
        <f aca="false">INDEX(Directions!$D$2:$D$100,MATCH(C247,Directions!$A$2:$A$100,0))</f>
        <v>1</v>
      </c>
      <c r="R247" s="12" t="n">
        <f aca="false">IF(L247=1,P247*Q247,"")</f>
        <v>1</v>
      </c>
      <c r="S247" s="12" t="str">
        <f aca="false">IF(L247&lt;&gt;1,"Excluded",IF(Q247=0,"No direction",IF(R247&gt;0,"Better",IF(R247&lt;0,"Worse","No change"))))</f>
        <v>Better</v>
      </c>
      <c r="T247" s="12"/>
      <c r="U247" s="12" t="str">
        <f aca="false">C247&amp;"|"&amp;E247</f>
        <v>F4_06|SWE</v>
      </c>
    </row>
    <row r="248" customFormat="false" ht="15" hidden="false" customHeight="false" outlineLevel="0" collapsed="false">
      <c r="A248" s="12" t="n">
        <v>4</v>
      </c>
      <c r="B248" s="12" t="s">
        <v>39</v>
      </c>
      <c r="C248" s="12" t="s">
        <v>99</v>
      </c>
      <c r="D248" s="12" t="s">
        <v>100</v>
      </c>
      <c r="E248" s="12" t="s">
        <v>286</v>
      </c>
      <c r="F248" s="12" t="s">
        <v>31</v>
      </c>
      <c r="G248" s="12" t="n">
        <v>46.4</v>
      </c>
      <c r="H248" s="12" t="n">
        <v>46.6</v>
      </c>
      <c r="I248" s="12" t="s">
        <v>293</v>
      </c>
      <c r="J248" s="12" t="n">
        <v>2</v>
      </c>
      <c r="K248" s="12" t="n">
        <v>2</v>
      </c>
      <c r="L248" s="28" t="n">
        <v>1</v>
      </c>
      <c r="M248" s="12" t="n">
        <f aca="false">IF(L248=1,COUNTIFS($C$2:$C$1090,C248,$L$2:$L$1090,1),"")</f>
        <v>11</v>
      </c>
      <c r="N248" s="12" t="n">
        <f aca="false">IF(L248=1,1+COUNTIFS($C$2:$C$1090,C248,$L$2:$L$1090,1,$G$2:$G$1090,"&gt;"&amp;G248),"")</f>
        <v>2</v>
      </c>
      <c r="O248" s="12" t="n">
        <f aca="false">IF(L248=1,1+COUNTIFS($C$2:$C$1090,C248,$L$2:$L$1090,1,$H$2:$H$1090,"&gt;"&amp;H248),"")</f>
        <v>2</v>
      </c>
      <c r="P248" s="12" t="n">
        <f aca="false">IF(L248=1,N248-O248,"")</f>
        <v>0</v>
      </c>
      <c r="Q248" s="12" t="n">
        <f aca="false">INDEX(Directions!$D$2:$D$100,MATCH(C248,Directions!$A$2:$A$100,0))</f>
        <v>1</v>
      </c>
      <c r="R248" s="12" t="n">
        <f aca="false">IF(L248=1,P248*Q248,"")</f>
        <v>0</v>
      </c>
      <c r="S248" s="12" t="str">
        <f aca="false">IF(L248&lt;&gt;1,"Excluded",IF(Q248=0,"No direction",IF(R248&gt;0,"Better",IF(R248&lt;0,"Worse","No change"))))</f>
        <v>No change</v>
      </c>
      <c r="T248" s="12"/>
      <c r="U248" s="12" t="str">
        <f aca="false">C248&amp;"|"&amp;E248</f>
        <v>F4_06|FRA</v>
      </c>
    </row>
    <row r="249" customFormat="false" ht="15" hidden="false" customHeight="false" outlineLevel="0" collapsed="false">
      <c r="A249" s="12" t="n">
        <v>4</v>
      </c>
      <c r="B249" s="12" t="s">
        <v>39</v>
      </c>
      <c r="C249" s="12" t="s">
        <v>99</v>
      </c>
      <c r="D249" s="12" t="s">
        <v>100</v>
      </c>
      <c r="E249" s="12" t="s">
        <v>32</v>
      </c>
      <c r="F249" s="12" t="s">
        <v>32</v>
      </c>
      <c r="G249" s="12" t="n">
        <v>43.9</v>
      </c>
      <c r="H249" s="12" t="n">
        <v>44</v>
      </c>
      <c r="I249" s="12" t="s">
        <v>293</v>
      </c>
      <c r="J249" s="12" t="n">
        <v>8</v>
      </c>
      <c r="K249" s="12" t="n">
        <v>10</v>
      </c>
      <c r="L249" s="28" t="n">
        <v>1</v>
      </c>
      <c r="M249" s="12" t="n">
        <f aca="false">IF(L249=1,COUNTIFS($C$2:$C$1090,C249,$L$2:$L$1090,1),"")</f>
        <v>11</v>
      </c>
      <c r="N249" s="12" t="n">
        <f aca="false">IF(L249=1,1+COUNTIFS($C$2:$C$1090,C249,$L$2:$L$1090,1,$G$2:$G$1090,"&gt;"&amp;G249),"")</f>
        <v>7</v>
      </c>
      <c r="O249" s="12" t="n">
        <f aca="false">IF(L249=1,1+COUNTIFS($C$2:$C$1090,C249,$L$2:$L$1090,1,$H$2:$H$1090,"&gt;"&amp;H249),"")</f>
        <v>10</v>
      </c>
      <c r="P249" s="12" t="n">
        <f aca="false">IF(L249=1,N249-O249,"")</f>
        <v>-3</v>
      </c>
      <c r="Q249" s="12" t="n">
        <f aca="false">INDEX(Directions!$D$2:$D$100,MATCH(C249,Directions!$A$2:$A$100,0))</f>
        <v>1</v>
      </c>
      <c r="R249" s="12" t="n">
        <f aca="false">IF(L249=1,P249*Q249,"")</f>
        <v>-3</v>
      </c>
      <c r="S249" s="12" t="str">
        <f aca="false">IF(L249&lt;&gt;1,"Excluded",IF(Q249=0,"No direction",IF(R249&gt;0,"Better",IF(R249&lt;0,"Worse","No change"))))</f>
        <v>Worse</v>
      </c>
      <c r="T249" s="12"/>
      <c r="U249" s="12" t="str">
        <f aca="false">C249&amp;"|"&amp;E249</f>
        <v>F4_06|NLD</v>
      </c>
    </row>
    <row r="250" customFormat="false" ht="15" hidden="false" customHeight="false" outlineLevel="0" collapsed="false">
      <c r="A250" s="12" t="n">
        <v>4</v>
      </c>
      <c r="B250" s="12" t="s">
        <v>39</v>
      </c>
      <c r="C250" s="12" t="s">
        <v>99</v>
      </c>
      <c r="D250" s="12" t="s">
        <v>100</v>
      </c>
      <c r="E250" s="12" t="s">
        <v>33</v>
      </c>
      <c r="F250" s="12" t="s">
        <v>33</v>
      </c>
      <c r="G250" s="12" t="n">
        <v>45.8</v>
      </c>
      <c r="H250" s="12" t="n">
        <v>46.6</v>
      </c>
      <c r="I250" s="12" t="s">
        <v>293</v>
      </c>
      <c r="J250" s="12" t="n">
        <v>3</v>
      </c>
      <c r="K250" s="12" t="n">
        <v>3</v>
      </c>
      <c r="L250" s="28" t="n">
        <v>1</v>
      </c>
      <c r="M250" s="12" t="n">
        <f aca="false">IF(L250=1,COUNTIFS($C$2:$C$1090,C250,$L$2:$L$1090,1),"")</f>
        <v>11</v>
      </c>
      <c r="N250" s="12" t="n">
        <f aca="false">IF(L250=1,1+COUNTIFS($C$2:$C$1090,C250,$L$2:$L$1090,1,$G$2:$G$1090,"&gt;"&amp;G250),"")</f>
        <v>3</v>
      </c>
      <c r="O250" s="12" t="n">
        <f aca="false">IF(L250=1,1+COUNTIFS($C$2:$C$1090,C250,$L$2:$L$1090,1,$H$2:$H$1090,"&gt;"&amp;H250),"")</f>
        <v>2</v>
      </c>
      <c r="P250" s="12" t="n">
        <f aca="false">IF(L250=1,N250-O250,"")</f>
        <v>1</v>
      </c>
      <c r="Q250" s="12" t="n">
        <f aca="false">INDEX(Directions!$D$2:$D$100,MATCH(C250,Directions!$A$2:$A$100,0))</f>
        <v>1</v>
      </c>
      <c r="R250" s="12" t="n">
        <f aca="false">IF(L250=1,P250*Q250,"")</f>
        <v>1</v>
      </c>
      <c r="S250" s="12" t="str">
        <f aca="false">IF(L250&lt;&gt;1,"Excluded",IF(Q250=0,"No direction",IF(R250&gt;0,"Better",IF(R250&lt;0,"Worse","No change"))))</f>
        <v>Better</v>
      </c>
      <c r="T250" s="12"/>
      <c r="U250" s="12" t="str">
        <f aca="false">C250&amp;"|"&amp;E250</f>
        <v>F4_06|CHE</v>
      </c>
    </row>
    <row r="251" customFormat="false" ht="15" hidden="false" customHeight="false" outlineLevel="0" collapsed="false">
      <c r="A251" s="12" t="n">
        <v>4</v>
      </c>
      <c r="B251" s="12" t="s">
        <v>39</v>
      </c>
      <c r="C251" s="12" t="s">
        <v>99</v>
      </c>
      <c r="D251" s="12" t="s">
        <v>100</v>
      </c>
      <c r="E251" s="12" t="s">
        <v>287</v>
      </c>
      <c r="F251" s="12" t="s">
        <v>34</v>
      </c>
      <c r="G251" s="12" t="n">
        <v>43.4</v>
      </c>
      <c r="H251" s="12" t="n">
        <v>44.6</v>
      </c>
      <c r="I251" s="12" t="s">
        <v>293</v>
      </c>
      <c r="J251" s="12" t="n">
        <v>10</v>
      </c>
      <c r="K251" s="12" t="n">
        <v>7</v>
      </c>
      <c r="L251" s="28" t="n">
        <v>1</v>
      </c>
      <c r="M251" s="12" t="n">
        <f aca="false">IF(L251=1,COUNTIFS($C$2:$C$1090,C251,$L$2:$L$1090,1),"")</f>
        <v>11</v>
      </c>
      <c r="N251" s="12" t="n">
        <f aca="false">IF(L251=1,1+COUNTIFS($C$2:$C$1090,C251,$L$2:$L$1090,1,$G$2:$G$1090,"&gt;"&amp;G251),"")</f>
        <v>10</v>
      </c>
      <c r="O251" s="12" t="n">
        <f aca="false">IF(L251=1,1+COUNTIFS($C$2:$C$1090,C251,$L$2:$L$1090,1,$H$2:$H$1090,"&gt;"&amp;H251),"")</f>
        <v>7</v>
      </c>
      <c r="P251" s="12" t="n">
        <f aca="false">IF(L251=1,N251-O251,"")</f>
        <v>3</v>
      </c>
      <c r="Q251" s="12" t="n">
        <f aca="false">INDEX(Directions!$D$2:$D$100,MATCH(C251,Directions!$A$2:$A$100,0))</f>
        <v>1</v>
      </c>
      <c r="R251" s="12" t="n">
        <f aca="false">IF(L251=1,P251*Q251,"")</f>
        <v>3</v>
      </c>
      <c r="S251" s="12" t="str">
        <f aca="false">IF(L251&lt;&gt;1,"Excluded",IF(Q251=0,"No direction",IF(R251&gt;0,"Better",IF(R251&lt;0,"Worse","No change"))))</f>
        <v>Better</v>
      </c>
      <c r="T251" s="12"/>
      <c r="U251" s="12" t="str">
        <f aca="false">C251&amp;"|"&amp;E251</f>
        <v>F4_06|DNK</v>
      </c>
    </row>
    <row r="252" customFormat="false" ht="15" hidden="false" customHeight="false" outlineLevel="0" collapsed="false">
      <c r="A252" s="12" t="n">
        <v>4</v>
      </c>
      <c r="B252" s="12" t="s">
        <v>39</v>
      </c>
      <c r="C252" s="12" t="s">
        <v>99</v>
      </c>
      <c r="D252" s="12" t="s">
        <v>100</v>
      </c>
      <c r="E252" s="12" t="s">
        <v>288</v>
      </c>
      <c r="F252" s="12" t="s">
        <v>35</v>
      </c>
      <c r="G252" s="12" t="n">
        <v>44.8</v>
      </c>
      <c r="H252" s="12" t="n">
        <v>45.4</v>
      </c>
      <c r="I252" s="12" t="s">
        <v>293</v>
      </c>
      <c r="J252" s="12" t="n">
        <v>6</v>
      </c>
      <c r="K252" s="12" t="n">
        <v>6</v>
      </c>
      <c r="L252" s="28" t="n">
        <v>1</v>
      </c>
      <c r="M252" s="12" t="n">
        <f aca="false">IF(L252=1,COUNTIFS($C$2:$C$1090,C252,$L$2:$L$1090,1),"")</f>
        <v>11</v>
      </c>
      <c r="N252" s="12" t="n">
        <f aca="false">IF(L252=1,1+COUNTIFS($C$2:$C$1090,C252,$L$2:$L$1090,1,$G$2:$G$1090,"&gt;"&amp;G252),"")</f>
        <v>5</v>
      </c>
      <c r="O252" s="12" t="n">
        <f aca="false">IF(L252=1,1+COUNTIFS($C$2:$C$1090,C252,$L$2:$L$1090,1,$H$2:$H$1090,"&gt;"&amp;H252),"")</f>
        <v>6</v>
      </c>
      <c r="P252" s="12" t="n">
        <f aca="false">IF(L252=1,N252-O252,"")</f>
        <v>-1</v>
      </c>
      <c r="Q252" s="12" t="n">
        <f aca="false">INDEX(Directions!$D$2:$D$100,MATCH(C252,Directions!$A$2:$A$100,0))</f>
        <v>1</v>
      </c>
      <c r="R252" s="12" t="n">
        <f aca="false">IF(L252=1,P252*Q252,"")</f>
        <v>-1</v>
      </c>
      <c r="S252" s="12" t="str">
        <f aca="false">IF(L252&lt;&gt;1,"Excluded",IF(Q252=0,"No direction",IF(R252&gt;0,"Better",IF(R252&lt;0,"Worse","No change"))))</f>
        <v>Worse</v>
      </c>
      <c r="T252" s="12"/>
      <c r="U252" s="12" t="str">
        <f aca="false">C252&amp;"|"&amp;E252</f>
        <v>F4_06|CAN</v>
      </c>
    </row>
    <row r="253" customFormat="false" ht="15" hidden="false" customHeight="false" outlineLevel="0" collapsed="false">
      <c r="A253" s="12" t="n">
        <v>4</v>
      </c>
      <c r="B253" s="12" t="s">
        <v>39</v>
      </c>
      <c r="C253" s="12" t="s">
        <v>99</v>
      </c>
      <c r="D253" s="12" t="s">
        <v>100</v>
      </c>
      <c r="E253" s="12" t="s">
        <v>289</v>
      </c>
      <c r="F253" s="12" t="s">
        <v>36</v>
      </c>
      <c r="G253" s="12" t="n">
        <v>47.7</v>
      </c>
      <c r="H253" s="12" t="n">
        <v>47.9</v>
      </c>
      <c r="I253" s="12" t="s">
        <v>293</v>
      </c>
      <c r="J253" s="12" t="n">
        <v>1</v>
      </c>
      <c r="K253" s="12" t="n">
        <v>1</v>
      </c>
      <c r="L253" s="28" t="n">
        <v>1</v>
      </c>
      <c r="M253" s="12" t="n">
        <f aca="false">IF(L253=1,COUNTIFS($C$2:$C$1090,C253,$L$2:$L$1090,1),"")</f>
        <v>11</v>
      </c>
      <c r="N253" s="12" t="n">
        <f aca="false">IF(L253=1,1+COUNTIFS($C$2:$C$1090,C253,$L$2:$L$1090,1,$G$2:$G$1090,"&gt;"&amp;G253),"")</f>
        <v>1</v>
      </c>
      <c r="O253" s="12" t="n">
        <f aca="false">IF(L253=1,1+COUNTIFS($C$2:$C$1090,C253,$L$2:$L$1090,1,$H$2:$H$1090,"&gt;"&amp;H253),"")</f>
        <v>1</v>
      </c>
      <c r="P253" s="12" t="n">
        <f aca="false">IF(L253=1,N253-O253,"")</f>
        <v>0</v>
      </c>
      <c r="Q253" s="12" t="n">
        <f aca="false">INDEX(Directions!$D$2:$D$100,MATCH(C253,Directions!$A$2:$A$100,0))</f>
        <v>1</v>
      </c>
      <c r="R253" s="12" t="n">
        <f aca="false">IF(L253=1,P253*Q253,"")</f>
        <v>0</v>
      </c>
      <c r="S253" s="12" t="str">
        <f aca="false">IF(L253&lt;&gt;1,"Excluded",IF(Q253=0,"No direction",IF(R253&gt;0,"Better",IF(R253&lt;0,"Worse","No change"))))</f>
        <v>No change</v>
      </c>
      <c r="T253" s="12"/>
      <c r="U253" s="12" t="str">
        <f aca="false">C253&amp;"|"&amp;E253</f>
        <v>F4_06|JPN</v>
      </c>
    </row>
    <row r="254" customFormat="false" ht="15" hidden="false" customHeight="false" outlineLevel="0" collapsed="false">
      <c r="A254" s="12" t="n">
        <v>4</v>
      </c>
      <c r="B254" s="12" t="s">
        <v>39</v>
      </c>
      <c r="C254" s="12" t="s">
        <v>99</v>
      </c>
      <c r="D254" s="12" t="s">
        <v>100</v>
      </c>
      <c r="E254" s="12" t="s">
        <v>290</v>
      </c>
      <c r="F254" s="12" t="s">
        <v>37</v>
      </c>
      <c r="G254" s="12" t="n">
        <v>45.4</v>
      </c>
      <c r="H254" s="12" t="n">
        <v>45.9</v>
      </c>
      <c r="I254" s="12" t="s">
        <v>293</v>
      </c>
      <c r="J254" s="12" t="n">
        <v>4</v>
      </c>
      <c r="K254" s="12" t="n">
        <v>5</v>
      </c>
      <c r="L254" s="28" t="n">
        <v>1</v>
      </c>
      <c r="M254" s="12" t="n">
        <f aca="false">IF(L254=1,COUNTIFS($C$2:$C$1090,C254,$L$2:$L$1090,1),"")</f>
        <v>11</v>
      </c>
      <c r="N254" s="12" t="n">
        <f aca="false">IF(L254=1,1+COUNTIFS($C$2:$C$1090,C254,$L$2:$L$1090,1,$G$2:$G$1090,"&gt;"&amp;G254),"")</f>
        <v>4</v>
      </c>
      <c r="O254" s="12" t="n">
        <f aca="false">IF(L254=1,1+COUNTIFS($C$2:$C$1090,C254,$L$2:$L$1090,1,$H$2:$H$1090,"&gt;"&amp;H254),"")</f>
        <v>4</v>
      </c>
      <c r="P254" s="12" t="n">
        <f aca="false">IF(L254=1,N254-O254,"")</f>
        <v>0</v>
      </c>
      <c r="Q254" s="12" t="n">
        <f aca="false">INDEX(Directions!$D$2:$D$100,MATCH(C254,Directions!$A$2:$A$100,0))</f>
        <v>1</v>
      </c>
      <c r="R254" s="12" t="n">
        <f aca="false">IF(L254=1,P254*Q254,"")</f>
        <v>0</v>
      </c>
      <c r="S254" s="12" t="str">
        <f aca="false">IF(L254&lt;&gt;1,"Excluded",IF(Q254=0,"No direction",IF(R254&gt;0,"Better",IF(R254&lt;0,"Worse","No change"))))</f>
        <v>No change</v>
      </c>
      <c r="T254" s="12"/>
      <c r="U254" s="12" t="str">
        <f aca="false">C254&amp;"|"&amp;E254</f>
        <v>F4_06|AUS</v>
      </c>
    </row>
    <row r="255" customFormat="false" ht="15" hidden="false" customHeight="false" outlineLevel="0" collapsed="false">
      <c r="A255" s="12" t="n">
        <v>4</v>
      </c>
      <c r="B255" s="12" t="s">
        <v>39</v>
      </c>
      <c r="C255" s="12" t="s">
        <v>101</v>
      </c>
      <c r="D255" s="12" t="s">
        <v>102</v>
      </c>
      <c r="E255" s="12" t="s">
        <v>281</v>
      </c>
      <c r="F255" s="12" t="s">
        <v>27</v>
      </c>
      <c r="G255" s="12" t="n">
        <v>38.7</v>
      </c>
      <c r="H255" s="12" t="n">
        <v>39</v>
      </c>
      <c r="I255" s="12" t="s">
        <v>293</v>
      </c>
      <c r="J255" s="12" t="n">
        <v>11</v>
      </c>
      <c r="K255" s="12" t="n">
        <v>11</v>
      </c>
      <c r="L255" s="28" t="n">
        <v>1</v>
      </c>
      <c r="M255" s="12" t="n">
        <f aca="false">IF(L255=1,COUNTIFS($C$2:$C$1090,C255,$L$2:$L$1090,1),"")</f>
        <v>11</v>
      </c>
      <c r="N255" s="12" t="n">
        <f aca="false">IF(L255=1,1+COUNTIFS($C$2:$C$1090,C255,$L$2:$L$1090,1,$G$2:$G$1090,"&gt;"&amp;G255),"")</f>
        <v>11</v>
      </c>
      <c r="O255" s="12" t="n">
        <f aca="false">IF(L255=1,1+COUNTIFS($C$2:$C$1090,C255,$L$2:$L$1090,1,$H$2:$H$1090,"&gt;"&amp;H255),"")</f>
        <v>11</v>
      </c>
      <c r="P255" s="12" t="n">
        <f aca="false">IF(L255=1,N255-O255,"")</f>
        <v>0</v>
      </c>
      <c r="Q255" s="12" t="n">
        <f aca="false">INDEX(Directions!$D$2:$D$100,MATCH(C255,Directions!$A$2:$A$100,0))</f>
        <v>1</v>
      </c>
      <c r="R255" s="12" t="n">
        <f aca="false">IF(L255=1,P255*Q255,"")</f>
        <v>0</v>
      </c>
      <c r="S255" s="12" t="str">
        <f aca="false">IF(L255&lt;&gt;1,"Excluded",IF(Q255=0,"No direction",IF(R255&gt;0,"Better",IF(R255&lt;0,"Worse","No change"))))</f>
        <v>No change</v>
      </c>
      <c r="T255" s="12"/>
      <c r="U255" s="12" t="str">
        <f aca="false">C255&amp;"|"&amp;E255</f>
        <v>F4_07|USA</v>
      </c>
    </row>
    <row r="256" customFormat="false" ht="15" hidden="false" customHeight="false" outlineLevel="0" collapsed="false">
      <c r="A256" s="12" t="n">
        <v>4</v>
      </c>
      <c r="B256" s="12" t="s">
        <v>39</v>
      </c>
      <c r="C256" s="12" t="s">
        <v>101</v>
      </c>
      <c r="D256" s="12" t="s">
        <v>102</v>
      </c>
      <c r="E256" s="12" t="s">
        <v>283</v>
      </c>
      <c r="F256" s="12" t="s">
        <v>28</v>
      </c>
      <c r="G256" s="12" t="n">
        <v>40.5</v>
      </c>
      <c r="H256" s="12" t="n">
        <v>40.7</v>
      </c>
      <c r="I256" s="12" t="s">
        <v>293</v>
      </c>
      <c r="J256" s="12" t="n">
        <v>8</v>
      </c>
      <c r="K256" s="12" t="n">
        <v>9</v>
      </c>
      <c r="L256" s="28" t="n">
        <v>1</v>
      </c>
      <c r="M256" s="12" t="n">
        <f aca="false">IF(L256=1,COUNTIFS($C$2:$C$1090,C256,$L$2:$L$1090,1),"")</f>
        <v>11</v>
      </c>
      <c r="N256" s="12" t="n">
        <f aca="false">IF(L256=1,1+COUNTIFS($C$2:$C$1090,C256,$L$2:$L$1090,1,$G$2:$G$1090,"&gt;"&amp;G256),"")</f>
        <v>8</v>
      </c>
      <c r="O256" s="12" t="n">
        <f aca="false">IF(L256=1,1+COUNTIFS($C$2:$C$1090,C256,$L$2:$L$1090,1,$H$2:$H$1090,"&gt;"&amp;H256),"")</f>
        <v>9</v>
      </c>
      <c r="P256" s="12" t="n">
        <f aca="false">IF(L256=1,N256-O256,"")</f>
        <v>-1</v>
      </c>
      <c r="Q256" s="12" t="n">
        <f aca="false">INDEX(Directions!$D$2:$D$100,MATCH(C256,Directions!$A$2:$A$100,0))</f>
        <v>1</v>
      </c>
      <c r="R256" s="12" t="n">
        <f aca="false">IF(L256=1,P256*Q256,"")</f>
        <v>-1</v>
      </c>
      <c r="S256" s="12" t="str">
        <f aca="false">IF(L256&lt;&gt;1,"Excluded",IF(Q256=0,"No direction",IF(R256&gt;0,"Better",IF(R256&lt;0,"Worse","No change"))))</f>
        <v>Worse</v>
      </c>
      <c r="T256" s="12"/>
      <c r="U256" s="12" t="str">
        <f aca="false">C256&amp;"|"&amp;E256</f>
        <v>F4_07|GBR</v>
      </c>
    </row>
    <row r="257" customFormat="false" ht="15" hidden="false" customHeight="false" outlineLevel="0" collapsed="false">
      <c r="A257" s="12" t="n">
        <v>4</v>
      </c>
      <c r="B257" s="12" t="s">
        <v>39</v>
      </c>
      <c r="C257" s="12" t="s">
        <v>101</v>
      </c>
      <c r="D257" s="12" t="s">
        <v>102</v>
      </c>
      <c r="E257" s="12" t="s">
        <v>284</v>
      </c>
      <c r="F257" s="12" t="s">
        <v>29</v>
      </c>
      <c r="G257" s="12" t="n">
        <v>39.4</v>
      </c>
      <c r="H257" s="12" t="n">
        <v>39.9</v>
      </c>
      <c r="I257" s="12" t="s">
        <v>293</v>
      </c>
      <c r="J257" s="12" t="n">
        <v>10</v>
      </c>
      <c r="K257" s="12" t="n">
        <v>10</v>
      </c>
      <c r="L257" s="28" t="n">
        <v>1</v>
      </c>
      <c r="M257" s="12" t="n">
        <f aca="false">IF(L257=1,COUNTIFS($C$2:$C$1090,C257,$L$2:$L$1090,1),"")</f>
        <v>11</v>
      </c>
      <c r="N257" s="12" t="n">
        <f aca="false">IF(L257=1,1+COUNTIFS($C$2:$C$1090,C257,$L$2:$L$1090,1,$G$2:$G$1090,"&gt;"&amp;G257),"")</f>
        <v>10</v>
      </c>
      <c r="O257" s="12" t="n">
        <f aca="false">IF(L257=1,1+COUNTIFS($C$2:$C$1090,C257,$L$2:$L$1090,1,$H$2:$H$1090,"&gt;"&amp;H257),"")</f>
        <v>10</v>
      </c>
      <c r="P257" s="12" t="n">
        <f aca="false">IF(L257=1,N257-O257,"")</f>
        <v>0</v>
      </c>
      <c r="Q257" s="12" t="n">
        <f aca="false">INDEX(Directions!$D$2:$D$100,MATCH(C257,Directions!$A$2:$A$100,0))</f>
        <v>1</v>
      </c>
      <c r="R257" s="12" t="n">
        <f aca="false">IF(L257=1,P257*Q257,"")</f>
        <v>0</v>
      </c>
      <c r="S257" s="12" t="str">
        <f aca="false">IF(L257&lt;&gt;1,"Excluded",IF(Q257=0,"No direction",IF(R257&gt;0,"Better",IF(R257&lt;0,"Worse","No change"))))</f>
        <v>No change</v>
      </c>
      <c r="T257" s="12"/>
      <c r="U257" s="12" t="str">
        <f aca="false">C257&amp;"|"&amp;E257</f>
        <v>F4_07|DEU</v>
      </c>
    </row>
    <row r="258" customFormat="false" ht="15" hidden="false" customHeight="false" outlineLevel="0" collapsed="false">
      <c r="A258" s="12" t="n">
        <v>4</v>
      </c>
      <c r="B258" s="12" t="s">
        <v>39</v>
      </c>
      <c r="C258" s="12" t="s">
        <v>101</v>
      </c>
      <c r="D258" s="12" t="s">
        <v>102</v>
      </c>
      <c r="E258" s="12" t="s">
        <v>285</v>
      </c>
      <c r="F258" s="12" t="s">
        <v>30</v>
      </c>
      <c r="G258" s="12" t="n">
        <v>41.5</v>
      </c>
      <c r="H258" s="12" t="n">
        <v>43.2</v>
      </c>
      <c r="I258" s="12" t="s">
        <v>293</v>
      </c>
      <c r="J258" s="12" t="n">
        <v>4</v>
      </c>
      <c r="K258" s="12" t="n">
        <v>2</v>
      </c>
      <c r="L258" s="28" t="n">
        <v>1</v>
      </c>
      <c r="M258" s="12" t="n">
        <f aca="false">IF(L258=1,COUNTIFS($C$2:$C$1090,C258,$L$2:$L$1090,1),"")</f>
        <v>11</v>
      </c>
      <c r="N258" s="12" t="n">
        <f aca="false">IF(L258=1,1+COUNTIFS($C$2:$C$1090,C258,$L$2:$L$1090,1,$G$2:$G$1090,"&gt;"&amp;G258),"")</f>
        <v>4</v>
      </c>
      <c r="O258" s="12" t="n">
        <f aca="false">IF(L258=1,1+COUNTIFS($C$2:$C$1090,C258,$L$2:$L$1090,1,$H$2:$H$1090,"&gt;"&amp;H258),"")</f>
        <v>2</v>
      </c>
      <c r="P258" s="12" t="n">
        <f aca="false">IF(L258=1,N258-O258,"")</f>
        <v>2</v>
      </c>
      <c r="Q258" s="12" t="n">
        <f aca="false">INDEX(Directions!$D$2:$D$100,MATCH(C258,Directions!$A$2:$A$100,0))</f>
        <v>1</v>
      </c>
      <c r="R258" s="12" t="n">
        <f aca="false">IF(L258=1,P258*Q258,"")</f>
        <v>2</v>
      </c>
      <c r="S258" s="12" t="str">
        <f aca="false">IF(L258&lt;&gt;1,"Excluded",IF(Q258=0,"No direction",IF(R258&gt;0,"Better",IF(R258&lt;0,"Worse","No change"))))</f>
        <v>Better</v>
      </c>
      <c r="T258" s="12"/>
      <c r="U258" s="12" t="str">
        <f aca="false">C258&amp;"|"&amp;E258</f>
        <v>F4_07|SWE</v>
      </c>
    </row>
    <row r="259" customFormat="false" ht="15" hidden="false" customHeight="false" outlineLevel="0" collapsed="false">
      <c r="A259" s="12" t="n">
        <v>4</v>
      </c>
      <c r="B259" s="12" t="s">
        <v>39</v>
      </c>
      <c r="C259" s="12" t="s">
        <v>101</v>
      </c>
      <c r="D259" s="12" t="s">
        <v>102</v>
      </c>
      <c r="E259" s="12" t="s">
        <v>286</v>
      </c>
      <c r="F259" s="12" t="s">
        <v>31</v>
      </c>
      <c r="G259" s="12" t="n">
        <v>40.6</v>
      </c>
      <c r="H259" s="12" t="n">
        <v>41.6</v>
      </c>
      <c r="I259" s="12" t="s">
        <v>293</v>
      </c>
      <c r="J259" s="12" t="n">
        <v>7</v>
      </c>
      <c r="K259" s="12" t="n">
        <v>6</v>
      </c>
      <c r="L259" s="28" t="n">
        <v>1</v>
      </c>
      <c r="M259" s="12" t="n">
        <f aca="false">IF(L259=1,COUNTIFS($C$2:$C$1090,C259,$L$2:$L$1090,1),"")</f>
        <v>11</v>
      </c>
      <c r="N259" s="12" t="n">
        <f aca="false">IF(L259=1,1+COUNTIFS($C$2:$C$1090,C259,$L$2:$L$1090,1,$G$2:$G$1090,"&gt;"&amp;G259),"")</f>
        <v>7</v>
      </c>
      <c r="O259" s="12" t="n">
        <f aca="false">IF(L259=1,1+COUNTIFS($C$2:$C$1090,C259,$L$2:$L$1090,1,$H$2:$H$1090,"&gt;"&amp;H259),"")</f>
        <v>6</v>
      </c>
      <c r="P259" s="12" t="n">
        <f aca="false">IF(L259=1,N259-O259,"")</f>
        <v>1</v>
      </c>
      <c r="Q259" s="12" t="n">
        <f aca="false">INDEX(Directions!$D$2:$D$100,MATCH(C259,Directions!$A$2:$A$100,0))</f>
        <v>1</v>
      </c>
      <c r="R259" s="12" t="n">
        <f aca="false">IF(L259=1,P259*Q259,"")</f>
        <v>1</v>
      </c>
      <c r="S259" s="12" t="str">
        <f aca="false">IF(L259&lt;&gt;1,"Excluded",IF(Q259=0,"No direction",IF(R259&gt;0,"Better",IF(R259&lt;0,"Worse","No change"))))</f>
        <v>Better</v>
      </c>
      <c r="T259" s="12"/>
      <c r="U259" s="12" t="str">
        <f aca="false">C259&amp;"|"&amp;E259</f>
        <v>F4_07|FRA</v>
      </c>
    </row>
    <row r="260" customFormat="false" ht="15" hidden="false" customHeight="false" outlineLevel="0" collapsed="false">
      <c r="A260" s="12" t="n">
        <v>4</v>
      </c>
      <c r="B260" s="12" t="s">
        <v>39</v>
      </c>
      <c r="C260" s="12" t="s">
        <v>101</v>
      </c>
      <c r="D260" s="12" t="s">
        <v>102</v>
      </c>
      <c r="E260" s="12" t="s">
        <v>32</v>
      </c>
      <c r="F260" s="12" t="s">
        <v>32</v>
      </c>
      <c r="G260" s="12" t="n">
        <v>40.8</v>
      </c>
      <c r="H260" s="12" t="n">
        <v>41.5</v>
      </c>
      <c r="I260" s="12" t="s">
        <v>293</v>
      </c>
      <c r="J260" s="12" t="n">
        <v>6</v>
      </c>
      <c r="K260" s="12" t="n">
        <v>7</v>
      </c>
      <c r="L260" s="28" t="n">
        <v>1</v>
      </c>
      <c r="M260" s="12" t="n">
        <f aca="false">IF(L260=1,COUNTIFS($C$2:$C$1090,C260,$L$2:$L$1090,1),"")</f>
        <v>11</v>
      </c>
      <c r="N260" s="12" t="n">
        <f aca="false">IF(L260=1,1+COUNTIFS($C$2:$C$1090,C260,$L$2:$L$1090,1,$G$2:$G$1090,"&gt;"&amp;G260),"")</f>
        <v>6</v>
      </c>
      <c r="O260" s="12" t="n">
        <f aca="false">IF(L260=1,1+COUNTIFS($C$2:$C$1090,C260,$L$2:$L$1090,1,$H$2:$H$1090,"&gt;"&amp;H260),"")</f>
        <v>7</v>
      </c>
      <c r="P260" s="12" t="n">
        <f aca="false">IF(L260=1,N260-O260,"")</f>
        <v>-1</v>
      </c>
      <c r="Q260" s="12" t="n">
        <f aca="false">INDEX(Directions!$D$2:$D$100,MATCH(C260,Directions!$A$2:$A$100,0))</f>
        <v>1</v>
      </c>
      <c r="R260" s="12" t="n">
        <f aca="false">IF(L260=1,P260*Q260,"")</f>
        <v>-1</v>
      </c>
      <c r="S260" s="12" t="str">
        <f aca="false">IF(L260&lt;&gt;1,"Excluded",IF(Q260=0,"No direction",IF(R260&gt;0,"Better",IF(R260&lt;0,"Worse","No change"))))</f>
        <v>Worse</v>
      </c>
      <c r="T260" s="12"/>
      <c r="U260" s="12" t="str">
        <f aca="false">C260&amp;"|"&amp;E260</f>
        <v>F4_07|NLD</v>
      </c>
    </row>
    <row r="261" customFormat="false" ht="15" hidden="false" customHeight="false" outlineLevel="0" collapsed="false">
      <c r="A261" s="12" t="n">
        <v>4</v>
      </c>
      <c r="B261" s="12" t="s">
        <v>39</v>
      </c>
      <c r="C261" s="12" t="s">
        <v>101</v>
      </c>
      <c r="D261" s="12" t="s">
        <v>102</v>
      </c>
      <c r="E261" s="12" t="s">
        <v>33</v>
      </c>
      <c r="F261" s="12" t="s">
        <v>33</v>
      </c>
      <c r="G261" s="12" t="n">
        <v>42</v>
      </c>
      <c r="H261" s="12" t="n">
        <v>43.4</v>
      </c>
      <c r="I261" s="12" t="s">
        <v>293</v>
      </c>
      <c r="J261" s="12" t="n">
        <v>1</v>
      </c>
      <c r="K261" s="12" t="n">
        <v>1</v>
      </c>
      <c r="L261" s="28" t="n">
        <v>1</v>
      </c>
      <c r="M261" s="12" t="n">
        <f aca="false">IF(L261=1,COUNTIFS($C$2:$C$1090,C261,$L$2:$L$1090,1),"")</f>
        <v>11</v>
      </c>
      <c r="N261" s="12" t="n">
        <f aca="false">IF(L261=1,1+COUNTIFS($C$2:$C$1090,C261,$L$2:$L$1090,1,$G$2:$G$1090,"&gt;"&amp;G261),"")</f>
        <v>1</v>
      </c>
      <c r="O261" s="12" t="n">
        <f aca="false">IF(L261=1,1+COUNTIFS($C$2:$C$1090,C261,$L$2:$L$1090,1,$H$2:$H$1090,"&gt;"&amp;H261),"")</f>
        <v>1</v>
      </c>
      <c r="P261" s="12" t="n">
        <f aca="false">IF(L261=1,N261-O261,"")</f>
        <v>0</v>
      </c>
      <c r="Q261" s="12" t="n">
        <f aca="false">INDEX(Directions!$D$2:$D$100,MATCH(C261,Directions!$A$2:$A$100,0))</f>
        <v>1</v>
      </c>
      <c r="R261" s="12" t="n">
        <f aca="false">IF(L261=1,P261*Q261,"")</f>
        <v>0</v>
      </c>
      <c r="S261" s="12" t="str">
        <f aca="false">IF(L261&lt;&gt;1,"Excluded",IF(Q261=0,"No direction",IF(R261&gt;0,"Better",IF(R261&lt;0,"Worse","No change"))))</f>
        <v>No change</v>
      </c>
      <c r="T261" s="12"/>
      <c r="U261" s="12" t="str">
        <f aca="false">C261&amp;"|"&amp;E261</f>
        <v>F4_07|CHE</v>
      </c>
    </row>
    <row r="262" customFormat="false" ht="15" hidden="false" customHeight="false" outlineLevel="0" collapsed="false">
      <c r="A262" s="12" t="n">
        <v>4</v>
      </c>
      <c r="B262" s="12" t="s">
        <v>39</v>
      </c>
      <c r="C262" s="12" t="s">
        <v>101</v>
      </c>
      <c r="D262" s="12" t="s">
        <v>102</v>
      </c>
      <c r="E262" s="12" t="s">
        <v>287</v>
      </c>
      <c r="F262" s="12" t="s">
        <v>34</v>
      </c>
      <c r="G262" s="12" t="n">
        <v>39.8</v>
      </c>
      <c r="H262" s="12" t="n">
        <v>41.2</v>
      </c>
      <c r="I262" s="12" t="s">
        <v>293</v>
      </c>
      <c r="J262" s="12" t="n">
        <v>9</v>
      </c>
      <c r="K262" s="12" t="n">
        <v>8</v>
      </c>
      <c r="L262" s="28" t="n">
        <v>1</v>
      </c>
      <c r="M262" s="12" t="n">
        <f aca="false">IF(L262=1,COUNTIFS($C$2:$C$1090,C262,$L$2:$L$1090,1),"")</f>
        <v>11</v>
      </c>
      <c r="N262" s="12" t="n">
        <f aca="false">IF(L262=1,1+COUNTIFS($C$2:$C$1090,C262,$L$2:$L$1090,1,$G$2:$G$1090,"&gt;"&amp;G262),"")</f>
        <v>9</v>
      </c>
      <c r="O262" s="12" t="n">
        <f aca="false">IF(L262=1,1+COUNTIFS($C$2:$C$1090,C262,$L$2:$L$1090,1,$H$2:$H$1090,"&gt;"&amp;H262),"")</f>
        <v>8</v>
      </c>
      <c r="P262" s="12" t="n">
        <f aca="false">IF(L262=1,N262-O262,"")</f>
        <v>1</v>
      </c>
      <c r="Q262" s="12" t="n">
        <f aca="false">INDEX(Directions!$D$2:$D$100,MATCH(C262,Directions!$A$2:$A$100,0))</f>
        <v>1</v>
      </c>
      <c r="R262" s="12" t="n">
        <f aca="false">IF(L262=1,P262*Q262,"")</f>
        <v>1</v>
      </c>
      <c r="S262" s="12" t="str">
        <f aca="false">IF(L262&lt;&gt;1,"Excluded",IF(Q262=0,"No direction",IF(R262&gt;0,"Better",IF(R262&lt;0,"Worse","No change"))))</f>
        <v>Better</v>
      </c>
      <c r="T262" s="12"/>
      <c r="U262" s="12" t="str">
        <f aca="false">C262&amp;"|"&amp;E262</f>
        <v>F4_07|DNK</v>
      </c>
    </row>
    <row r="263" customFormat="false" ht="15" hidden="false" customHeight="false" outlineLevel="0" collapsed="false">
      <c r="A263" s="12" t="n">
        <v>4</v>
      </c>
      <c r="B263" s="12" t="s">
        <v>39</v>
      </c>
      <c r="C263" s="12" t="s">
        <v>101</v>
      </c>
      <c r="D263" s="12" t="s">
        <v>102</v>
      </c>
      <c r="E263" s="12" t="s">
        <v>288</v>
      </c>
      <c r="F263" s="12" t="s">
        <v>35</v>
      </c>
      <c r="G263" s="12" t="n">
        <v>41.1</v>
      </c>
      <c r="H263" s="12" t="n">
        <v>41.8</v>
      </c>
      <c r="I263" s="12" t="s">
        <v>293</v>
      </c>
      <c r="J263" s="12" t="n">
        <v>5</v>
      </c>
      <c r="K263" s="12" t="n">
        <v>5</v>
      </c>
      <c r="L263" s="28" t="n">
        <v>1</v>
      </c>
      <c r="M263" s="12" t="n">
        <f aca="false">IF(L263=1,COUNTIFS($C$2:$C$1090,C263,$L$2:$L$1090,1),"")</f>
        <v>11</v>
      </c>
      <c r="N263" s="12" t="n">
        <f aca="false">IF(L263=1,1+COUNTIFS($C$2:$C$1090,C263,$L$2:$L$1090,1,$G$2:$G$1090,"&gt;"&amp;G263),"")</f>
        <v>5</v>
      </c>
      <c r="O263" s="12" t="n">
        <f aca="false">IF(L263=1,1+COUNTIFS($C$2:$C$1090,C263,$L$2:$L$1090,1,$H$2:$H$1090,"&gt;"&amp;H263),"")</f>
        <v>5</v>
      </c>
      <c r="P263" s="12" t="n">
        <f aca="false">IF(L263=1,N263-O263,"")</f>
        <v>0</v>
      </c>
      <c r="Q263" s="12" t="n">
        <f aca="false">INDEX(Directions!$D$2:$D$100,MATCH(C263,Directions!$A$2:$A$100,0))</f>
        <v>1</v>
      </c>
      <c r="R263" s="12" t="n">
        <f aca="false">IF(L263=1,P263*Q263,"")</f>
        <v>0</v>
      </c>
      <c r="S263" s="12" t="str">
        <f aca="false">IF(L263&lt;&gt;1,"Excluded",IF(Q263=0,"No direction",IF(R263&gt;0,"Better",IF(R263&lt;0,"Worse","No change"))))</f>
        <v>No change</v>
      </c>
      <c r="T263" s="12"/>
      <c r="U263" s="12" t="str">
        <f aca="false">C263&amp;"|"&amp;E263</f>
        <v>F4_07|CAN</v>
      </c>
    </row>
    <row r="264" customFormat="false" ht="15" hidden="false" customHeight="false" outlineLevel="0" collapsed="false">
      <c r="A264" s="12" t="n">
        <v>4</v>
      </c>
      <c r="B264" s="12" t="s">
        <v>39</v>
      </c>
      <c r="C264" s="12" t="s">
        <v>101</v>
      </c>
      <c r="D264" s="12" t="s">
        <v>102</v>
      </c>
      <c r="E264" s="12" t="s">
        <v>289</v>
      </c>
      <c r="F264" s="12" t="s">
        <v>36</v>
      </c>
      <c r="G264" s="12" t="n">
        <v>41.8</v>
      </c>
      <c r="H264" s="12" t="n">
        <v>42</v>
      </c>
      <c r="I264" s="12" t="s">
        <v>293</v>
      </c>
      <c r="J264" s="12" t="n">
        <v>2</v>
      </c>
      <c r="K264" s="12" t="n">
        <v>4</v>
      </c>
      <c r="L264" s="28" t="n">
        <v>1</v>
      </c>
      <c r="M264" s="12" t="n">
        <f aca="false">IF(L264=1,COUNTIFS($C$2:$C$1090,C264,$L$2:$L$1090,1),"")</f>
        <v>11</v>
      </c>
      <c r="N264" s="12" t="n">
        <f aca="false">IF(L264=1,1+COUNTIFS($C$2:$C$1090,C264,$L$2:$L$1090,1,$G$2:$G$1090,"&gt;"&amp;G264),"")</f>
        <v>2</v>
      </c>
      <c r="O264" s="12" t="n">
        <f aca="false">IF(L264=1,1+COUNTIFS($C$2:$C$1090,C264,$L$2:$L$1090,1,$H$2:$H$1090,"&gt;"&amp;H264),"")</f>
        <v>4</v>
      </c>
      <c r="P264" s="12" t="n">
        <f aca="false">IF(L264=1,N264-O264,"")</f>
        <v>-2</v>
      </c>
      <c r="Q264" s="12" t="n">
        <f aca="false">INDEX(Directions!$D$2:$D$100,MATCH(C264,Directions!$A$2:$A$100,0))</f>
        <v>1</v>
      </c>
      <c r="R264" s="12" t="n">
        <f aca="false">IF(L264=1,P264*Q264,"")</f>
        <v>-2</v>
      </c>
      <c r="S264" s="12" t="str">
        <f aca="false">IF(L264&lt;&gt;1,"Excluded",IF(Q264=0,"No direction",IF(R264&gt;0,"Better",IF(R264&lt;0,"Worse","No change"))))</f>
        <v>Worse</v>
      </c>
      <c r="T264" s="12"/>
      <c r="U264" s="12" t="str">
        <f aca="false">C264&amp;"|"&amp;E264</f>
        <v>F4_07|JPN</v>
      </c>
    </row>
    <row r="265" customFormat="false" ht="15" hidden="false" customHeight="false" outlineLevel="0" collapsed="false">
      <c r="A265" s="12" t="n">
        <v>4</v>
      </c>
      <c r="B265" s="12" t="s">
        <v>39</v>
      </c>
      <c r="C265" s="12" t="s">
        <v>101</v>
      </c>
      <c r="D265" s="12" t="s">
        <v>102</v>
      </c>
      <c r="E265" s="12" t="s">
        <v>290</v>
      </c>
      <c r="F265" s="12" t="s">
        <v>37</v>
      </c>
      <c r="G265" s="12" t="n">
        <v>41.7</v>
      </c>
      <c r="H265" s="12" t="n">
        <v>42.4</v>
      </c>
      <c r="I265" s="12" t="s">
        <v>293</v>
      </c>
      <c r="J265" s="12" t="n">
        <v>3</v>
      </c>
      <c r="K265" s="12" t="n">
        <v>3</v>
      </c>
      <c r="L265" s="28" t="n">
        <v>1</v>
      </c>
      <c r="M265" s="12" t="n">
        <f aca="false">IF(L265=1,COUNTIFS($C$2:$C$1090,C265,$L$2:$L$1090,1),"")</f>
        <v>11</v>
      </c>
      <c r="N265" s="12" t="n">
        <f aca="false">IF(L265=1,1+COUNTIFS($C$2:$C$1090,C265,$L$2:$L$1090,1,$G$2:$G$1090,"&gt;"&amp;G265),"")</f>
        <v>3</v>
      </c>
      <c r="O265" s="12" t="n">
        <f aca="false">IF(L265=1,1+COUNTIFS($C$2:$C$1090,C265,$L$2:$L$1090,1,$H$2:$H$1090,"&gt;"&amp;H265),"")</f>
        <v>3</v>
      </c>
      <c r="P265" s="12" t="n">
        <f aca="false">IF(L265=1,N265-O265,"")</f>
        <v>0</v>
      </c>
      <c r="Q265" s="12" t="n">
        <f aca="false">INDEX(Directions!$D$2:$D$100,MATCH(C265,Directions!$A$2:$A$100,0))</f>
        <v>1</v>
      </c>
      <c r="R265" s="12" t="n">
        <f aca="false">IF(L265=1,P265*Q265,"")</f>
        <v>0</v>
      </c>
      <c r="S265" s="12" t="str">
        <f aca="false">IF(L265&lt;&gt;1,"Excluded",IF(Q265=0,"No direction",IF(R265&gt;0,"Better",IF(R265&lt;0,"Worse","No change"))))</f>
        <v>No change</v>
      </c>
      <c r="T265" s="12"/>
      <c r="U265" s="12" t="str">
        <f aca="false">C265&amp;"|"&amp;E265</f>
        <v>F4_07|AUS</v>
      </c>
    </row>
    <row r="266" customFormat="false" ht="15" hidden="false" customHeight="false" outlineLevel="0" collapsed="false">
      <c r="A266" s="12" t="n">
        <v>4</v>
      </c>
      <c r="B266" s="12" t="s">
        <v>39</v>
      </c>
      <c r="C266" s="12" t="s">
        <v>103</v>
      </c>
      <c r="D266" s="12" t="s">
        <v>104</v>
      </c>
      <c r="E266" s="12" t="s">
        <v>281</v>
      </c>
      <c r="F266" s="12" t="s">
        <v>27</v>
      </c>
      <c r="G266" s="12" t="n">
        <v>26.4</v>
      </c>
      <c r="H266" s="12" t="n">
        <v>17.9</v>
      </c>
      <c r="I266" s="12" t="s">
        <v>293</v>
      </c>
      <c r="J266" s="12" t="n">
        <v>1</v>
      </c>
      <c r="K266" s="12" t="n">
        <v>1</v>
      </c>
      <c r="L266" s="28" t="n">
        <v>1</v>
      </c>
      <c r="M266" s="12" t="n">
        <f aca="false">IF(L266=1,COUNTIFS($C$2:$C$1090,C266,$L$2:$L$1090,1),"")</f>
        <v>11</v>
      </c>
      <c r="N266" s="12" t="n">
        <f aca="false">IF(L266=1,1+COUNTIFS($C$2:$C$1090,C266,$L$2:$L$1090,1,$G$2:$G$1090,"&gt;"&amp;G266),"")</f>
        <v>1</v>
      </c>
      <c r="O266" s="12" t="n">
        <f aca="false">IF(L266=1,1+COUNTIFS($C$2:$C$1090,C266,$L$2:$L$1090,1,$H$2:$H$1090,"&gt;"&amp;H266),"")</f>
        <v>1</v>
      </c>
      <c r="P266" s="12" t="n">
        <f aca="false">IF(L266=1,N266-O266,"")</f>
        <v>0</v>
      </c>
      <c r="Q266" s="12" t="n">
        <f aca="false">INDEX(Directions!$D$2:$D$100,MATCH(C266,Directions!$A$2:$A$100,0))</f>
        <v>-1</v>
      </c>
      <c r="R266" s="12" t="n">
        <f aca="false">IF(L266=1,P266*Q266,"")</f>
        <v>-0</v>
      </c>
      <c r="S266" s="12" t="str">
        <f aca="false">IF(L266&lt;&gt;1,"Excluded",IF(Q266=0,"No direction",IF(R266&gt;0,"Better",IF(R266&lt;0,"Worse","No change"))))</f>
        <v>No change</v>
      </c>
      <c r="T266" s="12" t="s">
        <v>309</v>
      </c>
      <c r="U266" s="12" t="str">
        <f aca="false">C266&amp;"|"&amp;E266</f>
        <v>F4_08|USA</v>
      </c>
    </row>
    <row r="267" customFormat="false" ht="15" hidden="false" customHeight="false" outlineLevel="0" collapsed="false">
      <c r="A267" s="12" t="n">
        <v>4</v>
      </c>
      <c r="B267" s="12" t="s">
        <v>39</v>
      </c>
      <c r="C267" s="12" t="s">
        <v>103</v>
      </c>
      <c r="D267" s="12" t="s">
        <v>104</v>
      </c>
      <c r="E267" s="12" t="s">
        <v>283</v>
      </c>
      <c r="F267" s="12" t="s">
        <v>28</v>
      </c>
      <c r="G267" s="12" t="n">
        <v>9.2</v>
      </c>
      <c r="H267" s="12" t="n">
        <v>8.3</v>
      </c>
      <c r="I267" s="12" t="s">
        <v>293</v>
      </c>
      <c r="J267" s="12" t="n">
        <v>2</v>
      </c>
      <c r="K267" s="12" t="n">
        <v>3</v>
      </c>
      <c r="L267" s="28" t="n">
        <v>1</v>
      </c>
      <c r="M267" s="12" t="n">
        <f aca="false">IF(L267=1,COUNTIFS($C$2:$C$1090,C267,$L$2:$L$1090,1),"")</f>
        <v>11</v>
      </c>
      <c r="N267" s="12" t="n">
        <f aca="false">IF(L267=1,1+COUNTIFS($C$2:$C$1090,C267,$L$2:$L$1090,1,$G$2:$G$1090,"&gt;"&amp;G267),"")</f>
        <v>2</v>
      </c>
      <c r="O267" s="12" t="n">
        <f aca="false">IF(L267=1,1+COUNTIFS($C$2:$C$1090,C267,$L$2:$L$1090,1,$H$2:$H$1090,"&gt;"&amp;H267),"")</f>
        <v>3</v>
      </c>
      <c r="P267" s="12" t="n">
        <f aca="false">IF(L267=1,N267-O267,"")</f>
        <v>-1</v>
      </c>
      <c r="Q267" s="12" t="n">
        <f aca="false">INDEX(Directions!$D$2:$D$100,MATCH(C267,Directions!$A$2:$A$100,0))</f>
        <v>-1</v>
      </c>
      <c r="R267" s="12" t="n">
        <f aca="false">IF(L267=1,P267*Q267,"")</f>
        <v>1</v>
      </c>
      <c r="S267" s="12" t="str">
        <f aca="false">IF(L267&lt;&gt;1,"Excluded",IF(Q267=0,"No direction",IF(R267&gt;0,"Better",IF(R267&lt;0,"Worse","No change"))))</f>
        <v>Better</v>
      </c>
      <c r="T267" s="12" t="s">
        <v>309</v>
      </c>
      <c r="U267" s="12" t="str">
        <f aca="false">C267&amp;"|"&amp;E267</f>
        <v>F4_08|GBR</v>
      </c>
    </row>
    <row r="268" customFormat="false" ht="15" hidden="false" customHeight="false" outlineLevel="0" collapsed="false">
      <c r="A268" s="12" t="n">
        <v>4</v>
      </c>
      <c r="B268" s="12" t="s">
        <v>39</v>
      </c>
      <c r="C268" s="12" t="s">
        <v>103</v>
      </c>
      <c r="D268" s="12" t="s">
        <v>104</v>
      </c>
      <c r="E268" s="12" t="s">
        <v>284</v>
      </c>
      <c r="F268" s="12" t="s">
        <v>29</v>
      </c>
      <c r="G268" s="12" t="n">
        <v>9</v>
      </c>
      <c r="H268" s="12" t="n">
        <v>4.4</v>
      </c>
      <c r="I268" s="12" t="s">
        <v>293</v>
      </c>
      <c r="J268" s="12" t="n">
        <v>3</v>
      </c>
      <c r="K268" s="12" t="n">
        <v>8</v>
      </c>
      <c r="L268" s="28" t="n">
        <v>1</v>
      </c>
      <c r="M268" s="12" t="n">
        <f aca="false">IF(L268=1,COUNTIFS($C$2:$C$1090,C268,$L$2:$L$1090,1),"")</f>
        <v>11</v>
      </c>
      <c r="N268" s="12" t="n">
        <f aca="false">IF(L268=1,1+COUNTIFS($C$2:$C$1090,C268,$L$2:$L$1090,1,$G$2:$G$1090,"&gt;"&amp;G268),"")</f>
        <v>3</v>
      </c>
      <c r="O268" s="12" t="n">
        <f aca="false">IF(L268=1,1+COUNTIFS($C$2:$C$1090,C268,$L$2:$L$1090,1,$H$2:$H$1090,"&gt;"&amp;H268),"")</f>
        <v>8</v>
      </c>
      <c r="P268" s="12" t="n">
        <f aca="false">IF(L268=1,N268-O268,"")</f>
        <v>-5</v>
      </c>
      <c r="Q268" s="12" t="n">
        <f aca="false">INDEX(Directions!$D$2:$D$100,MATCH(C268,Directions!$A$2:$A$100,0))</f>
        <v>-1</v>
      </c>
      <c r="R268" s="12" t="n">
        <f aca="false">IF(L268=1,P268*Q268,"")</f>
        <v>5</v>
      </c>
      <c r="S268" s="12" t="str">
        <f aca="false">IF(L268&lt;&gt;1,"Excluded",IF(Q268=0,"No direction",IF(R268&gt;0,"Better",IF(R268&lt;0,"Worse","No change"))))</f>
        <v>Better</v>
      </c>
      <c r="T268" s="12" t="s">
        <v>309</v>
      </c>
      <c r="U268" s="12" t="str">
        <f aca="false">C268&amp;"|"&amp;E268</f>
        <v>F4_08|DEU</v>
      </c>
    </row>
    <row r="269" customFormat="false" ht="15" hidden="false" customHeight="false" outlineLevel="0" collapsed="false">
      <c r="A269" s="12" t="n">
        <v>4</v>
      </c>
      <c r="B269" s="12" t="s">
        <v>39</v>
      </c>
      <c r="C269" s="12" t="s">
        <v>103</v>
      </c>
      <c r="D269" s="12" t="s">
        <v>104</v>
      </c>
      <c r="E269" s="12" t="s">
        <v>285</v>
      </c>
      <c r="F269" s="12" t="s">
        <v>30</v>
      </c>
      <c r="G269" s="12" t="n">
        <v>4.4</v>
      </c>
      <c r="H269" s="12" t="n">
        <v>5.2</v>
      </c>
      <c r="I269" s="12" t="s">
        <v>293</v>
      </c>
      <c r="J269" s="12" t="n">
        <v>10</v>
      </c>
      <c r="K269" s="12" t="n">
        <v>7</v>
      </c>
      <c r="L269" s="28" t="n">
        <v>1</v>
      </c>
      <c r="M269" s="12" t="n">
        <f aca="false">IF(L269=1,COUNTIFS($C$2:$C$1090,C269,$L$2:$L$1090,1),"")</f>
        <v>11</v>
      </c>
      <c r="N269" s="12" t="n">
        <f aca="false">IF(L269=1,1+COUNTIFS($C$2:$C$1090,C269,$L$2:$L$1090,1,$G$2:$G$1090,"&gt;"&amp;G269),"")</f>
        <v>10</v>
      </c>
      <c r="O269" s="12" t="n">
        <f aca="false">IF(L269=1,1+COUNTIFS($C$2:$C$1090,C269,$L$2:$L$1090,1,$H$2:$H$1090,"&gt;"&amp;H269),"")</f>
        <v>7</v>
      </c>
      <c r="P269" s="12" t="n">
        <f aca="false">IF(L269=1,N269-O269,"")</f>
        <v>3</v>
      </c>
      <c r="Q269" s="12" t="n">
        <f aca="false">INDEX(Directions!$D$2:$D$100,MATCH(C269,Directions!$A$2:$A$100,0))</f>
        <v>-1</v>
      </c>
      <c r="R269" s="12" t="n">
        <f aca="false">IF(L269=1,P269*Q269,"")</f>
        <v>-3</v>
      </c>
      <c r="S269" s="12" t="str">
        <f aca="false">IF(L269&lt;&gt;1,"Excluded",IF(Q269=0,"No direction",IF(R269&gt;0,"Better",IF(R269&lt;0,"Worse","No change"))))</f>
        <v>Worse</v>
      </c>
      <c r="T269" s="12" t="s">
        <v>309</v>
      </c>
      <c r="U269" s="12" t="str">
        <f aca="false">C269&amp;"|"&amp;E269</f>
        <v>F4_08|SWE</v>
      </c>
    </row>
    <row r="270" customFormat="false" ht="15" hidden="false" customHeight="false" outlineLevel="0" collapsed="false">
      <c r="A270" s="12" t="n">
        <v>4</v>
      </c>
      <c r="B270" s="12" t="s">
        <v>39</v>
      </c>
      <c r="C270" s="12" t="s">
        <v>103</v>
      </c>
      <c r="D270" s="12" t="s">
        <v>104</v>
      </c>
      <c r="E270" s="12" t="s">
        <v>286</v>
      </c>
      <c r="F270" s="12" t="s">
        <v>31</v>
      </c>
      <c r="G270" s="12" t="n">
        <v>7.8</v>
      </c>
      <c r="H270" s="12" t="n">
        <v>8.2</v>
      </c>
      <c r="I270" s="12" t="s">
        <v>299</v>
      </c>
      <c r="J270" s="12" t="n">
        <v>4</v>
      </c>
      <c r="K270" s="12" t="n">
        <v>4</v>
      </c>
      <c r="L270" s="28" t="n">
        <v>1</v>
      </c>
      <c r="M270" s="12" t="n">
        <f aca="false">IF(L270=1,COUNTIFS($C$2:$C$1090,C270,$L$2:$L$1090,1),"")</f>
        <v>11</v>
      </c>
      <c r="N270" s="12" t="n">
        <f aca="false">IF(L270=1,1+COUNTIFS($C$2:$C$1090,C270,$L$2:$L$1090,1,$G$2:$G$1090,"&gt;"&amp;G270),"")</f>
        <v>4</v>
      </c>
      <c r="O270" s="12" t="n">
        <f aca="false">IF(L270=1,1+COUNTIFS($C$2:$C$1090,C270,$L$2:$L$1090,1,$H$2:$H$1090,"&gt;"&amp;H270),"")</f>
        <v>4</v>
      </c>
      <c r="P270" s="12" t="n">
        <f aca="false">IF(L270=1,N270-O270,"")</f>
        <v>0</v>
      </c>
      <c r="Q270" s="12" t="n">
        <f aca="false">INDEX(Directions!$D$2:$D$100,MATCH(C270,Directions!$A$2:$A$100,0))</f>
        <v>-1</v>
      </c>
      <c r="R270" s="12" t="n">
        <f aca="false">IF(L270=1,P270*Q270,"")</f>
        <v>-0</v>
      </c>
      <c r="S270" s="12" t="str">
        <f aca="false">IF(L270&lt;&gt;1,"Excluded",IF(Q270=0,"No direction",IF(R270&gt;0,"Better",IF(R270&lt;0,"Worse","No change"))))</f>
        <v>No change</v>
      </c>
      <c r="T270" s="12" t="s">
        <v>309</v>
      </c>
      <c r="U270" s="12" t="str">
        <f aca="false">C270&amp;"|"&amp;E270</f>
        <v>F4_08|FRA</v>
      </c>
    </row>
    <row r="271" customFormat="false" ht="15" hidden="false" customHeight="false" outlineLevel="0" collapsed="false">
      <c r="A271" s="12" t="n">
        <v>4</v>
      </c>
      <c r="B271" s="12" t="s">
        <v>39</v>
      </c>
      <c r="C271" s="12" t="s">
        <v>103</v>
      </c>
      <c r="D271" s="12" t="s">
        <v>104</v>
      </c>
      <c r="E271" s="12" t="s">
        <v>32</v>
      </c>
      <c r="F271" s="12" t="s">
        <v>32</v>
      </c>
      <c r="G271" s="12" t="n">
        <v>6.7</v>
      </c>
      <c r="H271" s="12" t="n">
        <v>3.6</v>
      </c>
      <c r="I271" s="12" t="s">
        <v>293</v>
      </c>
      <c r="J271" s="12" t="n">
        <v>6</v>
      </c>
      <c r="K271" s="12" t="n">
        <v>10</v>
      </c>
      <c r="L271" s="28" t="n">
        <v>1</v>
      </c>
      <c r="M271" s="12" t="n">
        <f aca="false">IF(L271=1,COUNTIFS($C$2:$C$1090,C271,$L$2:$L$1090,1),"")</f>
        <v>11</v>
      </c>
      <c r="N271" s="12" t="n">
        <f aca="false">IF(L271=1,1+COUNTIFS($C$2:$C$1090,C271,$L$2:$L$1090,1,$G$2:$G$1090,"&gt;"&amp;G271),"")</f>
        <v>6</v>
      </c>
      <c r="O271" s="12" t="n">
        <f aca="false">IF(L271=1,1+COUNTIFS($C$2:$C$1090,C271,$L$2:$L$1090,1,$H$2:$H$1090,"&gt;"&amp;H271),"")</f>
        <v>10</v>
      </c>
      <c r="P271" s="12" t="n">
        <f aca="false">IF(L271=1,N271-O271,"")</f>
        <v>-4</v>
      </c>
      <c r="Q271" s="12" t="n">
        <f aca="false">INDEX(Directions!$D$2:$D$100,MATCH(C271,Directions!$A$2:$A$100,0))</f>
        <v>-1</v>
      </c>
      <c r="R271" s="12" t="n">
        <f aca="false">IF(L271=1,P271*Q271,"")</f>
        <v>4</v>
      </c>
      <c r="S271" s="12" t="str">
        <f aca="false">IF(L271&lt;&gt;1,"Excluded",IF(Q271=0,"No direction",IF(R271&gt;0,"Better",IF(R271&lt;0,"Worse","No change"))))</f>
        <v>Better</v>
      </c>
      <c r="T271" s="12" t="s">
        <v>309</v>
      </c>
      <c r="U271" s="12" t="str">
        <f aca="false">C271&amp;"|"&amp;E271</f>
        <v>F4_08|NLD</v>
      </c>
    </row>
    <row r="272" customFormat="false" ht="15" hidden="false" customHeight="false" outlineLevel="0" collapsed="false">
      <c r="A272" s="12" t="n">
        <v>4</v>
      </c>
      <c r="B272" s="12" t="s">
        <v>39</v>
      </c>
      <c r="C272" s="12" t="s">
        <v>103</v>
      </c>
      <c r="D272" s="12" t="s">
        <v>104</v>
      </c>
      <c r="E272" s="12" t="s">
        <v>33</v>
      </c>
      <c r="F272" s="12" t="s">
        <v>33</v>
      </c>
      <c r="G272" s="12" t="n">
        <v>5.8</v>
      </c>
      <c r="H272" s="12" t="n">
        <v>7.7</v>
      </c>
      <c r="I272" s="12" t="s">
        <v>293</v>
      </c>
      <c r="J272" s="12" t="n">
        <v>8</v>
      </c>
      <c r="K272" s="12" t="n">
        <v>6</v>
      </c>
      <c r="L272" s="28" t="n">
        <v>1</v>
      </c>
      <c r="M272" s="12" t="n">
        <f aca="false">IF(L272=1,COUNTIFS($C$2:$C$1090,C272,$L$2:$L$1090,1),"")</f>
        <v>11</v>
      </c>
      <c r="N272" s="12" t="n">
        <f aca="false">IF(L272=1,1+COUNTIFS($C$2:$C$1090,C272,$L$2:$L$1090,1,$G$2:$G$1090,"&gt;"&amp;G272),"")</f>
        <v>8</v>
      </c>
      <c r="O272" s="12" t="n">
        <f aca="false">IF(L272=1,1+COUNTIFS($C$2:$C$1090,C272,$L$2:$L$1090,1,$H$2:$H$1090,"&gt;"&amp;H272),"")</f>
        <v>6</v>
      </c>
      <c r="P272" s="12" t="n">
        <f aca="false">IF(L272=1,N272-O272,"")</f>
        <v>2</v>
      </c>
      <c r="Q272" s="12" t="n">
        <f aca="false">INDEX(Directions!$D$2:$D$100,MATCH(C272,Directions!$A$2:$A$100,0))</f>
        <v>-1</v>
      </c>
      <c r="R272" s="12" t="n">
        <f aca="false">IF(L272=1,P272*Q272,"")</f>
        <v>-2</v>
      </c>
      <c r="S272" s="12" t="str">
        <f aca="false">IF(L272&lt;&gt;1,"Excluded",IF(Q272=0,"No direction",IF(R272&gt;0,"Better",IF(R272&lt;0,"Worse","No change"))))</f>
        <v>Worse</v>
      </c>
      <c r="T272" s="12" t="s">
        <v>309</v>
      </c>
      <c r="U272" s="12" t="str">
        <f aca="false">C272&amp;"|"&amp;E272</f>
        <v>F4_08|CHE</v>
      </c>
    </row>
    <row r="273" customFormat="false" ht="15" hidden="false" customHeight="false" outlineLevel="0" collapsed="false">
      <c r="A273" s="12" t="n">
        <v>4</v>
      </c>
      <c r="B273" s="12" t="s">
        <v>39</v>
      </c>
      <c r="C273" s="12" t="s">
        <v>103</v>
      </c>
      <c r="D273" s="12" t="s">
        <v>104</v>
      </c>
      <c r="E273" s="12" t="s">
        <v>287</v>
      </c>
      <c r="F273" s="12" t="s">
        <v>34</v>
      </c>
      <c r="G273" s="12" t="n">
        <v>4.2</v>
      </c>
      <c r="H273" s="12" t="n">
        <v>0</v>
      </c>
      <c r="I273" s="12" t="s">
        <v>293</v>
      </c>
      <c r="J273" s="12" t="n">
        <v>11</v>
      </c>
      <c r="K273" s="12" t="n">
        <v>11</v>
      </c>
      <c r="L273" s="28" t="n">
        <v>1</v>
      </c>
      <c r="M273" s="12" t="n">
        <f aca="false">IF(L273=1,COUNTIFS($C$2:$C$1090,C273,$L$2:$L$1090,1),"")</f>
        <v>11</v>
      </c>
      <c r="N273" s="12" t="n">
        <f aca="false">IF(L273=1,1+COUNTIFS($C$2:$C$1090,C273,$L$2:$L$1090,1,$G$2:$G$1090,"&gt;"&amp;G273),"")</f>
        <v>11</v>
      </c>
      <c r="O273" s="12" t="n">
        <f aca="false">IF(L273=1,1+COUNTIFS($C$2:$C$1090,C273,$L$2:$L$1090,1,$H$2:$H$1090,"&gt;"&amp;H273),"")</f>
        <v>11</v>
      </c>
      <c r="P273" s="12" t="n">
        <f aca="false">IF(L273=1,N273-O273,"")</f>
        <v>0</v>
      </c>
      <c r="Q273" s="12" t="n">
        <f aca="false">INDEX(Directions!$D$2:$D$100,MATCH(C273,Directions!$A$2:$A$100,0))</f>
        <v>-1</v>
      </c>
      <c r="R273" s="12" t="n">
        <f aca="false">IF(L273=1,P273*Q273,"")</f>
        <v>-0</v>
      </c>
      <c r="S273" s="12" t="str">
        <f aca="false">IF(L273&lt;&gt;1,"Excluded",IF(Q273=0,"No direction",IF(R273&gt;0,"Better",IF(R273&lt;0,"Worse","No change"))))</f>
        <v>No change</v>
      </c>
      <c r="T273" s="12" t="s">
        <v>309</v>
      </c>
      <c r="U273" s="12" t="str">
        <f aca="false">C273&amp;"|"&amp;E273</f>
        <v>F4_08|DNK</v>
      </c>
    </row>
    <row r="274" customFormat="false" ht="15" hidden="false" customHeight="false" outlineLevel="0" collapsed="false">
      <c r="A274" s="12" t="n">
        <v>4</v>
      </c>
      <c r="B274" s="12" t="s">
        <v>39</v>
      </c>
      <c r="C274" s="12" t="s">
        <v>103</v>
      </c>
      <c r="D274" s="12" t="s">
        <v>104</v>
      </c>
      <c r="E274" s="12" t="s">
        <v>288</v>
      </c>
      <c r="F274" s="12" t="s">
        <v>35</v>
      </c>
      <c r="G274" s="12" t="n">
        <v>7.3</v>
      </c>
      <c r="H274" s="12" t="n">
        <v>12.6</v>
      </c>
      <c r="I274" s="12" t="s">
        <v>293</v>
      </c>
      <c r="J274" s="12" t="n">
        <v>5</v>
      </c>
      <c r="K274" s="12" t="n">
        <v>2</v>
      </c>
      <c r="L274" s="28" t="n">
        <v>1</v>
      </c>
      <c r="M274" s="12" t="n">
        <f aca="false">IF(L274=1,COUNTIFS($C$2:$C$1090,C274,$L$2:$L$1090,1),"")</f>
        <v>11</v>
      </c>
      <c r="N274" s="12" t="n">
        <f aca="false">IF(L274=1,1+COUNTIFS($C$2:$C$1090,C274,$L$2:$L$1090,1,$G$2:$G$1090,"&gt;"&amp;G274),"")</f>
        <v>5</v>
      </c>
      <c r="O274" s="12" t="n">
        <f aca="false">IF(L274=1,1+COUNTIFS($C$2:$C$1090,C274,$L$2:$L$1090,1,$H$2:$H$1090,"&gt;"&amp;H274),"")</f>
        <v>2</v>
      </c>
      <c r="P274" s="12" t="n">
        <f aca="false">IF(L274=1,N274-O274,"")</f>
        <v>3</v>
      </c>
      <c r="Q274" s="12" t="n">
        <f aca="false">INDEX(Directions!$D$2:$D$100,MATCH(C274,Directions!$A$2:$A$100,0))</f>
        <v>-1</v>
      </c>
      <c r="R274" s="12" t="n">
        <f aca="false">IF(L274=1,P274*Q274,"")</f>
        <v>-3</v>
      </c>
      <c r="S274" s="12" t="str">
        <f aca="false">IF(L274&lt;&gt;1,"Excluded",IF(Q274=0,"No direction",IF(R274&gt;0,"Better",IF(R274&lt;0,"Worse","No change"))))</f>
        <v>Worse</v>
      </c>
      <c r="T274" s="12" t="s">
        <v>309</v>
      </c>
      <c r="U274" s="12" t="str">
        <f aca="false">C274&amp;"|"&amp;E274</f>
        <v>F4_08|CAN</v>
      </c>
    </row>
    <row r="275" customFormat="false" ht="15" hidden="false" customHeight="false" outlineLevel="0" collapsed="false">
      <c r="A275" s="12" t="n">
        <v>4</v>
      </c>
      <c r="B275" s="12" t="s">
        <v>39</v>
      </c>
      <c r="C275" s="12" t="s">
        <v>103</v>
      </c>
      <c r="D275" s="12" t="s">
        <v>104</v>
      </c>
      <c r="E275" s="12" t="s">
        <v>289</v>
      </c>
      <c r="F275" s="12" t="s">
        <v>36</v>
      </c>
      <c r="G275" s="12" t="n">
        <v>6.4</v>
      </c>
      <c r="H275" s="12" t="n">
        <v>4.4</v>
      </c>
      <c r="I275" s="12" t="s">
        <v>293</v>
      </c>
      <c r="J275" s="12" t="n">
        <v>7</v>
      </c>
      <c r="K275" s="12" t="n">
        <v>9</v>
      </c>
      <c r="L275" s="28" t="n">
        <v>1</v>
      </c>
      <c r="M275" s="12" t="n">
        <f aca="false">IF(L275=1,COUNTIFS($C$2:$C$1090,C275,$L$2:$L$1090,1),"")</f>
        <v>11</v>
      </c>
      <c r="N275" s="12" t="n">
        <f aca="false">IF(L275=1,1+COUNTIFS($C$2:$C$1090,C275,$L$2:$L$1090,1,$G$2:$G$1090,"&gt;"&amp;G275),"")</f>
        <v>7</v>
      </c>
      <c r="O275" s="12" t="n">
        <f aca="false">IF(L275=1,1+COUNTIFS($C$2:$C$1090,C275,$L$2:$L$1090,1,$H$2:$H$1090,"&gt;"&amp;H275),"")</f>
        <v>8</v>
      </c>
      <c r="P275" s="12" t="n">
        <f aca="false">IF(L275=1,N275-O275,"")</f>
        <v>-1</v>
      </c>
      <c r="Q275" s="12" t="n">
        <f aca="false">INDEX(Directions!$D$2:$D$100,MATCH(C275,Directions!$A$2:$A$100,0))</f>
        <v>-1</v>
      </c>
      <c r="R275" s="12" t="n">
        <f aca="false">IF(L275=1,P275*Q275,"")</f>
        <v>1</v>
      </c>
      <c r="S275" s="12" t="str">
        <f aca="false">IF(L275&lt;&gt;1,"Excluded",IF(Q275=0,"No direction",IF(R275&gt;0,"Better",IF(R275&lt;0,"Worse","No change"))))</f>
        <v>Better</v>
      </c>
      <c r="T275" s="12" t="s">
        <v>309</v>
      </c>
      <c r="U275" s="12" t="str">
        <f aca="false">C275&amp;"|"&amp;E275</f>
        <v>F4_08|JPN</v>
      </c>
    </row>
    <row r="276" customFormat="false" ht="15" hidden="false" customHeight="false" outlineLevel="0" collapsed="false">
      <c r="A276" s="12" t="n">
        <v>4</v>
      </c>
      <c r="B276" s="12" t="s">
        <v>39</v>
      </c>
      <c r="C276" s="12" t="s">
        <v>103</v>
      </c>
      <c r="D276" s="12" t="s">
        <v>104</v>
      </c>
      <c r="E276" s="12" t="s">
        <v>290</v>
      </c>
      <c r="F276" s="12" t="s">
        <v>37</v>
      </c>
      <c r="G276" s="12" t="n">
        <v>5.5</v>
      </c>
      <c r="H276" s="12" t="n">
        <v>8.1</v>
      </c>
      <c r="I276" s="12" t="s">
        <v>291</v>
      </c>
      <c r="J276" s="12" t="n">
        <v>9</v>
      </c>
      <c r="K276" s="12" t="n">
        <v>5</v>
      </c>
      <c r="L276" s="28" t="n">
        <v>1</v>
      </c>
      <c r="M276" s="12" t="n">
        <f aca="false">IF(L276=1,COUNTIFS($C$2:$C$1090,C276,$L$2:$L$1090,1),"")</f>
        <v>11</v>
      </c>
      <c r="N276" s="12" t="n">
        <f aca="false">IF(L276=1,1+COUNTIFS($C$2:$C$1090,C276,$L$2:$L$1090,1,$G$2:$G$1090,"&gt;"&amp;G276),"")</f>
        <v>9</v>
      </c>
      <c r="O276" s="12" t="n">
        <f aca="false">IF(L276=1,1+COUNTIFS($C$2:$C$1090,C276,$L$2:$L$1090,1,$H$2:$H$1090,"&gt;"&amp;H276),"")</f>
        <v>5</v>
      </c>
      <c r="P276" s="12" t="n">
        <f aca="false">IF(L276=1,N276-O276,"")</f>
        <v>4</v>
      </c>
      <c r="Q276" s="12" t="n">
        <f aca="false">INDEX(Directions!$D$2:$D$100,MATCH(C276,Directions!$A$2:$A$100,0))</f>
        <v>-1</v>
      </c>
      <c r="R276" s="12" t="n">
        <f aca="false">IF(L276=1,P276*Q276,"")</f>
        <v>-4</v>
      </c>
      <c r="S276" s="12" t="str">
        <f aca="false">IF(L276&lt;&gt;1,"Excluded",IF(Q276=0,"No direction",IF(R276&gt;0,"Better",IF(R276&lt;0,"Worse","No change"))))</f>
        <v>Worse</v>
      </c>
      <c r="T276" s="12" t="s">
        <v>309</v>
      </c>
      <c r="U276" s="12" t="str">
        <f aca="false">C276&amp;"|"&amp;E276</f>
        <v>F4_08|AUS</v>
      </c>
    </row>
    <row r="277" customFormat="false" ht="15" hidden="false" customHeight="false" outlineLevel="0" collapsed="false">
      <c r="A277" s="12" t="n">
        <v>4</v>
      </c>
      <c r="B277" s="12" t="s">
        <v>39</v>
      </c>
      <c r="C277" s="12" t="s">
        <v>106</v>
      </c>
      <c r="D277" s="12" t="s">
        <v>107</v>
      </c>
      <c r="E277" s="12" t="s">
        <v>281</v>
      </c>
      <c r="F277" s="12" t="s">
        <v>27</v>
      </c>
      <c r="G277" s="12" t="n">
        <v>5.8</v>
      </c>
      <c r="H277" s="12" t="n">
        <v>5.5</v>
      </c>
      <c r="I277" s="12" t="s">
        <v>293</v>
      </c>
      <c r="J277" s="12" t="n">
        <v>1</v>
      </c>
      <c r="K277" s="12" t="n">
        <v>1</v>
      </c>
      <c r="L277" s="28" t="n">
        <v>1</v>
      </c>
      <c r="M277" s="12" t="n">
        <f aca="false">IF(L277=1,COUNTIFS($C$2:$C$1090,C277,$L$2:$L$1090,1),"")</f>
        <v>11</v>
      </c>
      <c r="N277" s="12" t="n">
        <f aca="false">IF(L277=1,1+COUNTIFS($C$2:$C$1090,C277,$L$2:$L$1090,1,$G$2:$G$1090,"&gt;"&amp;G277),"")</f>
        <v>1</v>
      </c>
      <c r="O277" s="12" t="n">
        <f aca="false">IF(L277=1,1+COUNTIFS($C$2:$C$1090,C277,$L$2:$L$1090,1,$H$2:$H$1090,"&gt;"&amp;H277),"")</f>
        <v>1</v>
      </c>
      <c r="P277" s="12" t="n">
        <f aca="false">IF(L277=1,N277-O277,"")</f>
        <v>0</v>
      </c>
      <c r="Q277" s="12" t="n">
        <f aca="false">INDEX(Directions!$D$2:$D$100,MATCH(C277,Directions!$A$2:$A$100,0))</f>
        <v>-1</v>
      </c>
      <c r="R277" s="12" t="n">
        <f aca="false">IF(L277=1,P277*Q277,"")</f>
        <v>-0</v>
      </c>
      <c r="S277" s="12" t="str">
        <f aca="false">IF(L277&lt;&gt;1,"Excluded",IF(Q277=0,"No direction",IF(R277&gt;0,"Better",IF(R277&lt;0,"Worse","No change"))))</f>
        <v>No change</v>
      </c>
      <c r="T277" s="12"/>
      <c r="U277" s="12" t="str">
        <f aca="false">C277&amp;"|"&amp;E277</f>
        <v>F4_09|USA</v>
      </c>
    </row>
    <row r="278" customFormat="false" ht="15" hidden="false" customHeight="false" outlineLevel="0" collapsed="false">
      <c r="A278" s="12" t="n">
        <v>4</v>
      </c>
      <c r="B278" s="12" t="s">
        <v>39</v>
      </c>
      <c r="C278" s="12" t="s">
        <v>106</v>
      </c>
      <c r="D278" s="12" t="s">
        <v>107</v>
      </c>
      <c r="E278" s="12" t="s">
        <v>283</v>
      </c>
      <c r="F278" s="12" t="s">
        <v>28</v>
      </c>
      <c r="G278" s="12" t="n">
        <v>3.9</v>
      </c>
      <c r="H278" s="12" t="n">
        <v>4.2</v>
      </c>
      <c r="I278" s="12" t="s">
        <v>293</v>
      </c>
      <c r="J278" s="12" t="n">
        <v>3</v>
      </c>
      <c r="K278" s="12" t="n">
        <v>3</v>
      </c>
      <c r="L278" s="28" t="n">
        <v>1</v>
      </c>
      <c r="M278" s="12" t="n">
        <f aca="false">IF(L278=1,COUNTIFS($C$2:$C$1090,C278,$L$2:$L$1090,1),"")</f>
        <v>11</v>
      </c>
      <c r="N278" s="12" t="n">
        <f aca="false">IF(L278=1,1+COUNTIFS($C$2:$C$1090,C278,$L$2:$L$1090,1,$G$2:$G$1090,"&gt;"&amp;G278),"")</f>
        <v>3</v>
      </c>
      <c r="O278" s="12" t="n">
        <f aca="false">IF(L278=1,1+COUNTIFS($C$2:$C$1090,C278,$L$2:$L$1090,1,$H$2:$H$1090,"&gt;"&amp;H278),"")</f>
        <v>3</v>
      </c>
      <c r="P278" s="12" t="n">
        <f aca="false">IF(L278=1,N278-O278,"")</f>
        <v>0</v>
      </c>
      <c r="Q278" s="12" t="n">
        <f aca="false">INDEX(Directions!$D$2:$D$100,MATCH(C278,Directions!$A$2:$A$100,0))</f>
        <v>-1</v>
      </c>
      <c r="R278" s="12" t="n">
        <f aca="false">IF(L278=1,P278*Q278,"")</f>
        <v>-0</v>
      </c>
      <c r="S278" s="12" t="str">
        <f aca="false">IF(L278&lt;&gt;1,"Excluded",IF(Q278=0,"No direction",IF(R278&gt;0,"Better",IF(R278&lt;0,"Worse","No change"))))</f>
        <v>No change</v>
      </c>
      <c r="T278" s="12"/>
      <c r="U278" s="12" t="str">
        <f aca="false">C278&amp;"|"&amp;E278</f>
        <v>F4_09|GBR</v>
      </c>
    </row>
    <row r="279" customFormat="false" ht="15" hidden="false" customHeight="false" outlineLevel="0" collapsed="false">
      <c r="A279" s="12" t="n">
        <v>4</v>
      </c>
      <c r="B279" s="12" t="s">
        <v>39</v>
      </c>
      <c r="C279" s="12" t="s">
        <v>106</v>
      </c>
      <c r="D279" s="12" t="s">
        <v>107</v>
      </c>
      <c r="E279" s="12" t="s">
        <v>284</v>
      </c>
      <c r="F279" s="12" t="s">
        <v>29</v>
      </c>
      <c r="G279" s="12" t="n">
        <v>3.3</v>
      </c>
      <c r="H279" s="12" t="n">
        <v>3.3</v>
      </c>
      <c r="I279" s="12" t="s">
        <v>293</v>
      </c>
      <c r="J279" s="12" t="n">
        <v>7</v>
      </c>
      <c r="K279" s="12" t="n">
        <v>5</v>
      </c>
      <c r="L279" s="28" t="n">
        <v>1</v>
      </c>
      <c r="M279" s="12" t="n">
        <f aca="false">IF(L279=1,COUNTIFS($C$2:$C$1090,C279,$L$2:$L$1090,1),"")</f>
        <v>11</v>
      </c>
      <c r="N279" s="12" t="n">
        <f aca="false">IF(L279=1,1+COUNTIFS($C$2:$C$1090,C279,$L$2:$L$1090,1,$G$2:$G$1090,"&gt;"&amp;G279),"")</f>
        <v>7</v>
      </c>
      <c r="O279" s="12" t="n">
        <f aca="false">IF(L279=1,1+COUNTIFS($C$2:$C$1090,C279,$L$2:$L$1090,1,$H$2:$H$1090,"&gt;"&amp;H279),"")</f>
        <v>5</v>
      </c>
      <c r="P279" s="12" t="n">
        <f aca="false">IF(L279=1,N279-O279,"")</f>
        <v>2</v>
      </c>
      <c r="Q279" s="12" t="n">
        <f aca="false">INDEX(Directions!$D$2:$D$100,MATCH(C279,Directions!$A$2:$A$100,0))</f>
        <v>-1</v>
      </c>
      <c r="R279" s="12" t="n">
        <f aca="false">IF(L279=1,P279*Q279,"")</f>
        <v>-2</v>
      </c>
      <c r="S279" s="12" t="str">
        <f aca="false">IF(L279&lt;&gt;1,"Excluded",IF(Q279=0,"No direction",IF(R279&gt;0,"Better",IF(R279&lt;0,"Worse","No change"))))</f>
        <v>Worse</v>
      </c>
      <c r="T279" s="12"/>
      <c r="U279" s="12" t="str">
        <f aca="false">C279&amp;"|"&amp;E279</f>
        <v>F4_09|DEU</v>
      </c>
    </row>
    <row r="280" customFormat="false" ht="15" hidden="false" customHeight="false" outlineLevel="0" collapsed="false">
      <c r="A280" s="12" t="n">
        <v>4</v>
      </c>
      <c r="B280" s="12" t="s">
        <v>39</v>
      </c>
      <c r="C280" s="12" t="s">
        <v>106</v>
      </c>
      <c r="D280" s="12" t="s">
        <v>107</v>
      </c>
      <c r="E280" s="12" t="s">
        <v>285</v>
      </c>
      <c r="F280" s="12" t="s">
        <v>30</v>
      </c>
      <c r="G280" s="12" t="n">
        <v>2.5</v>
      </c>
      <c r="H280" s="12" t="n">
        <v>2</v>
      </c>
      <c r="I280" s="12" t="s">
        <v>293</v>
      </c>
      <c r="J280" s="12" t="n">
        <v>9</v>
      </c>
      <c r="K280" s="12" t="n">
        <v>10</v>
      </c>
      <c r="L280" s="28" t="n">
        <v>1</v>
      </c>
      <c r="M280" s="12" t="n">
        <f aca="false">IF(L280=1,COUNTIFS($C$2:$C$1090,C280,$L$2:$L$1090,1),"")</f>
        <v>11</v>
      </c>
      <c r="N280" s="12" t="n">
        <f aca="false">IF(L280=1,1+COUNTIFS($C$2:$C$1090,C280,$L$2:$L$1090,1,$G$2:$G$1090,"&gt;"&amp;G280),"")</f>
        <v>9</v>
      </c>
      <c r="O280" s="12" t="n">
        <f aca="false">IF(L280=1,1+COUNTIFS($C$2:$C$1090,C280,$L$2:$L$1090,1,$H$2:$H$1090,"&gt;"&amp;H280),"")</f>
        <v>10</v>
      </c>
      <c r="P280" s="12" t="n">
        <f aca="false">IF(L280=1,N280-O280,"")</f>
        <v>-1</v>
      </c>
      <c r="Q280" s="12" t="n">
        <f aca="false">INDEX(Directions!$D$2:$D$100,MATCH(C280,Directions!$A$2:$A$100,0))</f>
        <v>-1</v>
      </c>
      <c r="R280" s="12" t="n">
        <f aca="false">IF(L280=1,P280*Q280,"")</f>
        <v>1</v>
      </c>
      <c r="S280" s="12" t="str">
        <f aca="false">IF(L280&lt;&gt;1,"Excluded",IF(Q280=0,"No direction",IF(R280&gt;0,"Better",IF(R280&lt;0,"Worse","No change"))))</f>
        <v>Better</v>
      </c>
      <c r="T280" s="12"/>
      <c r="U280" s="12" t="str">
        <f aca="false">C280&amp;"|"&amp;E280</f>
        <v>F4_09|SWE</v>
      </c>
    </row>
    <row r="281" customFormat="false" ht="15" hidden="false" customHeight="false" outlineLevel="0" collapsed="false">
      <c r="A281" s="12" t="n">
        <v>4</v>
      </c>
      <c r="B281" s="12" t="s">
        <v>39</v>
      </c>
      <c r="C281" s="12" t="s">
        <v>106</v>
      </c>
      <c r="D281" s="12" t="s">
        <v>107</v>
      </c>
      <c r="E281" s="12" t="s">
        <v>286</v>
      </c>
      <c r="F281" s="12" t="s">
        <v>31</v>
      </c>
      <c r="G281" s="12" t="n">
        <v>3.8</v>
      </c>
      <c r="H281" s="12" t="n">
        <v>4</v>
      </c>
      <c r="I281" s="12" t="s">
        <v>282</v>
      </c>
      <c r="J281" s="12" t="n">
        <v>5</v>
      </c>
      <c r="K281" s="12" t="n">
        <v>4</v>
      </c>
      <c r="L281" s="28" t="n">
        <v>1</v>
      </c>
      <c r="M281" s="12" t="n">
        <f aca="false">IF(L281=1,COUNTIFS($C$2:$C$1090,C281,$L$2:$L$1090,1),"")</f>
        <v>11</v>
      </c>
      <c r="N281" s="12" t="n">
        <f aca="false">IF(L281=1,1+COUNTIFS($C$2:$C$1090,C281,$L$2:$L$1090,1,$G$2:$G$1090,"&gt;"&amp;G281),"")</f>
        <v>5</v>
      </c>
      <c r="O281" s="12" t="n">
        <f aca="false">IF(L281=1,1+COUNTIFS($C$2:$C$1090,C281,$L$2:$L$1090,1,$H$2:$H$1090,"&gt;"&amp;H281),"")</f>
        <v>4</v>
      </c>
      <c r="P281" s="12" t="n">
        <f aca="false">IF(L281=1,N281-O281,"")</f>
        <v>1</v>
      </c>
      <c r="Q281" s="12" t="n">
        <f aca="false">INDEX(Directions!$D$2:$D$100,MATCH(C281,Directions!$A$2:$A$100,0))</f>
        <v>-1</v>
      </c>
      <c r="R281" s="12" t="n">
        <f aca="false">IF(L281=1,P281*Q281,"")</f>
        <v>-1</v>
      </c>
      <c r="S281" s="12" t="str">
        <f aca="false">IF(L281&lt;&gt;1,"Excluded",IF(Q281=0,"No direction",IF(R281&gt;0,"Better",IF(R281&lt;0,"Worse","No change"))))</f>
        <v>Worse</v>
      </c>
      <c r="T281" s="12"/>
      <c r="U281" s="12" t="str">
        <f aca="false">C281&amp;"|"&amp;E281</f>
        <v>F4_09|FRA</v>
      </c>
    </row>
    <row r="282" customFormat="false" ht="15" hidden="false" customHeight="false" outlineLevel="0" collapsed="false">
      <c r="A282" s="12" t="n">
        <v>4</v>
      </c>
      <c r="B282" s="12" t="s">
        <v>39</v>
      </c>
      <c r="C282" s="12" t="s">
        <v>106</v>
      </c>
      <c r="D282" s="12" t="s">
        <v>107</v>
      </c>
      <c r="E282" s="12" t="s">
        <v>32</v>
      </c>
      <c r="F282" s="12" t="s">
        <v>32</v>
      </c>
      <c r="G282" s="12" t="n">
        <v>2.5</v>
      </c>
      <c r="H282" s="12" t="n">
        <v>3.3</v>
      </c>
      <c r="I282" s="12" t="s">
        <v>293</v>
      </c>
      <c r="J282" s="12" t="n">
        <v>10</v>
      </c>
      <c r="K282" s="12" t="n">
        <v>6</v>
      </c>
      <c r="L282" s="28" t="n">
        <v>1</v>
      </c>
      <c r="M282" s="12" t="n">
        <f aca="false">IF(L282=1,COUNTIFS($C$2:$C$1090,C282,$L$2:$L$1090,1),"")</f>
        <v>11</v>
      </c>
      <c r="N282" s="12" t="n">
        <f aca="false">IF(L282=1,1+COUNTIFS($C$2:$C$1090,C282,$L$2:$L$1090,1,$G$2:$G$1090,"&gt;"&amp;G282),"")</f>
        <v>9</v>
      </c>
      <c r="O282" s="12" t="n">
        <f aca="false">IF(L282=1,1+COUNTIFS($C$2:$C$1090,C282,$L$2:$L$1090,1,$H$2:$H$1090,"&gt;"&amp;H282),"")</f>
        <v>5</v>
      </c>
      <c r="P282" s="12" t="n">
        <f aca="false">IF(L282=1,N282-O282,"")</f>
        <v>4</v>
      </c>
      <c r="Q282" s="12" t="n">
        <f aca="false">INDEX(Directions!$D$2:$D$100,MATCH(C282,Directions!$A$2:$A$100,0))</f>
        <v>-1</v>
      </c>
      <c r="R282" s="12" t="n">
        <f aca="false">IF(L282=1,P282*Q282,"")</f>
        <v>-4</v>
      </c>
      <c r="S282" s="12" t="str">
        <f aca="false">IF(L282&lt;&gt;1,"Excluded",IF(Q282=0,"No direction",IF(R282&gt;0,"Better",IF(R282&lt;0,"Worse","No change"))))</f>
        <v>Worse</v>
      </c>
      <c r="T282" s="12"/>
      <c r="U282" s="12" t="str">
        <f aca="false">C282&amp;"|"&amp;E282</f>
        <v>F4_09|NLD</v>
      </c>
    </row>
    <row r="283" customFormat="false" ht="15" hidden="false" customHeight="false" outlineLevel="0" collapsed="false">
      <c r="A283" s="12" t="n">
        <v>4</v>
      </c>
      <c r="B283" s="12" t="s">
        <v>39</v>
      </c>
      <c r="C283" s="12" t="s">
        <v>106</v>
      </c>
      <c r="D283" s="12" t="s">
        <v>107</v>
      </c>
      <c r="E283" s="12" t="s">
        <v>33</v>
      </c>
      <c r="F283" s="12" t="s">
        <v>33</v>
      </c>
      <c r="G283" s="12" t="n">
        <v>3.9</v>
      </c>
      <c r="H283" s="12" t="n">
        <v>3.3</v>
      </c>
      <c r="I283" s="12" t="s">
        <v>293</v>
      </c>
      <c r="J283" s="12" t="n">
        <v>4</v>
      </c>
      <c r="K283" s="12" t="n">
        <v>7</v>
      </c>
      <c r="L283" s="28" t="n">
        <v>1</v>
      </c>
      <c r="M283" s="12" t="n">
        <f aca="false">IF(L283=1,COUNTIFS($C$2:$C$1090,C283,$L$2:$L$1090,1),"")</f>
        <v>11</v>
      </c>
      <c r="N283" s="12" t="n">
        <f aca="false">IF(L283=1,1+COUNTIFS($C$2:$C$1090,C283,$L$2:$L$1090,1,$G$2:$G$1090,"&gt;"&amp;G283),"")</f>
        <v>3</v>
      </c>
      <c r="O283" s="12" t="n">
        <f aca="false">IF(L283=1,1+COUNTIFS($C$2:$C$1090,C283,$L$2:$L$1090,1,$H$2:$H$1090,"&gt;"&amp;H283),"")</f>
        <v>5</v>
      </c>
      <c r="P283" s="12" t="n">
        <f aca="false">IF(L283=1,N283-O283,"")</f>
        <v>-2</v>
      </c>
      <c r="Q283" s="12" t="n">
        <f aca="false">INDEX(Directions!$D$2:$D$100,MATCH(C283,Directions!$A$2:$A$100,0))</f>
        <v>-1</v>
      </c>
      <c r="R283" s="12" t="n">
        <f aca="false">IF(L283=1,P283*Q283,"")</f>
        <v>2</v>
      </c>
      <c r="S283" s="12" t="str">
        <f aca="false">IF(L283&lt;&gt;1,"Excluded",IF(Q283=0,"No direction",IF(R283&gt;0,"Better",IF(R283&lt;0,"Worse","No change"))))</f>
        <v>Better</v>
      </c>
      <c r="T283" s="12"/>
      <c r="U283" s="12" t="str">
        <f aca="false">C283&amp;"|"&amp;E283</f>
        <v>F4_09|CHE</v>
      </c>
    </row>
    <row r="284" customFormat="false" ht="15" hidden="false" customHeight="false" outlineLevel="0" collapsed="false">
      <c r="A284" s="12" t="n">
        <v>4</v>
      </c>
      <c r="B284" s="12" t="s">
        <v>39</v>
      </c>
      <c r="C284" s="12" t="s">
        <v>106</v>
      </c>
      <c r="D284" s="12" t="s">
        <v>107</v>
      </c>
      <c r="E284" s="12" t="s">
        <v>287</v>
      </c>
      <c r="F284" s="12" t="s">
        <v>34</v>
      </c>
      <c r="G284" s="12" t="n">
        <v>3.7</v>
      </c>
      <c r="H284" s="12" t="n">
        <v>2.3</v>
      </c>
      <c r="I284" s="12" t="s">
        <v>282</v>
      </c>
      <c r="J284" s="12" t="n">
        <v>6</v>
      </c>
      <c r="K284" s="12" t="n">
        <v>9</v>
      </c>
      <c r="L284" s="28" t="n">
        <v>1</v>
      </c>
      <c r="M284" s="12" t="n">
        <f aca="false">IF(L284=1,COUNTIFS($C$2:$C$1090,C284,$L$2:$L$1090,1),"")</f>
        <v>11</v>
      </c>
      <c r="N284" s="12" t="n">
        <f aca="false">IF(L284=1,1+COUNTIFS($C$2:$C$1090,C284,$L$2:$L$1090,1,$G$2:$G$1090,"&gt;"&amp;G284),"")</f>
        <v>6</v>
      </c>
      <c r="O284" s="12" t="n">
        <f aca="false">IF(L284=1,1+COUNTIFS($C$2:$C$1090,C284,$L$2:$L$1090,1,$H$2:$H$1090,"&gt;"&amp;H284),"")</f>
        <v>9</v>
      </c>
      <c r="P284" s="12" t="n">
        <f aca="false">IF(L284=1,N284-O284,"")</f>
        <v>-3</v>
      </c>
      <c r="Q284" s="12" t="n">
        <f aca="false">INDEX(Directions!$D$2:$D$100,MATCH(C284,Directions!$A$2:$A$100,0))</f>
        <v>-1</v>
      </c>
      <c r="R284" s="12" t="n">
        <f aca="false">IF(L284=1,P284*Q284,"")</f>
        <v>3</v>
      </c>
      <c r="S284" s="12" t="str">
        <f aca="false">IF(L284&lt;&gt;1,"Excluded",IF(Q284=0,"No direction",IF(R284&gt;0,"Better",IF(R284&lt;0,"Worse","No change"))))</f>
        <v>Better</v>
      </c>
      <c r="T284" s="12"/>
      <c r="U284" s="12" t="str">
        <f aca="false">C284&amp;"|"&amp;E284</f>
        <v>F4_09|DNK</v>
      </c>
    </row>
    <row r="285" customFormat="false" ht="15" hidden="false" customHeight="false" outlineLevel="0" collapsed="false">
      <c r="A285" s="12" t="n">
        <v>4</v>
      </c>
      <c r="B285" s="12" t="s">
        <v>39</v>
      </c>
      <c r="C285" s="12" t="s">
        <v>106</v>
      </c>
      <c r="D285" s="12" t="s">
        <v>107</v>
      </c>
      <c r="E285" s="12" t="s">
        <v>288</v>
      </c>
      <c r="F285" s="12" t="s">
        <v>35</v>
      </c>
      <c r="G285" s="12" t="n">
        <v>5.1</v>
      </c>
      <c r="H285" s="12" t="n">
        <v>4.5</v>
      </c>
      <c r="I285" s="12" t="s">
        <v>293</v>
      </c>
      <c r="J285" s="12" t="n">
        <v>2</v>
      </c>
      <c r="K285" s="12" t="n">
        <v>2</v>
      </c>
      <c r="L285" s="28" t="n">
        <v>1</v>
      </c>
      <c r="M285" s="12" t="n">
        <f aca="false">IF(L285=1,COUNTIFS($C$2:$C$1090,C285,$L$2:$L$1090,1),"")</f>
        <v>11</v>
      </c>
      <c r="N285" s="12" t="n">
        <f aca="false">IF(L285=1,1+COUNTIFS($C$2:$C$1090,C285,$L$2:$L$1090,1,$G$2:$G$1090,"&gt;"&amp;G285),"")</f>
        <v>2</v>
      </c>
      <c r="O285" s="12" t="n">
        <f aca="false">IF(L285=1,1+COUNTIFS($C$2:$C$1090,C285,$L$2:$L$1090,1,$H$2:$H$1090,"&gt;"&amp;H285),"")</f>
        <v>2</v>
      </c>
      <c r="P285" s="12" t="n">
        <f aca="false">IF(L285=1,N285-O285,"")</f>
        <v>0</v>
      </c>
      <c r="Q285" s="12" t="n">
        <f aca="false">INDEX(Directions!$D$2:$D$100,MATCH(C285,Directions!$A$2:$A$100,0))</f>
        <v>-1</v>
      </c>
      <c r="R285" s="12" t="n">
        <f aca="false">IF(L285=1,P285*Q285,"")</f>
        <v>-0</v>
      </c>
      <c r="S285" s="12" t="str">
        <f aca="false">IF(L285&lt;&gt;1,"Excluded",IF(Q285=0,"No direction",IF(R285&gt;0,"Better",IF(R285&lt;0,"Worse","No change"))))</f>
        <v>No change</v>
      </c>
      <c r="T285" s="12"/>
      <c r="U285" s="12" t="str">
        <f aca="false">C285&amp;"|"&amp;E285</f>
        <v>F4_09|CAN</v>
      </c>
    </row>
    <row r="286" customFormat="false" ht="15" hidden="false" customHeight="false" outlineLevel="0" collapsed="false">
      <c r="A286" s="12" t="n">
        <v>4</v>
      </c>
      <c r="B286" s="12" t="s">
        <v>39</v>
      </c>
      <c r="C286" s="12" t="s">
        <v>106</v>
      </c>
      <c r="D286" s="12" t="s">
        <v>107</v>
      </c>
      <c r="E286" s="12" t="s">
        <v>289</v>
      </c>
      <c r="F286" s="12" t="s">
        <v>36</v>
      </c>
      <c r="G286" s="12" t="n">
        <v>2.1</v>
      </c>
      <c r="H286" s="12" t="n">
        <v>1.8</v>
      </c>
      <c r="I286" s="12" t="s">
        <v>293</v>
      </c>
      <c r="J286" s="12" t="n">
        <v>11</v>
      </c>
      <c r="K286" s="12" t="n">
        <v>11</v>
      </c>
      <c r="L286" s="28" t="n">
        <v>1</v>
      </c>
      <c r="M286" s="12" t="n">
        <f aca="false">IF(L286=1,COUNTIFS($C$2:$C$1090,C286,$L$2:$L$1090,1),"")</f>
        <v>11</v>
      </c>
      <c r="N286" s="12" t="n">
        <f aca="false">IF(L286=1,1+COUNTIFS($C$2:$C$1090,C286,$L$2:$L$1090,1,$G$2:$G$1090,"&gt;"&amp;G286),"")</f>
        <v>11</v>
      </c>
      <c r="O286" s="12" t="n">
        <f aca="false">IF(L286=1,1+COUNTIFS($C$2:$C$1090,C286,$L$2:$L$1090,1,$H$2:$H$1090,"&gt;"&amp;H286),"")</f>
        <v>11</v>
      </c>
      <c r="P286" s="12" t="n">
        <f aca="false">IF(L286=1,N286-O286,"")</f>
        <v>0</v>
      </c>
      <c r="Q286" s="12" t="n">
        <f aca="false">INDEX(Directions!$D$2:$D$100,MATCH(C286,Directions!$A$2:$A$100,0))</f>
        <v>-1</v>
      </c>
      <c r="R286" s="12" t="n">
        <f aca="false">IF(L286=1,P286*Q286,"")</f>
        <v>-0</v>
      </c>
      <c r="S286" s="12" t="str">
        <f aca="false">IF(L286&lt;&gt;1,"Excluded",IF(Q286=0,"No direction",IF(R286&gt;0,"Better",IF(R286&lt;0,"Worse","No change"))))</f>
        <v>No change</v>
      </c>
      <c r="T286" s="12"/>
      <c r="U286" s="12" t="str">
        <f aca="false">C286&amp;"|"&amp;E286</f>
        <v>F4_09|JPN</v>
      </c>
    </row>
    <row r="287" customFormat="false" ht="15" hidden="false" customHeight="false" outlineLevel="0" collapsed="false">
      <c r="A287" s="12" t="n">
        <v>4</v>
      </c>
      <c r="B287" s="12" t="s">
        <v>39</v>
      </c>
      <c r="C287" s="12" t="s">
        <v>106</v>
      </c>
      <c r="D287" s="12" t="s">
        <v>107</v>
      </c>
      <c r="E287" s="12" t="s">
        <v>290</v>
      </c>
      <c r="F287" s="12" t="s">
        <v>37</v>
      </c>
      <c r="G287" s="12" t="n">
        <v>3.2</v>
      </c>
      <c r="H287" s="12" t="n">
        <v>3.3</v>
      </c>
      <c r="I287" s="12" t="s">
        <v>293</v>
      </c>
      <c r="J287" s="12" t="n">
        <v>8</v>
      </c>
      <c r="K287" s="12" t="n">
        <v>8</v>
      </c>
      <c r="L287" s="28" t="n">
        <v>1</v>
      </c>
      <c r="M287" s="12" t="n">
        <f aca="false">IF(L287=1,COUNTIFS($C$2:$C$1090,C287,$L$2:$L$1090,1),"")</f>
        <v>11</v>
      </c>
      <c r="N287" s="12" t="n">
        <f aca="false">IF(L287=1,1+COUNTIFS($C$2:$C$1090,C287,$L$2:$L$1090,1,$G$2:$G$1090,"&gt;"&amp;G287),"")</f>
        <v>8</v>
      </c>
      <c r="O287" s="12" t="n">
        <f aca="false">IF(L287=1,1+COUNTIFS($C$2:$C$1090,C287,$L$2:$L$1090,1,$H$2:$H$1090,"&gt;"&amp;H287),"")</f>
        <v>5</v>
      </c>
      <c r="P287" s="12" t="n">
        <f aca="false">IF(L287=1,N287-O287,"")</f>
        <v>3</v>
      </c>
      <c r="Q287" s="12" t="n">
        <f aca="false">INDEX(Directions!$D$2:$D$100,MATCH(C287,Directions!$A$2:$A$100,0))</f>
        <v>-1</v>
      </c>
      <c r="R287" s="12" t="n">
        <f aca="false">IF(L287=1,P287*Q287,"")</f>
        <v>-3</v>
      </c>
      <c r="S287" s="12" t="str">
        <f aca="false">IF(L287&lt;&gt;1,"Excluded",IF(Q287=0,"No direction",IF(R287&gt;0,"Better",IF(R287&lt;0,"Worse","No change"))))</f>
        <v>Worse</v>
      </c>
      <c r="T287" s="12"/>
      <c r="U287" s="12" t="str">
        <f aca="false">C287&amp;"|"&amp;E287</f>
        <v>F4_09|AUS</v>
      </c>
    </row>
    <row r="288" customFormat="false" ht="15" hidden="false" customHeight="false" outlineLevel="0" collapsed="false">
      <c r="A288" s="12" t="n">
        <v>4</v>
      </c>
      <c r="B288" s="12" t="s">
        <v>39</v>
      </c>
      <c r="C288" s="12" t="s">
        <v>108</v>
      </c>
      <c r="D288" s="12" t="s">
        <v>109</v>
      </c>
      <c r="E288" s="12" t="s">
        <v>281</v>
      </c>
      <c r="F288" s="12" t="s">
        <v>27</v>
      </c>
      <c r="G288" s="12" t="n">
        <v>4</v>
      </c>
      <c r="H288" s="12" t="n">
        <v>3.7</v>
      </c>
      <c r="I288" s="12" t="s">
        <v>293</v>
      </c>
      <c r="J288" s="12" t="n">
        <v>1</v>
      </c>
      <c r="K288" s="12" t="n">
        <v>1</v>
      </c>
      <c r="L288" s="28" t="n">
        <v>1</v>
      </c>
      <c r="M288" s="12" t="n">
        <f aca="false">IF(L288=1,COUNTIFS($C$2:$C$1090,C288,$L$2:$L$1090,1),"")</f>
        <v>11</v>
      </c>
      <c r="N288" s="12" t="n">
        <f aca="false">IF(L288=1,1+COUNTIFS($C$2:$C$1090,C288,$L$2:$L$1090,1,$G$2:$G$1090,"&gt;"&amp;G288),"")</f>
        <v>1</v>
      </c>
      <c r="O288" s="12" t="n">
        <f aca="false">IF(L288=1,1+COUNTIFS($C$2:$C$1090,C288,$L$2:$L$1090,1,$H$2:$H$1090,"&gt;"&amp;H288),"")</f>
        <v>1</v>
      </c>
      <c r="P288" s="12" t="n">
        <f aca="false">IF(L288=1,N288-O288,"")</f>
        <v>0</v>
      </c>
      <c r="Q288" s="12" t="n">
        <f aca="false">INDEX(Directions!$D$2:$D$100,MATCH(C288,Directions!$A$2:$A$100,0))</f>
        <v>-1</v>
      </c>
      <c r="R288" s="12" t="n">
        <f aca="false">IF(L288=1,P288*Q288,"")</f>
        <v>-0</v>
      </c>
      <c r="S288" s="12" t="str">
        <f aca="false">IF(L288&lt;&gt;1,"Excluded",IF(Q288=0,"No direction",IF(R288&gt;0,"Better",IF(R288&lt;0,"Worse","No change"))))</f>
        <v>No change</v>
      </c>
      <c r="T288" s="12"/>
      <c r="U288" s="12" t="str">
        <f aca="false">C288&amp;"|"&amp;E288</f>
        <v>F4_10|USA</v>
      </c>
    </row>
    <row r="289" customFormat="false" ht="15" hidden="false" customHeight="false" outlineLevel="0" collapsed="false">
      <c r="A289" s="12" t="n">
        <v>4</v>
      </c>
      <c r="B289" s="12" t="s">
        <v>39</v>
      </c>
      <c r="C289" s="12" t="s">
        <v>108</v>
      </c>
      <c r="D289" s="12" t="s">
        <v>109</v>
      </c>
      <c r="E289" s="12" t="s">
        <v>283</v>
      </c>
      <c r="F289" s="12" t="s">
        <v>28</v>
      </c>
      <c r="G289" s="12" t="n">
        <v>2.7</v>
      </c>
      <c r="H289" s="12" t="n">
        <v>3.1</v>
      </c>
      <c r="I289" s="12" t="s">
        <v>293</v>
      </c>
      <c r="J289" s="12" t="n">
        <v>5</v>
      </c>
      <c r="K289" s="12" t="n">
        <v>3</v>
      </c>
      <c r="L289" s="28" t="n">
        <v>1</v>
      </c>
      <c r="M289" s="12" t="n">
        <f aca="false">IF(L289=1,COUNTIFS($C$2:$C$1090,C289,$L$2:$L$1090,1),"")</f>
        <v>11</v>
      </c>
      <c r="N289" s="12" t="n">
        <f aca="false">IF(L289=1,1+COUNTIFS($C$2:$C$1090,C289,$L$2:$L$1090,1,$G$2:$G$1090,"&gt;"&amp;G289),"")</f>
        <v>5</v>
      </c>
      <c r="O289" s="12" t="n">
        <f aca="false">IF(L289=1,1+COUNTIFS($C$2:$C$1090,C289,$L$2:$L$1090,1,$H$2:$H$1090,"&gt;"&amp;H289),"")</f>
        <v>3</v>
      </c>
      <c r="P289" s="12" t="n">
        <f aca="false">IF(L289=1,N289-O289,"")</f>
        <v>2</v>
      </c>
      <c r="Q289" s="12" t="n">
        <f aca="false">INDEX(Directions!$D$2:$D$100,MATCH(C289,Directions!$A$2:$A$100,0))</f>
        <v>-1</v>
      </c>
      <c r="R289" s="12" t="n">
        <f aca="false">IF(L289=1,P289*Q289,"")</f>
        <v>-2</v>
      </c>
      <c r="S289" s="12" t="str">
        <f aca="false">IF(L289&lt;&gt;1,"Excluded",IF(Q289=0,"No direction",IF(R289&gt;0,"Better",IF(R289&lt;0,"Worse","No change"))))</f>
        <v>Worse</v>
      </c>
      <c r="T289" s="12"/>
      <c r="U289" s="12" t="str">
        <f aca="false">C289&amp;"|"&amp;E289</f>
        <v>F4_10|GBR</v>
      </c>
    </row>
    <row r="290" customFormat="false" ht="15" hidden="false" customHeight="false" outlineLevel="0" collapsed="false">
      <c r="A290" s="12" t="n">
        <v>4</v>
      </c>
      <c r="B290" s="12" t="s">
        <v>39</v>
      </c>
      <c r="C290" s="12" t="s">
        <v>108</v>
      </c>
      <c r="D290" s="12" t="s">
        <v>109</v>
      </c>
      <c r="E290" s="12" t="s">
        <v>284</v>
      </c>
      <c r="F290" s="12" t="s">
        <v>29</v>
      </c>
      <c r="G290" s="12" t="n">
        <v>2.3</v>
      </c>
      <c r="H290" s="12" t="n">
        <v>2.4</v>
      </c>
      <c r="I290" s="12" t="s">
        <v>293</v>
      </c>
      <c r="J290" s="12" t="n">
        <v>8</v>
      </c>
      <c r="K290" s="12" t="n">
        <v>7</v>
      </c>
      <c r="L290" s="28" t="n">
        <v>1</v>
      </c>
      <c r="M290" s="12" t="n">
        <f aca="false">IF(L290=1,COUNTIFS($C$2:$C$1090,C290,$L$2:$L$1090,1),"")</f>
        <v>11</v>
      </c>
      <c r="N290" s="12" t="n">
        <f aca="false">IF(L290=1,1+COUNTIFS($C$2:$C$1090,C290,$L$2:$L$1090,1,$G$2:$G$1090,"&gt;"&amp;G290),"")</f>
        <v>8</v>
      </c>
      <c r="O290" s="12" t="n">
        <f aca="false">IF(L290=1,1+COUNTIFS($C$2:$C$1090,C290,$L$2:$L$1090,1,$H$2:$H$1090,"&gt;"&amp;H290),"")</f>
        <v>7</v>
      </c>
      <c r="P290" s="12" t="n">
        <f aca="false">IF(L290=1,N290-O290,"")</f>
        <v>1</v>
      </c>
      <c r="Q290" s="12" t="n">
        <f aca="false">INDEX(Directions!$D$2:$D$100,MATCH(C290,Directions!$A$2:$A$100,0))</f>
        <v>-1</v>
      </c>
      <c r="R290" s="12" t="n">
        <f aca="false">IF(L290=1,P290*Q290,"")</f>
        <v>-1</v>
      </c>
      <c r="S290" s="12" t="str">
        <f aca="false">IF(L290&lt;&gt;1,"Excluded",IF(Q290=0,"No direction",IF(R290&gt;0,"Better",IF(R290&lt;0,"Worse","No change"))))</f>
        <v>Worse</v>
      </c>
      <c r="T290" s="12"/>
      <c r="U290" s="12" t="str">
        <f aca="false">C290&amp;"|"&amp;E290</f>
        <v>F4_10|DEU</v>
      </c>
    </row>
    <row r="291" customFormat="false" ht="15" hidden="false" customHeight="false" outlineLevel="0" collapsed="false">
      <c r="A291" s="12" t="n">
        <v>4</v>
      </c>
      <c r="B291" s="12" t="s">
        <v>39</v>
      </c>
      <c r="C291" s="12" t="s">
        <v>108</v>
      </c>
      <c r="D291" s="12" t="s">
        <v>109</v>
      </c>
      <c r="E291" s="12" t="s">
        <v>285</v>
      </c>
      <c r="F291" s="12" t="s">
        <v>30</v>
      </c>
      <c r="G291" s="12" t="n">
        <v>1.7</v>
      </c>
      <c r="H291" s="12" t="n">
        <v>1.4</v>
      </c>
      <c r="I291" s="12" t="s">
        <v>293</v>
      </c>
      <c r="J291" s="12" t="n">
        <v>10</v>
      </c>
      <c r="K291" s="12" t="n">
        <v>10</v>
      </c>
      <c r="L291" s="28" t="n">
        <v>1</v>
      </c>
      <c r="M291" s="12" t="n">
        <f aca="false">IF(L291=1,COUNTIFS($C$2:$C$1090,C291,$L$2:$L$1090,1),"")</f>
        <v>11</v>
      </c>
      <c r="N291" s="12" t="n">
        <f aca="false">IF(L291=1,1+COUNTIFS($C$2:$C$1090,C291,$L$2:$L$1090,1,$G$2:$G$1090,"&gt;"&amp;G291),"")</f>
        <v>10</v>
      </c>
      <c r="O291" s="12" t="n">
        <f aca="false">IF(L291=1,1+COUNTIFS($C$2:$C$1090,C291,$L$2:$L$1090,1,$H$2:$H$1090,"&gt;"&amp;H291),"")</f>
        <v>10</v>
      </c>
      <c r="P291" s="12" t="n">
        <f aca="false">IF(L291=1,N291-O291,"")</f>
        <v>0</v>
      </c>
      <c r="Q291" s="12" t="n">
        <f aca="false">INDEX(Directions!$D$2:$D$100,MATCH(C291,Directions!$A$2:$A$100,0))</f>
        <v>-1</v>
      </c>
      <c r="R291" s="12" t="n">
        <f aca="false">IF(L291=1,P291*Q291,"")</f>
        <v>-0</v>
      </c>
      <c r="S291" s="12" t="str">
        <f aca="false">IF(L291&lt;&gt;1,"Excluded",IF(Q291=0,"No direction",IF(R291&gt;0,"Better",IF(R291&lt;0,"Worse","No change"))))</f>
        <v>No change</v>
      </c>
      <c r="T291" s="12"/>
      <c r="U291" s="12" t="str">
        <f aca="false">C291&amp;"|"&amp;E291</f>
        <v>F4_10|SWE</v>
      </c>
    </row>
    <row r="292" customFormat="false" ht="15" hidden="false" customHeight="false" outlineLevel="0" collapsed="false">
      <c r="A292" s="12" t="n">
        <v>4</v>
      </c>
      <c r="B292" s="12" t="s">
        <v>39</v>
      </c>
      <c r="C292" s="12" t="s">
        <v>108</v>
      </c>
      <c r="D292" s="12" t="s">
        <v>109</v>
      </c>
      <c r="E292" s="12" t="s">
        <v>286</v>
      </c>
      <c r="F292" s="12" t="s">
        <v>31</v>
      </c>
      <c r="G292" s="12" t="n">
        <v>2.6</v>
      </c>
      <c r="H292" s="12" t="n">
        <v>2.9</v>
      </c>
      <c r="I292" s="12" t="s">
        <v>293</v>
      </c>
      <c r="J292" s="12" t="n">
        <v>6</v>
      </c>
      <c r="K292" s="12" t="n">
        <v>4</v>
      </c>
      <c r="L292" s="28" t="n">
        <v>1</v>
      </c>
      <c r="M292" s="12" t="n">
        <f aca="false">IF(L292=1,COUNTIFS($C$2:$C$1090,C292,$L$2:$L$1090,1),"")</f>
        <v>11</v>
      </c>
      <c r="N292" s="12" t="n">
        <f aca="false">IF(L292=1,1+COUNTIFS($C$2:$C$1090,C292,$L$2:$L$1090,1,$G$2:$G$1090,"&gt;"&amp;G292),"")</f>
        <v>6</v>
      </c>
      <c r="O292" s="12" t="n">
        <f aca="false">IF(L292=1,1+COUNTIFS($C$2:$C$1090,C292,$L$2:$L$1090,1,$H$2:$H$1090,"&gt;"&amp;H292),"")</f>
        <v>4</v>
      </c>
      <c r="P292" s="12" t="n">
        <f aca="false">IF(L292=1,N292-O292,"")</f>
        <v>2</v>
      </c>
      <c r="Q292" s="12" t="n">
        <f aca="false">INDEX(Directions!$D$2:$D$100,MATCH(C292,Directions!$A$2:$A$100,0))</f>
        <v>-1</v>
      </c>
      <c r="R292" s="12" t="n">
        <f aca="false">IF(L292=1,P292*Q292,"")</f>
        <v>-2</v>
      </c>
      <c r="S292" s="12" t="str">
        <f aca="false">IF(L292&lt;&gt;1,"Excluded",IF(Q292=0,"No direction",IF(R292&gt;0,"Better",IF(R292&lt;0,"Worse","No change"))))</f>
        <v>Worse</v>
      </c>
      <c r="T292" s="12"/>
      <c r="U292" s="12" t="str">
        <f aca="false">C292&amp;"|"&amp;E292</f>
        <v>F4_10|FRA</v>
      </c>
    </row>
    <row r="293" customFormat="false" ht="15" hidden="false" customHeight="false" outlineLevel="0" collapsed="false">
      <c r="A293" s="12" t="n">
        <v>4</v>
      </c>
      <c r="B293" s="12" t="s">
        <v>39</v>
      </c>
      <c r="C293" s="12" t="s">
        <v>108</v>
      </c>
      <c r="D293" s="12" t="s">
        <v>109</v>
      </c>
      <c r="E293" s="12" t="s">
        <v>32</v>
      </c>
      <c r="F293" s="12" t="s">
        <v>32</v>
      </c>
      <c r="G293" s="12" t="n">
        <v>2.5</v>
      </c>
      <c r="H293" s="12" t="n">
        <v>2.6</v>
      </c>
      <c r="I293" s="12" t="s">
        <v>293</v>
      </c>
      <c r="J293" s="12" t="n">
        <v>7</v>
      </c>
      <c r="K293" s="12" t="n">
        <v>6</v>
      </c>
      <c r="L293" s="28" t="n">
        <v>1</v>
      </c>
      <c r="M293" s="12" t="n">
        <f aca="false">IF(L293=1,COUNTIFS($C$2:$C$1090,C293,$L$2:$L$1090,1),"")</f>
        <v>11</v>
      </c>
      <c r="N293" s="12" t="n">
        <f aca="false">IF(L293=1,1+COUNTIFS($C$2:$C$1090,C293,$L$2:$L$1090,1,$G$2:$G$1090,"&gt;"&amp;G293),"")</f>
        <v>7</v>
      </c>
      <c r="O293" s="12" t="n">
        <f aca="false">IF(L293=1,1+COUNTIFS($C$2:$C$1090,C293,$L$2:$L$1090,1,$H$2:$H$1090,"&gt;"&amp;H293),"")</f>
        <v>6</v>
      </c>
      <c r="P293" s="12" t="n">
        <f aca="false">IF(L293=1,N293-O293,"")</f>
        <v>1</v>
      </c>
      <c r="Q293" s="12" t="n">
        <f aca="false">INDEX(Directions!$D$2:$D$100,MATCH(C293,Directions!$A$2:$A$100,0))</f>
        <v>-1</v>
      </c>
      <c r="R293" s="12" t="n">
        <f aca="false">IF(L293=1,P293*Q293,"")</f>
        <v>-1</v>
      </c>
      <c r="S293" s="12" t="str">
        <f aca="false">IF(L293&lt;&gt;1,"Excluded",IF(Q293=0,"No direction",IF(R293&gt;0,"Better",IF(R293&lt;0,"Worse","No change"))))</f>
        <v>Worse</v>
      </c>
      <c r="T293" s="12"/>
      <c r="U293" s="12" t="str">
        <f aca="false">C293&amp;"|"&amp;E293</f>
        <v>F4_10|NLD</v>
      </c>
    </row>
    <row r="294" customFormat="false" ht="15" hidden="false" customHeight="false" outlineLevel="0" collapsed="false">
      <c r="A294" s="12" t="n">
        <v>4</v>
      </c>
      <c r="B294" s="12" t="s">
        <v>39</v>
      </c>
      <c r="C294" s="12" t="s">
        <v>108</v>
      </c>
      <c r="D294" s="12" t="s">
        <v>109</v>
      </c>
      <c r="E294" s="12" t="s">
        <v>33</v>
      </c>
      <c r="F294" s="12" t="s">
        <v>33</v>
      </c>
      <c r="G294" s="12" t="n">
        <v>3.1</v>
      </c>
      <c r="H294" s="12" t="n">
        <v>2.7</v>
      </c>
      <c r="I294" s="12" t="s">
        <v>293</v>
      </c>
      <c r="J294" s="12" t="n">
        <v>3</v>
      </c>
      <c r="K294" s="12" t="n">
        <v>5</v>
      </c>
      <c r="L294" s="28" t="n">
        <v>1</v>
      </c>
      <c r="M294" s="12" t="n">
        <f aca="false">IF(L294=1,COUNTIFS($C$2:$C$1090,C294,$L$2:$L$1090,1),"")</f>
        <v>11</v>
      </c>
      <c r="N294" s="12" t="n">
        <f aca="false">IF(L294=1,1+COUNTIFS($C$2:$C$1090,C294,$L$2:$L$1090,1,$G$2:$G$1090,"&gt;"&amp;G294),"")</f>
        <v>3</v>
      </c>
      <c r="O294" s="12" t="n">
        <f aca="false">IF(L294=1,1+COUNTIFS($C$2:$C$1090,C294,$L$2:$L$1090,1,$H$2:$H$1090,"&gt;"&amp;H294),"")</f>
        <v>5</v>
      </c>
      <c r="P294" s="12" t="n">
        <f aca="false">IF(L294=1,N294-O294,"")</f>
        <v>-2</v>
      </c>
      <c r="Q294" s="12" t="n">
        <f aca="false">INDEX(Directions!$D$2:$D$100,MATCH(C294,Directions!$A$2:$A$100,0))</f>
        <v>-1</v>
      </c>
      <c r="R294" s="12" t="n">
        <f aca="false">IF(L294=1,P294*Q294,"")</f>
        <v>2</v>
      </c>
      <c r="S294" s="12" t="str">
        <f aca="false">IF(L294&lt;&gt;1,"Excluded",IF(Q294=0,"No direction",IF(R294&gt;0,"Better",IF(R294&lt;0,"Worse","No change"))))</f>
        <v>Better</v>
      </c>
      <c r="T294" s="12"/>
      <c r="U294" s="12" t="str">
        <f aca="false">C294&amp;"|"&amp;E294</f>
        <v>F4_10|CHE</v>
      </c>
    </row>
    <row r="295" customFormat="false" ht="15" hidden="false" customHeight="false" outlineLevel="0" collapsed="false">
      <c r="A295" s="12" t="n">
        <v>4</v>
      </c>
      <c r="B295" s="12" t="s">
        <v>39</v>
      </c>
      <c r="C295" s="12" t="s">
        <v>108</v>
      </c>
      <c r="D295" s="12" t="s">
        <v>109</v>
      </c>
      <c r="E295" s="12" t="s">
        <v>287</v>
      </c>
      <c r="F295" s="12" t="s">
        <v>34</v>
      </c>
      <c r="G295" s="12" t="n">
        <v>3</v>
      </c>
      <c r="H295" s="12" t="n">
        <v>1.9</v>
      </c>
      <c r="I295" s="12" t="s">
        <v>282</v>
      </c>
      <c r="J295" s="12" t="n">
        <v>4</v>
      </c>
      <c r="K295" s="12" t="n">
        <v>9</v>
      </c>
      <c r="L295" s="28" t="n">
        <v>1</v>
      </c>
      <c r="M295" s="12" t="n">
        <f aca="false">IF(L295=1,COUNTIFS($C$2:$C$1090,C295,$L$2:$L$1090,1),"")</f>
        <v>11</v>
      </c>
      <c r="N295" s="12" t="n">
        <f aca="false">IF(L295=1,1+COUNTIFS($C$2:$C$1090,C295,$L$2:$L$1090,1,$G$2:$G$1090,"&gt;"&amp;G295),"")</f>
        <v>4</v>
      </c>
      <c r="O295" s="12" t="n">
        <f aca="false">IF(L295=1,1+COUNTIFS($C$2:$C$1090,C295,$L$2:$L$1090,1,$H$2:$H$1090,"&gt;"&amp;H295),"")</f>
        <v>9</v>
      </c>
      <c r="P295" s="12" t="n">
        <f aca="false">IF(L295=1,N295-O295,"")</f>
        <v>-5</v>
      </c>
      <c r="Q295" s="12" t="n">
        <f aca="false">INDEX(Directions!$D$2:$D$100,MATCH(C295,Directions!$A$2:$A$100,0))</f>
        <v>-1</v>
      </c>
      <c r="R295" s="12" t="n">
        <f aca="false">IF(L295=1,P295*Q295,"")</f>
        <v>5</v>
      </c>
      <c r="S295" s="12" t="str">
        <f aca="false">IF(L295&lt;&gt;1,"Excluded",IF(Q295=0,"No direction",IF(R295&gt;0,"Better",IF(R295&lt;0,"Worse","No change"))))</f>
        <v>Better</v>
      </c>
      <c r="T295" s="12"/>
      <c r="U295" s="12" t="str">
        <f aca="false">C295&amp;"|"&amp;E295</f>
        <v>F4_10|DNK</v>
      </c>
    </row>
    <row r="296" customFormat="false" ht="15" hidden="false" customHeight="false" outlineLevel="0" collapsed="false">
      <c r="A296" s="12" t="n">
        <v>4</v>
      </c>
      <c r="B296" s="12" t="s">
        <v>39</v>
      </c>
      <c r="C296" s="12" t="s">
        <v>108</v>
      </c>
      <c r="D296" s="12" t="s">
        <v>109</v>
      </c>
      <c r="E296" s="12" t="s">
        <v>288</v>
      </c>
      <c r="F296" s="12" t="s">
        <v>35</v>
      </c>
      <c r="G296" s="12" t="n">
        <v>3.2</v>
      </c>
      <c r="H296" s="12" t="n">
        <v>3.3</v>
      </c>
      <c r="I296" s="12" t="s">
        <v>293</v>
      </c>
      <c r="J296" s="12" t="n">
        <v>2</v>
      </c>
      <c r="K296" s="12" t="n">
        <v>2</v>
      </c>
      <c r="L296" s="28" t="n">
        <v>1</v>
      </c>
      <c r="M296" s="12" t="n">
        <f aca="false">IF(L296=1,COUNTIFS($C$2:$C$1090,C296,$L$2:$L$1090,1),"")</f>
        <v>11</v>
      </c>
      <c r="N296" s="12" t="n">
        <f aca="false">IF(L296=1,1+COUNTIFS($C$2:$C$1090,C296,$L$2:$L$1090,1,$G$2:$G$1090,"&gt;"&amp;G296),"")</f>
        <v>2</v>
      </c>
      <c r="O296" s="12" t="n">
        <f aca="false">IF(L296=1,1+COUNTIFS($C$2:$C$1090,C296,$L$2:$L$1090,1,$H$2:$H$1090,"&gt;"&amp;H296),"")</f>
        <v>2</v>
      </c>
      <c r="P296" s="12" t="n">
        <f aca="false">IF(L296=1,N296-O296,"")</f>
        <v>0</v>
      </c>
      <c r="Q296" s="12" t="n">
        <f aca="false">INDEX(Directions!$D$2:$D$100,MATCH(C296,Directions!$A$2:$A$100,0))</f>
        <v>-1</v>
      </c>
      <c r="R296" s="12" t="n">
        <f aca="false">IF(L296=1,P296*Q296,"")</f>
        <v>-0</v>
      </c>
      <c r="S296" s="12" t="str">
        <f aca="false">IF(L296&lt;&gt;1,"Excluded",IF(Q296=0,"No direction",IF(R296&gt;0,"Better",IF(R296&lt;0,"Worse","No change"))))</f>
        <v>No change</v>
      </c>
      <c r="T296" s="12"/>
      <c r="U296" s="12" t="str">
        <f aca="false">C296&amp;"|"&amp;E296</f>
        <v>F4_10|CAN</v>
      </c>
    </row>
    <row r="297" customFormat="false" ht="15" hidden="false" customHeight="false" outlineLevel="0" collapsed="false">
      <c r="A297" s="12" t="n">
        <v>4</v>
      </c>
      <c r="B297" s="12" t="s">
        <v>39</v>
      </c>
      <c r="C297" s="12" t="s">
        <v>108</v>
      </c>
      <c r="D297" s="12" t="s">
        <v>109</v>
      </c>
      <c r="E297" s="12" t="s">
        <v>289</v>
      </c>
      <c r="F297" s="12" t="s">
        <v>36</v>
      </c>
      <c r="G297" s="12" t="n">
        <v>0.9</v>
      </c>
      <c r="H297" s="12" t="n">
        <v>0.9</v>
      </c>
      <c r="I297" s="12" t="s">
        <v>293</v>
      </c>
      <c r="J297" s="12" t="n">
        <v>11</v>
      </c>
      <c r="K297" s="12" t="n">
        <v>11</v>
      </c>
      <c r="L297" s="28" t="n">
        <v>1</v>
      </c>
      <c r="M297" s="12" t="n">
        <f aca="false">IF(L297=1,COUNTIFS($C$2:$C$1090,C297,$L$2:$L$1090,1),"")</f>
        <v>11</v>
      </c>
      <c r="N297" s="12" t="n">
        <f aca="false">IF(L297=1,1+COUNTIFS($C$2:$C$1090,C297,$L$2:$L$1090,1,$G$2:$G$1090,"&gt;"&amp;G297),"")</f>
        <v>11</v>
      </c>
      <c r="O297" s="12" t="n">
        <f aca="false">IF(L297=1,1+COUNTIFS($C$2:$C$1090,C297,$L$2:$L$1090,1,$H$2:$H$1090,"&gt;"&amp;H297),"")</f>
        <v>11</v>
      </c>
      <c r="P297" s="12" t="n">
        <f aca="false">IF(L297=1,N297-O297,"")</f>
        <v>0</v>
      </c>
      <c r="Q297" s="12" t="n">
        <f aca="false">INDEX(Directions!$D$2:$D$100,MATCH(C297,Directions!$A$2:$A$100,0))</f>
        <v>-1</v>
      </c>
      <c r="R297" s="12" t="n">
        <f aca="false">IF(L297=1,P297*Q297,"")</f>
        <v>-0</v>
      </c>
      <c r="S297" s="12" t="str">
        <f aca="false">IF(L297&lt;&gt;1,"Excluded",IF(Q297=0,"No direction",IF(R297&gt;0,"Better",IF(R297&lt;0,"Worse","No change"))))</f>
        <v>No change</v>
      </c>
      <c r="T297" s="12"/>
      <c r="U297" s="12" t="str">
        <f aca="false">C297&amp;"|"&amp;E297</f>
        <v>F4_10|JPN</v>
      </c>
    </row>
    <row r="298" customFormat="false" ht="15" hidden="false" customHeight="false" outlineLevel="0" collapsed="false">
      <c r="A298" s="12" t="n">
        <v>4</v>
      </c>
      <c r="B298" s="12" t="s">
        <v>39</v>
      </c>
      <c r="C298" s="12" t="s">
        <v>108</v>
      </c>
      <c r="D298" s="12" t="s">
        <v>109</v>
      </c>
      <c r="E298" s="12" t="s">
        <v>290</v>
      </c>
      <c r="F298" s="12" t="s">
        <v>37</v>
      </c>
      <c r="G298" s="12" t="n">
        <v>2.3</v>
      </c>
      <c r="H298" s="12" t="n">
        <v>2.4</v>
      </c>
      <c r="I298" s="12" t="s">
        <v>291</v>
      </c>
      <c r="J298" s="12" t="n">
        <v>9</v>
      </c>
      <c r="K298" s="12" t="n">
        <v>8</v>
      </c>
      <c r="L298" s="28" t="n">
        <v>1</v>
      </c>
      <c r="M298" s="12" t="n">
        <f aca="false">IF(L298=1,COUNTIFS($C$2:$C$1090,C298,$L$2:$L$1090,1),"")</f>
        <v>11</v>
      </c>
      <c r="N298" s="12" t="n">
        <f aca="false">IF(L298=1,1+COUNTIFS($C$2:$C$1090,C298,$L$2:$L$1090,1,$G$2:$G$1090,"&gt;"&amp;G298),"")</f>
        <v>8</v>
      </c>
      <c r="O298" s="12" t="n">
        <f aca="false">IF(L298=1,1+COUNTIFS($C$2:$C$1090,C298,$L$2:$L$1090,1,$H$2:$H$1090,"&gt;"&amp;H298),"")</f>
        <v>7</v>
      </c>
      <c r="P298" s="12" t="n">
        <f aca="false">IF(L298=1,N298-O298,"")</f>
        <v>1</v>
      </c>
      <c r="Q298" s="12" t="n">
        <f aca="false">INDEX(Directions!$D$2:$D$100,MATCH(C298,Directions!$A$2:$A$100,0))</f>
        <v>-1</v>
      </c>
      <c r="R298" s="12" t="n">
        <f aca="false">IF(L298=1,P298*Q298,"")</f>
        <v>-1</v>
      </c>
      <c r="S298" s="12" t="str">
        <f aca="false">IF(L298&lt;&gt;1,"Excluded",IF(Q298=0,"No direction",IF(R298&gt;0,"Better",IF(R298&lt;0,"Worse","No change"))))</f>
        <v>Worse</v>
      </c>
      <c r="T298" s="12"/>
      <c r="U298" s="12" t="str">
        <f aca="false">C298&amp;"|"&amp;E298</f>
        <v>F4_10|AUS</v>
      </c>
    </row>
    <row r="299" customFormat="false" ht="15" hidden="false" customHeight="false" outlineLevel="0" collapsed="false">
      <c r="A299" s="12" t="n">
        <v>4</v>
      </c>
      <c r="B299" s="12" t="s">
        <v>39</v>
      </c>
      <c r="C299" s="12" t="s">
        <v>110</v>
      </c>
      <c r="D299" s="12" t="s">
        <v>111</v>
      </c>
      <c r="E299" s="12" t="s">
        <v>281</v>
      </c>
      <c r="F299" s="12" t="s">
        <v>27</v>
      </c>
      <c r="G299" s="12" t="n">
        <v>1.61</v>
      </c>
      <c r="H299" s="12" t="s">
        <v>302</v>
      </c>
      <c r="I299" s="12"/>
      <c r="J299" s="12" t="n">
        <v>5</v>
      </c>
      <c r="K299" s="12" t="s">
        <v>302</v>
      </c>
      <c r="L299" s="28" t="n">
        <v>0</v>
      </c>
      <c r="M299" s="12" t="str">
        <f aca="false">IF(L299=1,COUNTIFS($C$2:$C$1090,C299,$L$2:$L$1090,1),"")</f>
        <v/>
      </c>
      <c r="N299" s="12" t="str">
        <f aca="false">IF(L299=1,1+COUNTIFS($C$2:$C$1090,C299,$L$2:$L$1090,1,$G$2:$G$1090,"&gt;"&amp;G299),"")</f>
        <v/>
      </c>
      <c r="O299" s="12" t="str">
        <f aca="false">IF(L299=1,1+COUNTIFS($C$2:$C$1090,C299,$L$2:$L$1090,1,$H$2:$H$1090,"&gt;"&amp;H299),"")</f>
        <v/>
      </c>
      <c r="P299" s="12" t="str">
        <f aca="false">IF(L299=1,N299-O299,"")</f>
        <v/>
      </c>
      <c r="Q299" s="12" t="n">
        <f aca="false">INDEX(Directions!$D$2:$D$100,MATCH(C299,Directions!$A$2:$A$100,0))</f>
        <v>-1</v>
      </c>
      <c r="R299" s="12" t="str">
        <f aca="false">IF(L299=1,P299*Q299,"")</f>
        <v/>
      </c>
      <c r="S299" s="12" t="str">
        <f aca="false">IF(L299&lt;&gt;1,"Excluded",IF(Q299=0,"No direction",IF(R299&gt;0,"Better",IF(R299&lt;0,"Worse","No change"))))</f>
        <v>Excluded</v>
      </c>
      <c r="T299" s="12" t="s">
        <v>303</v>
      </c>
      <c r="U299" s="12" t="str">
        <f aca="false">C299&amp;"|"&amp;E299</f>
        <v>F4_11|USA</v>
      </c>
    </row>
    <row r="300" customFormat="false" ht="15" hidden="false" customHeight="false" outlineLevel="0" collapsed="false">
      <c r="A300" s="12" t="n">
        <v>4</v>
      </c>
      <c r="B300" s="12" t="s">
        <v>39</v>
      </c>
      <c r="C300" s="12" t="s">
        <v>110</v>
      </c>
      <c r="D300" s="12" t="s">
        <v>111</v>
      </c>
      <c r="E300" s="12" t="s">
        <v>283</v>
      </c>
      <c r="F300" s="12" t="s">
        <v>28</v>
      </c>
      <c r="G300" s="12" t="n">
        <v>1.77</v>
      </c>
      <c r="H300" s="12" t="s">
        <v>302</v>
      </c>
      <c r="I300" s="12"/>
      <c r="J300" s="12" t="n">
        <v>3</v>
      </c>
      <c r="K300" s="12" t="s">
        <v>302</v>
      </c>
      <c r="L300" s="28" t="n">
        <v>0</v>
      </c>
      <c r="M300" s="12" t="str">
        <f aca="false">IF(L300=1,COUNTIFS($C$2:$C$1090,C300,$L$2:$L$1090,1),"")</f>
        <v/>
      </c>
      <c r="N300" s="12" t="str">
        <f aca="false">IF(L300=1,1+COUNTIFS($C$2:$C$1090,C300,$L$2:$L$1090,1,$G$2:$G$1090,"&gt;"&amp;G300),"")</f>
        <v/>
      </c>
      <c r="O300" s="12" t="str">
        <f aca="false">IF(L300=1,1+COUNTIFS($C$2:$C$1090,C300,$L$2:$L$1090,1,$H$2:$H$1090,"&gt;"&amp;H300),"")</f>
        <v/>
      </c>
      <c r="P300" s="12" t="str">
        <f aca="false">IF(L300=1,N300-O300,"")</f>
        <v/>
      </c>
      <c r="Q300" s="12" t="n">
        <f aca="false">INDEX(Directions!$D$2:$D$100,MATCH(C300,Directions!$A$2:$A$100,0))</f>
        <v>-1</v>
      </c>
      <c r="R300" s="12" t="str">
        <f aca="false">IF(L300=1,P300*Q300,"")</f>
        <v/>
      </c>
      <c r="S300" s="12" t="str">
        <f aca="false">IF(L300&lt;&gt;1,"Excluded",IF(Q300=0,"No direction",IF(R300&gt;0,"Better",IF(R300&lt;0,"Worse","No change"))))</f>
        <v>Excluded</v>
      </c>
      <c r="T300" s="12" t="s">
        <v>303</v>
      </c>
      <c r="U300" s="12" t="str">
        <f aca="false">C300&amp;"|"&amp;E300</f>
        <v>F4_11|GBR</v>
      </c>
    </row>
    <row r="301" customFormat="false" ht="15" hidden="false" customHeight="false" outlineLevel="0" collapsed="false">
      <c r="A301" s="12" t="n">
        <v>4</v>
      </c>
      <c r="B301" s="12" t="s">
        <v>39</v>
      </c>
      <c r="C301" s="12" t="s">
        <v>110</v>
      </c>
      <c r="D301" s="12" t="s">
        <v>111</v>
      </c>
      <c r="E301" s="12" t="s">
        <v>284</v>
      </c>
      <c r="F301" s="12" t="s">
        <v>29</v>
      </c>
      <c r="G301" s="12" t="n">
        <v>1.49</v>
      </c>
      <c r="H301" s="12" t="s">
        <v>302</v>
      </c>
      <c r="I301" s="12"/>
      <c r="J301" s="12" t="n">
        <v>7</v>
      </c>
      <c r="K301" s="12" t="s">
        <v>302</v>
      </c>
      <c r="L301" s="28" t="n">
        <v>0</v>
      </c>
      <c r="M301" s="12" t="str">
        <f aca="false">IF(L301=1,COUNTIFS($C$2:$C$1090,C301,$L$2:$L$1090,1),"")</f>
        <v/>
      </c>
      <c r="N301" s="12" t="str">
        <f aca="false">IF(L301=1,1+COUNTIFS($C$2:$C$1090,C301,$L$2:$L$1090,1,$G$2:$G$1090,"&gt;"&amp;G301),"")</f>
        <v/>
      </c>
      <c r="O301" s="12" t="str">
        <f aca="false">IF(L301=1,1+COUNTIFS($C$2:$C$1090,C301,$L$2:$L$1090,1,$H$2:$H$1090,"&gt;"&amp;H301),"")</f>
        <v/>
      </c>
      <c r="P301" s="12" t="str">
        <f aca="false">IF(L301=1,N301-O301,"")</f>
        <v/>
      </c>
      <c r="Q301" s="12" t="n">
        <f aca="false">INDEX(Directions!$D$2:$D$100,MATCH(C301,Directions!$A$2:$A$100,0))</f>
        <v>-1</v>
      </c>
      <c r="R301" s="12" t="str">
        <f aca="false">IF(L301=1,P301*Q301,"")</f>
        <v/>
      </c>
      <c r="S301" s="12" t="str">
        <f aca="false">IF(L301&lt;&gt;1,"Excluded",IF(Q301=0,"No direction",IF(R301&gt;0,"Better",IF(R301&lt;0,"Worse","No change"))))</f>
        <v>Excluded</v>
      </c>
      <c r="T301" s="12" t="s">
        <v>303</v>
      </c>
      <c r="U301" s="12" t="str">
        <f aca="false">C301&amp;"|"&amp;E301</f>
        <v>F4_11|DEU</v>
      </c>
    </row>
    <row r="302" customFormat="false" ht="15" hidden="false" customHeight="false" outlineLevel="0" collapsed="false">
      <c r="A302" s="12" t="n">
        <v>4</v>
      </c>
      <c r="B302" s="12" t="s">
        <v>39</v>
      </c>
      <c r="C302" s="12" t="s">
        <v>110</v>
      </c>
      <c r="D302" s="12" t="s">
        <v>111</v>
      </c>
      <c r="E302" s="12" t="s">
        <v>285</v>
      </c>
      <c r="F302" s="12" t="s">
        <v>30</v>
      </c>
      <c r="G302" s="12" t="n">
        <v>1.56</v>
      </c>
      <c r="H302" s="12" t="s">
        <v>302</v>
      </c>
      <c r="I302" s="12"/>
      <c r="J302" s="12" t="n">
        <v>6</v>
      </c>
      <c r="K302" s="12" t="s">
        <v>302</v>
      </c>
      <c r="L302" s="28" t="n">
        <v>0</v>
      </c>
      <c r="M302" s="12" t="str">
        <f aca="false">IF(L302=1,COUNTIFS($C$2:$C$1090,C302,$L$2:$L$1090,1),"")</f>
        <v/>
      </c>
      <c r="N302" s="12" t="str">
        <f aca="false">IF(L302=1,1+COUNTIFS($C$2:$C$1090,C302,$L$2:$L$1090,1,$G$2:$G$1090,"&gt;"&amp;G302),"")</f>
        <v/>
      </c>
      <c r="O302" s="12" t="str">
        <f aca="false">IF(L302=1,1+COUNTIFS($C$2:$C$1090,C302,$L$2:$L$1090,1,$H$2:$H$1090,"&gt;"&amp;H302),"")</f>
        <v/>
      </c>
      <c r="P302" s="12" t="str">
        <f aca="false">IF(L302=1,N302-O302,"")</f>
        <v/>
      </c>
      <c r="Q302" s="12" t="n">
        <f aca="false">INDEX(Directions!$D$2:$D$100,MATCH(C302,Directions!$A$2:$A$100,0))</f>
        <v>-1</v>
      </c>
      <c r="R302" s="12" t="str">
        <f aca="false">IF(L302=1,P302*Q302,"")</f>
        <v/>
      </c>
      <c r="S302" s="12" t="str">
        <f aca="false">IF(L302&lt;&gt;1,"Excluded",IF(Q302=0,"No direction",IF(R302&gt;0,"Better",IF(R302&lt;0,"Worse","No change"))))</f>
        <v>Excluded</v>
      </c>
      <c r="T302" s="12" t="s">
        <v>303</v>
      </c>
      <c r="U302" s="12" t="str">
        <f aca="false">C302&amp;"|"&amp;E302</f>
        <v>F4_11|SWE</v>
      </c>
    </row>
    <row r="303" customFormat="false" ht="15" hidden="false" customHeight="false" outlineLevel="0" collapsed="false">
      <c r="A303" s="12" t="n">
        <v>4</v>
      </c>
      <c r="B303" s="12" t="s">
        <v>39</v>
      </c>
      <c r="C303" s="12" t="s">
        <v>110</v>
      </c>
      <c r="D303" s="12" t="s">
        <v>111</v>
      </c>
      <c r="E303" s="12" t="s">
        <v>286</v>
      </c>
      <c r="F303" s="12" t="s">
        <v>31</v>
      </c>
      <c r="G303" s="12" t="s">
        <v>302</v>
      </c>
      <c r="H303" s="12" t="s">
        <v>302</v>
      </c>
      <c r="I303" s="12"/>
      <c r="J303" s="12" t="s">
        <v>302</v>
      </c>
      <c r="K303" s="12" t="s">
        <v>302</v>
      </c>
      <c r="L303" s="28" t="n">
        <v>0</v>
      </c>
      <c r="M303" s="12" t="str">
        <f aca="false">IF(L303=1,COUNTIFS($C$2:$C$1090,C303,$L$2:$L$1090,1),"")</f>
        <v/>
      </c>
      <c r="N303" s="12" t="str">
        <f aca="false">IF(L303=1,1+COUNTIFS($C$2:$C$1090,C303,$L$2:$L$1090,1,$G$2:$G$1090,"&gt;"&amp;G303),"")</f>
        <v/>
      </c>
      <c r="O303" s="12" t="str">
        <f aca="false">IF(L303=1,1+COUNTIFS($C$2:$C$1090,C303,$L$2:$L$1090,1,$H$2:$H$1090,"&gt;"&amp;H303),"")</f>
        <v/>
      </c>
      <c r="P303" s="12" t="str">
        <f aca="false">IF(L303=1,N303-O303,"")</f>
        <v/>
      </c>
      <c r="Q303" s="12" t="n">
        <f aca="false">INDEX(Directions!$D$2:$D$100,MATCH(C303,Directions!$A$2:$A$100,0))</f>
        <v>-1</v>
      </c>
      <c r="R303" s="12" t="str">
        <f aca="false">IF(L303=1,P303*Q303,"")</f>
        <v/>
      </c>
      <c r="S303" s="12" t="str">
        <f aca="false">IF(L303&lt;&gt;1,"Excluded",IF(Q303=0,"No direction",IF(R303&gt;0,"Better",IF(R303&lt;0,"Worse","No change"))))</f>
        <v>Excluded</v>
      </c>
      <c r="T303" s="12" t="s">
        <v>304</v>
      </c>
      <c r="U303" s="12" t="str">
        <f aca="false">C303&amp;"|"&amp;E303</f>
        <v>F4_11|FRA</v>
      </c>
    </row>
    <row r="304" customFormat="false" ht="15" hidden="false" customHeight="false" outlineLevel="0" collapsed="false">
      <c r="A304" s="12" t="n">
        <v>4</v>
      </c>
      <c r="B304" s="12" t="s">
        <v>39</v>
      </c>
      <c r="C304" s="12" t="s">
        <v>110</v>
      </c>
      <c r="D304" s="12" t="s">
        <v>111</v>
      </c>
      <c r="E304" s="12" t="s">
        <v>32</v>
      </c>
      <c r="F304" s="12" t="s">
        <v>32</v>
      </c>
      <c r="G304" s="12" t="n">
        <v>1.96</v>
      </c>
      <c r="H304" s="12" t="s">
        <v>302</v>
      </c>
      <c r="I304" s="12"/>
      <c r="J304" s="12" t="n">
        <v>2</v>
      </c>
      <c r="K304" s="12" t="s">
        <v>302</v>
      </c>
      <c r="L304" s="28" t="n">
        <v>0</v>
      </c>
      <c r="M304" s="12" t="str">
        <f aca="false">IF(L304=1,COUNTIFS($C$2:$C$1090,C304,$L$2:$L$1090,1),"")</f>
        <v/>
      </c>
      <c r="N304" s="12" t="str">
        <f aca="false">IF(L304=1,1+COUNTIFS($C$2:$C$1090,C304,$L$2:$L$1090,1,$G$2:$G$1090,"&gt;"&amp;G304),"")</f>
        <v/>
      </c>
      <c r="O304" s="12" t="str">
        <f aca="false">IF(L304=1,1+COUNTIFS($C$2:$C$1090,C304,$L$2:$L$1090,1,$H$2:$H$1090,"&gt;"&amp;H304),"")</f>
        <v/>
      </c>
      <c r="P304" s="12" t="str">
        <f aca="false">IF(L304=1,N304-O304,"")</f>
        <v/>
      </c>
      <c r="Q304" s="12" t="n">
        <f aca="false">INDEX(Directions!$D$2:$D$100,MATCH(C304,Directions!$A$2:$A$100,0))</f>
        <v>-1</v>
      </c>
      <c r="R304" s="12" t="str">
        <f aca="false">IF(L304=1,P304*Q304,"")</f>
        <v/>
      </c>
      <c r="S304" s="12" t="str">
        <f aca="false">IF(L304&lt;&gt;1,"Excluded",IF(Q304=0,"No direction",IF(R304&gt;0,"Better",IF(R304&lt;0,"Worse","No change"))))</f>
        <v>Excluded</v>
      </c>
      <c r="T304" s="12" t="s">
        <v>303</v>
      </c>
      <c r="U304" s="12" t="str">
        <f aca="false">C304&amp;"|"&amp;E304</f>
        <v>F4_11|NLD</v>
      </c>
    </row>
    <row r="305" customFormat="false" ht="15" hidden="false" customHeight="false" outlineLevel="0" collapsed="false">
      <c r="A305" s="12" t="n">
        <v>4</v>
      </c>
      <c r="B305" s="12" t="s">
        <v>39</v>
      </c>
      <c r="C305" s="12" t="s">
        <v>110</v>
      </c>
      <c r="D305" s="12" t="s">
        <v>111</v>
      </c>
      <c r="E305" s="12" t="s">
        <v>33</v>
      </c>
      <c r="F305" s="12" t="s">
        <v>33</v>
      </c>
      <c r="G305" s="12" t="s">
        <v>302</v>
      </c>
      <c r="H305" s="12" t="s">
        <v>302</v>
      </c>
      <c r="I305" s="12"/>
      <c r="J305" s="12" t="s">
        <v>302</v>
      </c>
      <c r="K305" s="12" t="s">
        <v>302</v>
      </c>
      <c r="L305" s="28" t="n">
        <v>0</v>
      </c>
      <c r="M305" s="12" t="str">
        <f aca="false">IF(L305=1,COUNTIFS($C$2:$C$1090,C305,$L$2:$L$1090,1),"")</f>
        <v/>
      </c>
      <c r="N305" s="12" t="str">
        <f aca="false">IF(L305=1,1+COUNTIFS($C$2:$C$1090,C305,$L$2:$L$1090,1,$G$2:$G$1090,"&gt;"&amp;G305),"")</f>
        <v/>
      </c>
      <c r="O305" s="12" t="str">
        <f aca="false">IF(L305=1,1+COUNTIFS($C$2:$C$1090,C305,$L$2:$L$1090,1,$H$2:$H$1090,"&gt;"&amp;H305),"")</f>
        <v/>
      </c>
      <c r="P305" s="12" t="str">
        <f aca="false">IF(L305=1,N305-O305,"")</f>
        <v/>
      </c>
      <c r="Q305" s="12" t="n">
        <f aca="false">INDEX(Directions!$D$2:$D$100,MATCH(C305,Directions!$A$2:$A$100,0))</f>
        <v>-1</v>
      </c>
      <c r="R305" s="12" t="str">
        <f aca="false">IF(L305=1,P305*Q305,"")</f>
        <v/>
      </c>
      <c r="S305" s="12" t="str">
        <f aca="false">IF(L305&lt;&gt;1,"Excluded",IF(Q305=0,"No direction",IF(R305&gt;0,"Better",IF(R305&lt;0,"Worse","No change"))))</f>
        <v>Excluded</v>
      </c>
      <c r="T305" s="12" t="s">
        <v>304</v>
      </c>
      <c r="U305" s="12" t="str">
        <f aca="false">C305&amp;"|"&amp;E305</f>
        <v>F4_11|CHE</v>
      </c>
    </row>
    <row r="306" customFormat="false" ht="15" hidden="false" customHeight="false" outlineLevel="0" collapsed="false">
      <c r="A306" s="12" t="n">
        <v>4</v>
      </c>
      <c r="B306" s="12" t="s">
        <v>39</v>
      </c>
      <c r="C306" s="12" t="s">
        <v>110</v>
      </c>
      <c r="D306" s="12" t="s">
        <v>111</v>
      </c>
      <c r="E306" s="12" t="s">
        <v>287</v>
      </c>
      <c r="F306" s="12" t="s">
        <v>34</v>
      </c>
      <c r="G306" s="12" t="n">
        <v>2.09</v>
      </c>
      <c r="H306" s="12" t="s">
        <v>302</v>
      </c>
      <c r="I306" s="12"/>
      <c r="J306" s="12" t="n">
        <v>1</v>
      </c>
      <c r="K306" s="12" t="s">
        <v>302</v>
      </c>
      <c r="L306" s="28" t="n">
        <v>0</v>
      </c>
      <c r="M306" s="12" t="str">
        <f aca="false">IF(L306=1,COUNTIFS($C$2:$C$1090,C306,$L$2:$L$1090,1),"")</f>
        <v/>
      </c>
      <c r="N306" s="12" t="str">
        <f aca="false">IF(L306=1,1+COUNTIFS($C$2:$C$1090,C306,$L$2:$L$1090,1,$G$2:$G$1090,"&gt;"&amp;G306),"")</f>
        <v/>
      </c>
      <c r="O306" s="12" t="str">
        <f aca="false">IF(L306=1,1+COUNTIFS($C$2:$C$1090,C306,$L$2:$L$1090,1,$H$2:$H$1090,"&gt;"&amp;H306),"")</f>
        <v/>
      </c>
      <c r="P306" s="12" t="str">
        <f aca="false">IF(L306=1,N306-O306,"")</f>
        <v/>
      </c>
      <c r="Q306" s="12" t="n">
        <f aca="false">INDEX(Directions!$D$2:$D$100,MATCH(C306,Directions!$A$2:$A$100,0))</f>
        <v>-1</v>
      </c>
      <c r="R306" s="12" t="str">
        <f aca="false">IF(L306=1,P306*Q306,"")</f>
        <v/>
      </c>
      <c r="S306" s="12" t="str">
        <f aca="false">IF(L306&lt;&gt;1,"Excluded",IF(Q306=0,"No direction",IF(R306&gt;0,"Better",IF(R306&lt;0,"Worse","No change"))))</f>
        <v>Excluded</v>
      </c>
      <c r="T306" s="12" t="s">
        <v>303</v>
      </c>
      <c r="U306" s="12" t="str">
        <f aca="false">C306&amp;"|"&amp;E306</f>
        <v>F4_11|DNK</v>
      </c>
    </row>
    <row r="307" customFormat="false" ht="15" hidden="false" customHeight="false" outlineLevel="0" collapsed="false">
      <c r="A307" s="12" t="n">
        <v>4</v>
      </c>
      <c r="B307" s="12" t="s">
        <v>39</v>
      </c>
      <c r="C307" s="12" t="s">
        <v>110</v>
      </c>
      <c r="D307" s="12" t="s">
        <v>111</v>
      </c>
      <c r="E307" s="12" t="s">
        <v>288</v>
      </c>
      <c r="F307" s="12" t="s">
        <v>35</v>
      </c>
      <c r="G307" s="12" t="n">
        <v>1.63</v>
      </c>
      <c r="H307" s="12" t="s">
        <v>302</v>
      </c>
      <c r="I307" s="12"/>
      <c r="J307" s="12" t="n">
        <v>4</v>
      </c>
      <c r="K307" s="12" t="s">
        <v>302</v>
      </c>
      <c r="L307" s="28" t="n">
        <v>0</v>
      </c>
      <c r="M307" s="12" t="str">
        <f aca="false">IF(L307=1,COUNTIFS($C$2:$C$1090,C307,$L$2:$L$1090,1),"")</f>
        <v/>
      </c>
      <c r="N307" s="12" t="str">
        <f aca="false">IF(L307=1,1+COUNTIFS($C$2:$C$1090,C307,$L$2:$L$1090,1,$G$2:$G$1090,"&gt;"&amp;G307),"")</f>
        <v/>
      </c>
      <c r="O307" s="12" t="str">
        <f aca="false">IF(L307=1,1+COUNTIFS($C$2:$C$1090,C307,$L$2:$L$1090,1,$H$2:$H$1090,"&gt;"&amp;H307),"")</f>
        <v/>
      </c>
      <c r="P307" s="12" t="str">
        <f aca="false">IF(L307=1,N307-O307,"")</f>
        <v/>
      </c>
      <c r="Q307" s="12" t="n">
        <f aca="false">INDEX(Directions!$D$2:$D$100,MATCH(C307,Directions!$A$2:$A$100,0))</f>
        <v>-1</v>
      </c>
      <c r="R307" s="12" t="str">
        <f aca="false">IF(L307=1,P307*Q307,"")</f>
        <v/>
      </c>
      <c r="S307" s="12" t="str">
        <f aca="false">IF(L307&lt;&gt;1,"Excluded",IF(Q307=0,"No direction",IF(R307&gt;0,"Better",IF(R307&lt;0,"Worse","No change"))))</f>
        <v>Excluded</v>
      </c>
      <c r="T307" s="12" t="s">
        <v>303</v>
      </c>
      <c r="U307" s="12" t="str">
        <f aca="false">C307&amp;"|"&amp;E307</f>
        <v>F4_11|CAN</v>
      </c>
    </row>
    <row r="308" customFormat="false" ht="15" hidden="false" customHeight="false" outlineLevel="0" collapsed="false">
      <c r="A308" s="12" t="n">
        <v>4</v>
      </c>
      <c r="B308" s="12" t="s">
        <v>39</v>
      </c>
      <c r="C308" s="12" t="s">
        <v>110</v>
      </c>
      <c r="D308" s="12" t="s">
        <v>111</v>
      </c>
      <c r="E308" s="12" t="s">
        <v>289</v>
      </c>
      <c r="F308" s="12" t="s">
        <v>36</v>
      </c>
      <c r="G308" s="12" t="s">
        <v>302</v>
      </c>
      <c r="H308" s="12" t="s">
        <v>302</v>
      </c>
      <c r="I308" s="12"/>
      <c r="J308" s="12" t="s">
        <v>302</v>
      </c>
      <c r="K308" s="12" t="s">
        <v>302</v>
      </c>
      <c r="L308" s="28" t="n">
        <v>0</v>
      </c>
      <c r="M308" s="12" t="str">
        <f aca="false">IF(L308=1,COUNTIFS($C$2:$C$1090,C308,$L$2:$L$1090,1),"")</f>
        <v/>
      </c>
      <c r="N308" s="12" t="str">
        <f aca="false">IF(L308=1,1+COUNTIFS($C$2:$C$1090,C308,$L$2:$L$1090,1,$G$2:$G$1090,"&gt;"&amp;G308),"")</f>
        <v/>
      </c>
      <c r="O308" s="12" t="str">
        <f aca="false">IF(L308=1,1+COUNTIFS($C$2:$C$1090,C308,$L$2:$L$1090,1,$H$2:$H$1090,"&gt;"&amp;H308),"")</f>
        <v/>
      </c>
      <c r="P308" s="12" t="str">
        <f aca="false">IF(L308=1,N308-O308,"")</f>
        <v/>
      </c>
      <c r="Q308" s="12" t="n">
        <f aca="false">INDEX(Directions!$D$2:$D$100,MATCH(C308,Directions!$A$2:$A$100,0))</f>
        <v>-1</v>
      </c>
      <c r="R308" s="12" t="str">
        <f aca="false">IF(L308=1,P308*Q308,"")</f>
        <v/>
      </c>
      <c r="S308" s="12" t="str">
        <f aca="false">IF(L308&lt;&gt;1,"Excluded",IF(Q308=0,"No direction",IF(R308&gt;0,"Better",IF(R308&lt;0,"Worse","No change"))))</f>
        <v>Excluded</v>
      </c>
      <c r="T308" s="12" t="s">
        <v>304</v>
      </c>
      <c r="U308" s="12" t="str">
        <f aca="false">C308&amp;"|"&amp;E308</f>
        <v>F4_11|JPN</v>
      </c>
    </row>
    <row r="309" customFormat="false" ht="15" hidden="false" customHeight="false" outlineLevel="0" collapsed="false">
      <c r="A309" s="12" t="n">
        <v>4</v>
      </c>
      <c r="B309" s="12" t="s">
        <v>39</v>
      </c>
      <c r="C309" s="12" t="s">
        <v>110</v>
      </c>
      <c r="D309" s="12" t="s">
        <v>111</v>
      </c>
      <c r="E309" s="12" t="s">
        <v>290</v>
      </c>
      <c r="F309" s="12" t="s">
        <v>37</v>
      </c>
      <c r="G309" s="12" t="s">
        <v>302</v>
      </c>
      <c r="H309" s="12" t="s">
        <v>302</v>
      </c>
      <c r="I309" s="12"/>
      <c r="J309" s="12" t="s">
        <v>302</v>
      </c>
      <c r="K309" s="12" t="s">
        <v>302</v>
      </c>
      <c r="L309" s="28" t="n">
        <v>0</v>
      </c>
      <c r="M309" s="12" t="str">
        <f aca="false">IF(L309=1,COUNTIFS($C$2:$C$1090,C309,$L$2:$L$1090,1),"")</f>
        <v/>
      </c>
      <c r="N309" s="12" t="str">
        <f aca="false">IF(L309=1,1+COUNTIFS($C$2:$C$1090,C309,$L$2:$L$1090,1,$G$2:$G$1090,"&gt;"&amp;G309),"")</f>
        <v/>
      </c>
      <c r="O309" s="12" t="str">
        <f aca="false">IF(L309=1,1+COUNTIFS($C$2:$C$1090,C309,$L$2:$L$1090,1,$H$2:$H$1090,"&gt;"&amp;H309),"")</f>
        <v/>
      </c>
      <c r="P309" s="12" t="str">
        <f aca="false">IF(L309=1,N309-O309,"")</f>
        <v/>
      </c>
      <c r="Q309" s="12" t="n">
        <f aca="false">INDEX(Directions!$D$2:$D$100,MATCH(C309,Directions!$A$2:$A$100,0))</f>
        <v>-1</v>
      </c>
      <c r="R309" s="12" t="str">
        <f aca="false">IF(L309=1,P309*Q309,"")</f>
        <v/>
      </c>
      <c r="S309" s="12" t="str">
        <f aca="false">IF(L309&lt;&gt;1,"Excluded",IF(Q309=0,"No direction",IF(R309&gt;0,"Better",IF(R309&lt;0,"Worse","No change"))))</f>
        <v>Excluded</v>
      </c>
      <c r="T309" s="12" t="s">
        <v>304</v>
      </c>
      <c r="U309" s="12" t="str">
        <f aca="false">C309&amp;"|"&amp;E309</f>
        <v>F4_11|AUS</v>
      </c>
    </row>
    <row r="310" customFormat="false" ht="15" hidden="false" customHeight="false" outlineLevel="0" collapsed="false">
      <c r="A310" s="12" t="n">
        <v>4</v>
      </c>
      <c r="B310" s="12" t="s">
        <v>39</v>
      </c>
      <c r="C310" s="12" t="s">
        <v>112</v>
      </c>
      <c r="D310" s="12" t="s">
        <v>113</v>
      </c>
      <c r="E310" s="12" t="s">
        <v>281</v>
      </c>
      <c r="F310" s="12" t="s">
        <v>27</v>
      </c>
      <c r="G310" s="12" t="n">
        <v>8.1</v>
      </c>
      <c r="H310" s="12" t="n">
        <v>8.5</v>
      </c>
      <c r="I310" s="12" t="s">
        <v>293</v>
      </c>
      <c r="J310" s="12" t="n">
        <v>2</v>
      </c>
      <c r="K310" s="12" t="n">
        <v>2</v>
      </c>
      <c r="L310" s="28" t="n">
        <v>1</v>
      </c>
      <c r="M310" s="12" t="n">
        <f aca="false">IF(L310=1,COUNTIFS($C$2:$C$1090,C310,$L$2:$L$1090,1),"")</f>
        <v>10</v>
      </c>
      <c r="N310" s="12" t="n">
        <f aca="false">IF(L310=1,1+COUNTIFS($C$2:$C$1090,C310,$L$2:$L$1090,1,$G$2:$G$1090,"&gt;"&amp;G310),"")</f>
        <v>2</v>
      </c>
      <c r="O310" s="12" t="n">
        <f aca="false">IF(L310=1,1+COUNTIFS($C$2:$C$1090,C310,$L$2:$L$1090,1,$H$2:$H$1090,"&gt;"&amp;H310),"")</f>
        <v>2</v>
      </c>
      <c r="P310" s="12" t="n">
        <f aca="false">IF(L310=1,N310-O310,"")</f>
        <v>0</v>
      </c>
      <c r="Q310" s="12" t="n">
        <f aca="false">INDEX(Directions!$D$2:$D$100,MATCH(C310,Directions!$A$2:$A$100,0))</f>
        <v>-1</v>
      </c>
      <c r="R310" s="12" t="n">
        <f aca="false">IF(L310=1,P310*Q310,"")</f>
        <v>-0</v>
      </c>
      <c r="S310" s="12" t="str">
        <f aca="false">IF(L310&lt;&gt;1,"Excluded",IF(Q310=0,"No direction",IF(R310&gt;0,"Better",IF(R310&lt;0,"Worse","No change"))))</f>
        <v>No change</v>
      </c>
      <c r="T310" s="12"/>
      <c r="U310" s="12" t="str">
        <f aca="false">C310&amp;"|"&amp;E310</f>
        <v>F4_12|USA</v>
      </c>
    </row>
    <row r="311" customFormat="false" ht="15" hidden="false" customHeight="false" outlineLevel="0" collapsed="false">
      <c r="A311" s="12" t="n">
        <v>4</v>
      </c>
      <c r="B311" s="12" t="s">
        <v>39</v>
      </c>
      <c r="C311" s="12" t="s">
        <v>112</v>
      </c>
      <c r="D311" s="12" t="s">
        <v>113</v>
      </c>
      <c r="E311" s="12" t="s">
        <v>283</v>
      </c>
      <c r="F311" s="12" t="s">
        <v>28</v>
      </c>
      <c r="G311" s="12" t="n">
        <v>6.9</v>
      </c>
      <c r="H311" s="12" t="n">
        <v>7.2</v>
      </c>
      <c r="I311" s="12" t="s">
        <v>293</v>
      </c>
      <c r="J311" s="12" t="n">
        <v>3</v>
      </c>
      <c r="K311" s="12" t="n">
        <v>4</v>
      </c>
      <c r="L311" s="28" t="n">
        <v>1</v>
      </c>
      <c r="M311" s="12" t="n">
        <f aca="false">IF(L311=1,COUNTIFS($C$2:$C$1090,C311,$L$2:$L$1090,1),"")</f>
        <v>10</v>
      </c>
      <c r="N311" s="12" t="n">
        <f aca="false">IF(L311=1,1+COUNTIFS($C$2:$C$1090,C311,$L$2:$L$1090,1,$G$2:$G$1090,"&gt;"&amp;G311),"")</f>
        <v>3</v>
      </c>
      <c r="O311" s="12" t="n">
        <f aca="false">IF(L311=1,1+COUNTIFS($C$2:$C$1090,C311,$L$2:$L$1090,1,$H$2:$H$1090,"&gt;"&amp;H311),"")</f>
        <v>4</v>
      </c>
      <c r="P311" s="12" t="n">
        <f aca="false">IF(L311=1,N311-O311,"")</f>
        <v>-1</v>
      </c>
      <c r="Q311" s="12" t="n">
        <f aca="false">INDEX(Directions!$D$2:$D$100,MATCH(C311,Directions!$A$2:$A$100,0))</f>
        <v>-1</v>
      </c>
      <c r="R311" s="12" t="n">
        <f aca="false">IF(L311=1,P311*Q311,"")</f>
        <v>1</v>
      </c>
      <c r="S311" s="12" t="str">
        <f aca="false">IF(L311&lt;&gt;1,"Excluded",IF(Q311=0,"No direction",IF(R311&gt;0,"Better",IF(R311&lt;0,"Worse","No change"))))</f>
        <v>Better</v>
      </c>
      <c r="T311" s="12"/>
      <c r="U311" s="12" t="str">
        <f aca="false">C311&amp;"|"&amp;E311</f>
        <v>F4_12|GBR</v>
      </c>
    </row>
    <row r="312" customFormat="false" ht="15" hidden="false" customHeight="false" outlineLevel="0" collapsed="false">
      <c r="A312" s="12" t="n">
        <v>4</v>
      </c>
      <c r="B312" s="12" t="s">
        <v>39</v>
      </c>
      <c r="C312" s="12" t="s">
        <v>112</v>
      </c>
      <c r="D312" s="12" t="s">
        <v>113</v>
      </c>
      <c r="E312" s="12" t="s">
        <v>284</v>
      </c>
      <c r="F312" s="12" t="s">
        <v>29</v>
      </c>
      <c r="G312" s="12" t="n">
        <v>6.6</v>
      </c>
      <c r="H312" s="12" t="n">
        <v>6.6</v>
      </c>
      <c r="I312" s="12" t="s">
        <v>310</v>
      </c>
      <c r="J312" s="12" t="n">
        <v>4</v>
      </c>
      <c r="K312" s="12" t="n">
        <v>6</v>
      </c>
      <c r="L312" s="28" t="n">
        <v>1</v>
      </c>
      <c r="M312" s="12" t="n">
        <f aca="false">IF(L312=1,COUNTIFS($C$2:$C$1090,C312,$L$2:$L$1090,1),"")</f>
        <v>10</v>
      </c>
      <c r="N312" s="12" t="n">
        <f aca="false">IF(L312=1,1+COUNTIFS($C$2:$C$1090,C312,$L$2:$L$1090,1,$G$2:$G$1090,"&gt;"&amp;G312),"")</f>
        <v>4</v>
      </c>
      <c r="O312" s="12" t="n">
        <f aca="false">IF(L312=1,1+COUNTIFS($C$2:$C$1090,C312,$L$2:$L$1090,1,$H$2:$H$1090,"&gt;"&amp;H312),"")</f>
        <v>6</v>
      </c>
      <c r="P312" s="12" t="n">
        <f aca="false">IF(L312=1,N312-O312,"")</f>
        <v>-2</v>
      </c>
      <c r="Q312" s="12" t="n">
        <f aca="false">INDEX(Directions!$D$2:$D$100,MATCH(C312,Directions!$A$2:$A$100,0))</f>
        <v>-1</v>
      </c>
      <c r="R312" s="12" t="n">
        <f aca="false">IF(L312=1,P312*Q312,"")</f>
        <v>2</v>
      </c>
      <c r="S312" s="12" t="str">
        <f aca="false">IF(L312&lt;&gt;1,"Excluded",IF(Q312=0,"No direction",IF(R312&gt;0,"Better",IF(R312&lt;0,"Worse","No change"))))</f>
        <v>Better</v>
      </c>
      <c r="T312" s="12"/>
      <c r="U312" s="12" t="str">
        <f aca="false">C312&amp;"|"&amp;E312</f>
        <v>F4_12|DEU</v>
      </c>
    </row>
    <row r="313" customFormat="false" ht="15" hidden="false" customHeight="false" outlineLevel="0" collapsed="false">
      <c r="A313" s="12" t="n">
        <v>4</v>
      </c>
      <c r="B313" s="12" t="s">
        <v>39</v>
      </c>
      <c r="C313" s="12" t="s">
        <v>112</v>
      </c>
      <c r="D313" s="12" t="s">
        <v>113</v>
      </c>
      <c r="E313" s="12" t="s">
        <v>285</v>
      </c>
      <c r="F313" s="12" t="s">
        <v>30</v>
      </c>
      <c r="G313" s="12" t="n">
        <v>4.4</v>
      </c>
      <c r="H313" s="12" t="n">
        <v>4.1</v>
      </c>
      <c r="I313" s="12" t="s">
        <v>293</v>
      </c>
      <c r="J313" s="12" t="n">
        <v>10</v>
      </c>
      <c r="K313" s="12" t="n">
        <v>11</v>
      </c>
      <c r="L313" s="28" t="n">
        <v>1</v>
      </c>
      <c r="M313" s="12" t="n">
        <f aca="false">IF(L313=1,COUNTIFS($C$2:$C$1090,C313,$L$2:$L$1090,1),"")</f>
        <v>10</v>
      </c>
      <c r="N313" s="12" t="n">
        <f aca="false">IF(L313=1,1+COUNTIFS($C$2:$C$1090,C313,$L$2:$L$1090,1,$G$2:$G$1090,"&gt;"&amp;G313),"")</f>
        <v>10</v>
      </c>
      <c r="O313" s="12" t="n">
        <f aca="false">IF(L313=1,1+COUNTIFS($C$2:$C$1090,C313,$L$2:$L$1090,1,$H$2:$H$1090,"&gt;"&amp;H313),"")</f>
        <v>10</v>
      </c>
      <c r="P313" s="12" t="n">
        <f aca="false">IF(L313=1,N313-O313,"")</f>
        <v>0</v>
      </c>
      <c r="Q313" s="12" t="n">
        <f aca="false">INDEX(Directions!$D$2:$D$100,MATCH(C313,Directions!$A$2:$A$100,0))</f>
        <v>-1</v>
      </c>
      <c r="R313" s="12" t="n">
        <f aca="false">IF(L313=1,P313*Q313,"")</f>
        <v>-0</v>
      </c>
      <c r="S313" s="12" t="str">
        <f aca="false">IF(L313&lt;&gt;1,"Excluded",IF(Q313=0,"No direction",IF(R313&gt;0,"Better",IF(R313&lt;0,"Worse","No change"))))</f>
        <v>No change</v>
      </c>
      <c r="T313" s="12"/>
      <c r="U313" s="12" t="str">
        <f aca="false">C313&amp;"|"&amp;E313</f>
        <v>F4_12|SWE</v>
      </c>
    </row>
    <row r="314" customFormat="false" ht="15" hidden="false" customHeight="false" outlineLevel="0" collapsed="false">
      <c r="A314" s="12" t="n">
        <v>4</v>
      </c>
      <c r="B314" s="12" t="s">
        <v>39</v>
      </c>
      <c r="C314" s="12" t="s">
        <v>112</v>
      </c>
      <c r="D314" s="12" t="s">
        <v>113</v>
      </c>
      <c r="E314" s="12" t="s">
        <v>286</v>
      </c>
      <c r="F314" s="12" t="s">
        <v>31</v>
      </c>
      <c r="G314" s="12" t="n">
        <v>6.2</v>
      </c>
      <c r="H314" s="12" t="n">
        <v>7.5</v>
      </c>
      <c r="I314" s="12" t="s">
        <v>293</v>
      </c>
      <c r="J314" s="12" t="n">
        <v>8</v>
      </c>
      <c r="K314" s="12" t="n">
        <v>3</v>
      </c>
      <c r="L314" s="28" t="n">
        <v>1</v>
      </c>
      <c r="M314" s="12" t="n">
        <f aca="false">IF(L314=1,COUNTIFS($C$2:$C$1090,C314,$L$2:$L$1090,1),"")</f>
        <v>10</v>
      </c>
      <c r="N314" s="12" t="n">
        <f aca="false">IF(L314=1,1+COUNTIFS($C$2:$C$1090,C314,$L$2:$L$1090,1,$G$2:$G$1090,"&gt;"&amp;G314),"")</f>
        <v>8</v>
      </c>
      <c r="O314" s="12" t="n">
        <f aca="false">IF(L314=1,1+COUNTIFS($C$2:$C$1090,C314,$L$2:$L$1090,1,$H$2:$H$1090,"&gt;"&amp;H314),"")</f>
        <v>3</v>
      </c>
      <c r="P314" s="12" t="n">
        <f aca="false">IF(L314=1,N314-O314,"")</f>
        <v>5</v>
      </c>
      <c r="Q314" s="12" t="n">
        <f aca="false">INDEX(Directions!$D$2:$D$100,MATCH(C314,Directions!$A$2:$A$100,0))</f>
        <v>-1</v>
      </c>
      <c r="R314" s="12" t="n">
        <f aca="false">IF(L314=1,P314*Q314,"")</f>
        <v>-5</v>
      </c>
      <c r="S314" s="12" t="str">
        <f aca="false">IF(L314&lt;&gt;1,"Excluded",IF(Q314=0,"No direction",IF(R314&gt;0,"Better",IF(R314&lt;0,"Worse","No change"))))</f>
        <v>Worse</v>
      </c>
      <c r="T314" s="12"/>
      <c r="U314" s="12" t="str">
        <f aca="false">C314&amp;"|"&amp;E314</f>
        <v>F4_12|FRA</v>
      </c>
    </row>
    <row r="315" customFormat="false" ht="15" hidden="false" customHeight="false" outlineLevel="0" collapsed="false">
      <c r="A315" s="12" t="n">
        <v>4</v>
      </c>
      <c r="B315" s="12" t="s">
        <v>39</v>
      </c>
      <c r="C315" s="12" t="s">
        <v>112</v>
      </c>
      <c r="D315" s="12" t="s">
        <v>113</v>
      </c>
      <c r="E315" s="12" t="s">
        <v>32</v>
      </c>
      <c r="F315" s="12" t="s">
        <v>32</v>
      </c>
      <c r="G315" s="12" t="n">
        <v>6.5</v>
      </c>
      <c r="H315" s="12" t="n">
        <v>5.6</v>
      </c>
      <c r="I315" s="12" t="s">
        <v>291</v>
      </c>
      <c r="J315" s="12" t="n">
        <v>5</v>
      </c>
      <c r="K315" s="12" t="n">
        <v>9</v>
      </c>
      <c r="L315" s="28" t="n">
        <v>1</v>
      </c>
      <c r="M315" s="12" t="n">
        <f aca="false">IF(L315=1,COUNTIFS($C$2:$C$1090,C315,$L$2:$L$1090,1),"")</f>
        <v>10</v>
      </c>
      <c r="N315" s="12" t="n">
        <f aca="false">IF(L315=1,1+COUNTIFS($C$2:$C$1090,C315,$L$2:$L$1090,1,$G$2:$G$1090,"&gt;"&amp;G315),"")</f>
        <v>5</v>
      </c>
      <c r="O315" s="12" t="n">
        <f aca="false">IF(L315=1,1+COUNTIFS($C$2:$C$1090,C315,$L$2:$L$1090,1,$H$2:$H$1090,"&gt;"&amp;H315),"")</f>
        <v>8</v>
      </c>
      <c r="P315" s="12" t="n">
        <f aca="false">IF(L315=1,N315-O315,"")</f>
        <v>-3</v>
      </c>
      <c r="Q315" s="12" t="n">
        <f aca="false">INDEX(Directions!$D$2:$D$100,MATCH(C315,Directions!$A$2:$A$100,0))</f>
        <v>-1</v>
      </c>
      <c r="R315" s="12" t="n">
        <f aca="false">IF(L315=1,P315*Q315,"")</f>
        <v>3</v>
      </c>
      <c r="S315" s="12" t="str">
        <f aca="false">IF(L315&lt;&gt;1,"Excluded",IF(Q315=0,"No direction",IF(R315&gt;0,"Better",IF(R315&lt;0,"Worse","No change"))))</f>
        <v>Better</v>
      </c>
      <c r="T315" s="12"/>
      <c r="U315" s="12" t="str">
        <f aca="false">C315&amp;"|"&amp;E315</f>
        <v>F4_12|NLD</v>
      </c>
    </row>
    <row r="316" customFormat="false" ht="15" hidden="false" customHeight="false" outlineLevel="0" collapsed="false">
      <c r="A316" s="12" t="n">
        <v>4</v>
      </c>
      <c r="B316" s="12" t="s">
        <v>39</v>
      </c>
      <c r="C316" s="12" t="s">
        <v>112</v>
      </c>
      <c r="D316" s="12" t="s">
        <v>113</v>
      </c>
      <c r="E316" s="12" t="s">
        <v>33</v>
      </c>
      <c r="F316" s="12" t="s">
        <v>33</v>
      </c>
      <c r="G316" s="12" t="s">
        <v>302</v>
      </c>
      <c r="H316" s="12" t="n">
        <v>6</v>
      </c>
      <c r="I316" s="12" t="s">
        <v>293</v>
      </c>
      <c r="J316" s="12" t="s">
        <v>302</v>
      </c>
      <c r="K316" s="12" t="n">
        <v>8</v>
      </c>
      <c r="L316" s="28" t="n">
        <v>0</v>
      </c>
      <c r="M316" s="12" t="str">
        <f aca="false">IF(L316=1,COUNTIFS($C$2:$C$1090,C316,$L$2:$L$1090,1),"")</f>
        <v/>
      </c>
      <c r="N316" s="12" t="str">
        <f aca="false">IF(L316=1,1+COUNTIFS($C$2:$C$1090,C316,$L$2:$L$1090,1,$G$2:$G$1090,"&gt;"&amp;G316),"")</f>
        <v/>
      </c>
      <c r="O316" s="12" t="str">
        <f aca="false">IF(L316=1,1+COUNTIFS($C$2:$C$1090,C316,$L$2:$L$1090,1,$H$2:$H$1090,"&gt;"&amp;H316),"")</f>
        <v/>
      </c>
      <c r="P316" s="12" t="str">
        <f aca="false">IF(L316=1,N316-O316,"")</f>
        <v/>
      </c>
      <c r="Q316" s="12" t="n">
        <f aca="false">INDEX(Directions!$D$2:$D$100,MATCH(C316,Directions!$A$2:$A$100,0))</f>
        <v>-1</v>
      </c>
      <c r="R316" s="12" t="str">
        <f aca="false">IF(L316=1,P316*Q316,"")</f>
        <v/>
      </c>
      <c r="S316" s="12" t="str">
        <f aca="false">IF(L316&lt;&gt;1,"Excluded",IF(Q316=0,"No direction",IF(R316&gt;0,"Better",IF(R316&lt;0,"Worse","No change"))))</f>
        <v>Excluded</v>
      </c>
      <c r="T316" s="12" t="s">
        <v>311</v>
      </c>
      <c r="U316" s="12" t="str">
        <f aca="false">C316&amp;"|"&amp;E316</f>
        <v>F4_12|CHE</v>
      </c>
    </row>
    <row r="317" customFormat="false" ht="15" hidden="false" customHeight="false" outlineLevel="0" collapsed="false">
      <c r="A317" s="12" t="n">
        <v>4</v>
      </c>
      <c r="B317" s="12" t="s">
        <v>39</v>
      </c>
      <c r="C317" s="12" t="s">
        <v>112</v>
      </c>
      <c r="D317" s="12" t="s">
        <v>113</v>
      </c>
      <c r="E317" s="12" t="s">
        <v>287</v>
      </c>
      <c r="F317" s="12" t="s">
        <v>34</v>
      </c>
      <c r="G317" s="12" t="n">
        <v>5</v>
      </c>
      <c r="H317" s="12" t="n">
        <v>4.6</v>
      </c>
      <c r="I317" s="12" t="s">
        <v>282</v>
      </c>
      <c r="J317" s="12" t="n">
        <v>9</v>
      </c>
      <c r="K317" s="12" t="n">
        <v>10</v>
      </c>
      <c r="L317" s="28" t="n">
        <v>1</v>
      </c>
      <c r="M317" s="12" t="n">
        <f aca="false">IF(L317=1,COUNTIFS($C$2:$C$1090,C317,$L$2:$L$1090,1),"")</f>
        <v>10</v>
      </c>
      <c r="N317" s="12" t="n">
        <f aca="false">IF(L317=1,1+COUNTIFS($C$2:$C$1090,C317,$L$2:$L$1090,1,$G$2:$G$1090,"&gt;"&amp;G317),"")</f>
        <v>9</v>
      </c>
      <c r="O317" s="12" t="n">
        <f aca="false">IF(L317=1,1+COUNTIFS($C$2:$C$1090,C317,$L$2:$L$1090,1,$H$2:$H$1090,"&gt;"&amp;H317),"")</f>
        <v>9</v>
      </c>
      <c r="P317" s="12" t="n">
        <f aca="false">IF(L317=1,N317-O317,"")</f>
        <v>0</v>
      </c>
      <c r="Q317" s="12" t="n">
        <f aca="false">INDEX(Directions!$D$2:$D$100,MATCH(C317,Directions!$A$2:$A$100,0))</f>
        <v>-1</v>
      </c>
      <c r="R317" s="12" t="n">
        <f aca="false">IF(L317=1,P317*Q317,"")</f>
        <v>-0</v>
      </c>
      <c r="S317" s="12" t="str">
        <f aca="false">IF(L317&lt;&gt;1,"Excluded",IF(Q317=0,"No direction",IF(R317&gt;0,"Better",IF(R317&lt;0,"Worse","No change"))))</f>
        <v>No change</v>
      </c>
      <c r="T317" s="12"/>
      <c r="U317" s="12" t="str">
        <f aca="false">C317&amp;"|"&amp;E317</f>
        <v>F4_12|DNK</v>
      </c>
    </row>
    <row r="318" customFormat="false" ht="15" hidden="false" customHeight="false" outlineLevel="0" collapsed="false">
      <c r="A318" s="12" t="n">
        <v>4</v>
      </c>
      <c r="B318" s="12" t="s">
        <v>39</v>
      </c>
      <c r="C318" s="12" t="s">
        <v>112</v>
      </c>
      <c r="D318" s="12" t="s">
        <v>113</v>
      </c>
      <c r="E318" s="12" t="s">
        <v>288</v>
      </c>
      <c r="F318" s="12" t="s">
        <v>35</v>
      </c>
      <c r="G318" s="12" t="n">
        <v>6.3</v>
      </c>
      <c r="H318" s="12" t="n">
        <v>7.2</v>
      </c>
      <c r="I318" s="12" t="s">
        <v>293</v>
      </c>
      <c r="J318" s="12" t="n">
        <v>7</v>
      </c>
      <c r="K318" s="12" t="n">
        <v>5</v>
      </c>
      <c r="L318" s="28" t="n">
        <v>1</v>
      </c>
      <c r="M318" s="12" t="n">
        <f aca="false">IF(L318=1,COUNTIFS($C$2:$C$1090,C318,$L$2:$L$1090,1),"")</f>
        <v>10</v>
      </c>
      <c r="N318" s="12" t="n">
        <f aca="false">IF(L318=1,1+COUNTIFS($C$2:$C$1090,C318,$L$2:$L$1090,1,$G$2:$G$1090,"&gt;"&amp;G318),"")</f>
        <v>7</v>
      </c>
      <c r="O318" s="12" t="n">
        <f aca="false">IF(L318=1,1+COUNTIFS($C$2:$C$1090,C318,$L$2:$L$1090,1,$H$2:$H$1090,"&gt;"&amp;H318),"")</f>
        <v>4</v>
      </c>
      <c r="P318" s="12" t="n">
        <f aca="false">IF(L318=1,N318-O318,"")</f>
        <v>3</v>
      </c>
      <c r="Q318" s="12" t="n">
        <f aca="false">INDEX(Directions!$D$2:$D$100,MATCH(C318,Directions!$A$2:$A$100,0))</f>
        <v>-1</v>
      </c>
      <c r="R318" s="12" t="n">
        <f aca="false">IF(L318=1,P318*Q318,"")</f>
        <v>-3</v>
      </c>
      <c r="S318" s="12" t="str">
        <f aca="false">IF(L318&lt;&gt;1,"Excluded",IF(Q318=0,"No direction",IF(R318&gt;0,"Better",IF(R318&lt;0,"Worse","No change"))))</f>
        <v>Worse</v>
      </c>
      <c r="T318" s="12"/>
      <c r="U318" s="12" t="str">
        <f aca="false">C318&amp;"|"&amp;E318</f>
        <v>F4_12|CAN</v>
      </c>
    </row>
    <row r="319" customFormat="false" ht="15" hidden="false" customHeight="false" outlineLevel="0" collapsed="false">
      <c r="A319" s="12" t="n">
        <v>4</v>
      </c>
      <c r="B319" s="12" t="s">
        <v>39</v>
      </c>
      <c r="C319" s="12" t="s">
        <v>112</v>
      </c>
      <c r="D319" s="12" t="s">
        <v>113</v>
      </c>
      <c r="E319" s="12" t="s">
        <v>289</v>
      </c>
      <c r="F319" s="12" t="s">
        <v>36</v>
      </c>
      <c r="G319" s="12" t="n">
        <v>9.5</v>
      </c>
      <c r="H319" s="12" t="n">
        <v>9.8</v>
      </c>
      <c r="I319" s="12" t="s">
        <v>293</v>
      </c>
      <c r="J319" s="12" t="n">
        <v>1</v>
      </c>
      <c r="K319" s="12" t="n">
        <v>1</v>
      </c>
      <c r="L319" s="28" t="n">
        <v>1</v>
      </c>
      <c r="M319" s="12" t="n">
        <f aca="false">IF(L319=1,COUNTIFS($C$2:$C$1090,C319,$L$2:$L$1090,1),"")</f>
        <v>10</v>
      </c>
      <c r="N319" s="12" t="n">
        <f aca="false">IF(L319=1,1+COUNTIFS($C$2:$C$1090,C319,$L$2:$L$1090,1,$G$2:$G$1090,"&gt;"&amp;G319),"")</f>
        <v>1</v>
      </c>
      <c r="O319" s="12" t="n">
        <f aca="false">IF(L319=1,1+COUNTIFS($C$2:$C$1090,C319,$L$2:$L$1090,1,$H$2:$H$1090,"&gt;"&amp;H319),"")</f>
        <v>1</v>
      </c>
      <c r="P319" s="12" t="n">
        <f aca="false">IF(L319=1,N319-O319,"")</f>
        <v>0</v>
      </c>
      <c r="Q319" s="12" t="n">
        <f aca="false">INDEX(Directions!$D$2:$D$100,MATCH(C319,Directions!$A$2:$A$100,0))</f>
        <v>-1</v>
      </c>
      <c r="R319" s="12" t="n">
        <f aca="false">IF(L319=1,P319*Q319,"")</f>
        <v>-0</v>
      </c>
      <c r="S319" s="12" t="str">
        <f aca="false">IF(L319&lt;&gt;1,"Excluded",IF(Q319=0,"No direction",IF(R319&gt;0,"Better",IF(R319&lt;0,"Worse","No change"))))</f>
        <v>No change</v>
      </c>
      <c r="T319" s="12"/>
      <c r="U319" s="12" t="str">
        <f aca="false">C319&amp;"|"&amp;E319</f>
        <v>F4_12|JPN</v>
      </c>
    </row>
    <row r="320" customFormat="false" ht="15" hidden="false" customHeight="false" outlineLevel="0" collapsed="false">
      <c r="A320" s="12" t="n">
        <v>4</v>
      </c>
      <c r="B320" s="12" t="s">
        <v>39</v>
      </c>
      <c r="C320" s="12" t="s">
        <v>112</v>
      </c>
      <c r="D320" s="12" t="s">
        <v>113</v>
      </c>
      <c r="E320" s="12" t="s">
        <v>290</v>
      </c>
      <c r="F320" s="12" t="s">
        <v>37</v>
      </c>
      <c r="G320" s="12" t="n">
        <v>6.4</v>
      </c>
      <c r="H320" s="12" t="n">
        <v>6.6</v>
      </c>
      <c r="I320" s="12" t="s">
        <v>291</v>
      </c>
      <c r="J320" s="12" t="n">
        <v>6</v>
      </c>
      <c r="K320" s="12" t="n">
        <v>7</v>
      </c>
      <c r="L320" s="28" t="n">
        <v>1</v>
      </c>
      <c r="M320" s="12" t="n">
        <f aca="false">IF(L320=1,COUNTIFS($C$2:$C$1090,C320,$L$2:$L$1090,1),"")</f>
        <v>10</v>
      </c>
      <c r="N320" s="12" t="n">
        <f aca="false">IF(L320=1,1+COUNTIFS($C$2:$C$1090,C320,$L$2:$L$1090,1,$G$2:$G$1090,"&gt;"&amp;G320),"")</f>
        <v>6</v>
      </c>
      <c r="O320" s="12" t="n">
        <f aca="false">IF(L320=1,1+COUNTIFS($C$2:$C$1090,C320,$L$2:$L$1090,1,$H$2:$H$1090,"&gt;"&amp;H320),"")</f>
        <v>6</v>
      </c>
      <c r="P320" s="12" t="n">
        <f aca="false">IF(L320=1,N320-O320,"")</f>
        <v>0</v>
      </c>
      <c r="Q320" s="12" t="n">
        <f aca="false">INDEX(Directions!$D$2:$D$100,MATCH(C320,Directions!$A$2:$A$100,0))</f>
        <v>-1</v>
      </c>
      <c r="R320" s="12" t="n">
        <f aca="false">IF(L320=1,P320*Q320,"")</f>
        <v>-0</v>
      </c>
      <c r="S320" s="12" t="str">
        <f aca="false">IF(L320&lt;&gt;1,"Excluded",IF(Q320=0,"No direction",IF(R320&gt;0,"Better",IF(R320&lt;0,"Worse","No change"))))</f>
        <v>No change</v>
      </c>
      <c r="T320" s="12"/>
      <c r="U320" s="12" t="str">
        <f aca="false">C320&amp;"|"&amp;E320</f>
        <v>F4_12|AUS</v>
      </c>
    </row>
    <row r="321" customFormat="false" ht="15" hidden="false" customHeight="false" outlineLevel="0" collapsed="false">
      <c r="A321" s="12" t="n">
        <v>5</v>
      </c>
      <c r="B321" s="12" t="s">
        <v>312</v>
      </c>
      <c r="C321" s="12" t="s">
        <v>114</v>
      </c>
      <c r="D321" s="12" t="s">
        <v>115</v>
      </c>
      <c r="E321" s="12" t="s">
        <v>281</v>
      </c>
      <c r="F321" s="12" t="s">
        <v>27</v>
      </c>
      <c r="G321" s="12" t="n">
        <v>2.6</v>
      </c>
      <c r="H321" s="12" t="n">
        <v>2.71</v>
      </c>
      <c r="I321" s="12" t="s">
        <v>294</v>
      </c>
      <c r="J321" s="12" t="n">
        <v>8</v>
      </c>
      <c r="K321" s="12" t="n">
        <v>9</v>
      </c>
      <c r="L321" s="28" t="n">
        <v>1</v>
      </c>
      <c r="M321" s="12" t="n">
        <f aca="false">IF(L321=1,COUNTIFS($C$2:$C$1090,C321,$L$2:$L$1090,1),"")</f>
        <v>11</v>
      </c>
      <c r="N321" s="12" t="n">
        <f aca="false">IF(L321=1,1+COUNTIFS($C$2:$C$1090,C321,$L$2:$L$1090,1,$G$2:$G$1090,"&gt;"&amp;G321),"")</f>
        <v>8</v>
      </c>
      <c r="O321" s="12" t="n">
        <f aca="false">IF(L321=1,1+COUNTIFS($C$2:$C$1090,C321,$L$2:$L$1090,1,$H$2:$H$1090,"&gt;"&amp;H321),"")</f>
        <v>9</v>
      </c>
      <c r="P321" s="12" t="n">
        <f aca="false">IF(L321=1,N321-O321,"")</f>
        <v>-1</v>
      </c>
      <c r="Q321" s="12" t="n">
        <f aca="false">INDEX(Directions!$D$2:$D$100,MATCH(C321,Directions!$A$2:$A$100,0))</f>
        <v>0</v>
      </c>
      <c r="R321" s="12" t="n">
        <f aca="false">IF(L321=1,P321*Q321,"")</f>
        <v>-0</v>
      </c>
      <c r="S321" s="12" t="str">
        <f aca="false">IF(L321&lt;&gt;1,"Excluded",IF(Q321=0,"No direction",IF(R321&gt;0,"Better",IF(R321&lt;0,"Worse","No change"))))</f>
        <v>No direction</v>
      </c>
      <c r="T321" s="12" t="s">
        <v>313</v>
      </c>
      <c r="U321" s="12" t="str">
        <f aca="false">C321&amp;"|"&amp;E321</f>
        <v>F5_01|USA</v>
      </c>
    </row>
    <row r="322" customFormat="false" ht="15" hidden="false" customHeight="false" outlineLevel="0" collapsed="false">
      <c r="A322" s="12" t="n">
        <v>5</v>
      </c>
      <c r="B322" s="12" t="s">
        <v>312</v>
      </c>
      <c r="C322" s="12" t="s">
        <v>114</v>
      </c>
      <c r="D322" s="12" t="s">
        <v>115</v>
      </c>
      <c r="E322" s="12" t="s">
        <v>283</v>
      </c>
      <c r="F322" s="12" t="s">
        <v>28</v>
      </c>
      <c r="G322" s="12" t="n">
        <v>2.1</v>
      </c>
      <c r="H322" s="12" t="n">
        <v>3.49</v>
      </c>
      <c r="I322" s="12" t="s">
        <v>293</v>
      </c>
      <c r="J322" s="12" t="n">
        <v>11</v>
      </c>
      <c r="K322" s="12" t="n">
        <v>8</v>
      </c>
      <c r="L322" s="28" t="n">
        <v>1</v>
      </c>
      <c r="M322" s="12" t="n">
        <f aca="false">IF(L322=1,COUNTIFS($C$2:$C$1090,C322,$L$2:$L$1090,1),"")</f>
        <v>11</v>
      </c>
      <c r="N322" s="12" t="n">
        <f aca="false">IF(L322=1,1+COUNTIFS($C$2:$C$1090,C322,$L$2:$L$1090,1,$G$2:$G$1090,"&gt;"&amp;G322),"")</f>
        <v>11</v>
      </c>
      <c r="O322" s="12" t="n">
        <f aca="false">IF(L322=1,1+COUNTIFS($C$2:$C$1090,C322,$L$2:$L$1090,1,$H$2:$H$1090,"&gt;"&amp;H322),"")</f>
        <v>8</v>
      </c>
      <c r="P322" s="12" t="n">
        <f aca="false">IF(L322=1,N322-O322,"")</f>
        <v>3</v>
      </c>
      <c r="Q322" s="12" t="n">
        <f aca="false">INDEX(Directions!$D$2:$D$100,MATCH(C322,Directions!$A$2:$A$100,0))</f>
        <v>0</v>
      </c>
      <c r="R322" s="12" t="n">
        <f aca="false">IF(L322=1,P322*Q322,"")</f>
        <v>0</v>
      </c>
      <c r="S322" s="12" t="str">
        <f aca="false">IF(L322&lt;&gt;1,"Excluded",IF(Q322=0,"No direction",IF(R322&gt;0,"Better",IF(R322&lt;0,"Worse","No change"))))</f>
        <v>No direction</v>
      </c>
      <c r="T322" s="12" t="s">
        <v>313</v>
      </c>
      <c r="U322" s="12" t="str">
        <f aca="false">C322&amp;"|"&amp;E322</f>
        <v>F5_01|GBR</v>
      </c>
    </row>
    <row r="323" customFormat="false" ht="15" hidden="false" customHeight="false" outlineLevel="0" collapsed="false">
      <c r="A323" s="12" t="n">
        <v>5</v>
      </c>
      <c r="B323" s="12" t="s">
        <v>312</v>
      </c>
      <c r="C323" s="12" t="s">
        <v>114</v>
      </c>
      <c r="D323" s="12" t="s">
        <v>115</v>
      </c>
      <c r="E323" s="12" t="s">
        <v>284</v>
      </c>
      <c r="F323" s="12" t="s">
        <v>29</v>
      </c>
      <c r="G323" s="12" t="n">
        <v>4.1</v>
      </c>
      <c r="H323" s="12" t="n">
        <v>4.75</v>
      </c>
      <c r="I323" s="12" t="s">
        <v>293</v>
      </c>
      <c r="J323" s="12" t="n">
        <v>3</v>
      </c>
      <c r="K323" s="12" t="n">
        <v>1</v>
      </c>
      <c r="L323" s="28" t="n">
        <v>1</v>
      </c>
      <c r="M323" s="12" t="n">
        <f aca="false">IF(L323=1,COUNTIFS($C$2:$C$1090,C323,$L$2:$L$1090,1),"")</f>
        <v>11</v>
      </c>
      <c r="N323" s="12" t="n">
        <f aca="false">IF(L323=1,1+COUNTIFS($C$2:$C$1090,C323,$L$2:$L$1090,1,$G$2:$G$1090,"&gt;"&amp;G323),"")</f>
        <v>3</v>
      </c>
      <c r="O323" s="12" t="n">
        <f aca="false">IF(L323=1,1+COUNTIFS($C$2:$C$1090,C323,$L$2:$L$1090,1,$H$2:$H$1090,"&gt;"&amp;H323),"")</f>
        <v>1</v>
      </c>
      <c r="P323" s="12" t="n">
        <f aca="false">IF(L323=1,N323-O323,"")</f>
        <v>2</v>
      </c>
      <c r="Q323" s="12" t="n">
        <f aca="false">INDEX(Directions!$D$2:$D$100,MATCH(C323,Directions!$A$2:$A$100,0))</f>
        <v>0</v>
      </c>
      <c r="R323" s="12" t="n">
        <f aca="false">IF(L323=1,P323*Q323,"")</f>
        <v>0</v>
      </c>
      <c r="S323" s="12" t="str">
        <f aca="false">IF(L323&lt;&gt;1,"Excluded",IF(Q323=0,"No direction",IF(R323&gt;0,"Better",IF(R323&lt;0,"Worse","No change"))))</f>
        <v>No direction</v>
      </c>
      <c r="T323" s="12" t="s">
        <v>313</v>
      </c>
      <c r="U323" s="12" t="str">
        <f aca="false">C323&amp;"|"&amp;E323</f>
        <v>F5_01|DEU</v>
      </c>
    </row>
    <row r="324" customFormat="false" ht="15" hidden="false" customHeight="false" outlineLevel="0" collapsed="false">
      <c r="A324" s="12" t="n">
        <v>5</v>
      </c>
      <c r="B324" s="12" t="s">
        <v>312</v>
      </c>
      <c r="C324" s="12" t="s">
        <v>114</v>
      </c>
      <c r="D324" s="12" t="s">
        <v>115</v>
      </c>
      <c r="E324" s="12" t="s">
        <v>285</v>
      </c>
      <c r="F324" s="12" t="s">
        <v>30</v>
      </c>
      <c r="G324" s="12" t="n">
        <v>4.2</v>
      </c>
      <c r="H324" s="12" t="n">
        <v>4.66</v>
      </c>
      <c r="I324" s="12" t="s">
        <v>293</v>
      </c>
      <c r="J324" s="12" t="n">
        <v>2</v>
      </c>
      <c r="K324" s="12" t="n">
        <v>2</v>
      </c>
      <c r="L324" s="28" t="n">
        <v>1</v>
      </c>
      <c r="M324" s="12" t="n">
        <f aca="false">IF(L324=1,COUNTIFS($C$2:$C$1090,C324,$L$2:$L$1090,1),"")</f>
        <v>11</v>
      </c>
      <c r="N324" s="12" t="n">
        <f aca="false">IF(L324=1,1+COUNTIFS($C$2:$C$1090,C324,$L$2:$L$1090,1,$G$2:$G$1090,"&gt;"&amp;G324),"")</f>
        <v>2</v>
      </c>
      <c r="O324" s="12" t="n">
        <f aca="false">IF(L324=1,1+COUNTIFS($C$2:$C$1090,C324,$L$2:$L$1090,1,$H$2:$H$1090,"&gt;"&amp;H324),"")</f>
        <v>2</v>
      </c>
      <c r="P324" s="12" t="n">
        <f aca="false">IF(L324=1,N324-O324,"")</f>
        <v>0</v>
      </c>
      <c r="Q324" s="12" t="n">
        <f aca="false">INDEX(Directions!$D$2:$D$100,MATCH(C324,Directions!$A$2:$A$100,0))</f>
        <v>0</v>
      </c>
      <c r="R324" s="12" t="n">
        <f aca="false">IF(L324=1,P324*Q324,"")</f>
        <v>0</v>
      </c>
      <c r="S324" s="12" t="str">
        <f aca="false">IF(L324&lt;&gt;1,"Excluded",IF(Q324=0,"No direction",IF(R324&gt;0,"Better",IF(R324&lt;0,"Worse","No change"))))</f>
        <v>No direction</v>
      </c>
      <c r="T324" s="12" t="s">
        <v>313</v>
      </c>
      <c r="U324" s="12" t="str">
        <f aca="false">C324&amp;"|"&amp;E324</f>
        <v>F5_01|SWE</v>
      </c>
    </row>
    <row r="325" customFormat="false" ht="15" hidden="false" customHeight="false" outlineLevel="0" collapsed="false">
      <c r="A325" s="12" t="n">
        <v>5</v>
      </c>
      <c r="B325" s="12" t="s">
        <v>312</v>
      </c>
      <c r="C325" s="12" t="s">
        <v>114</v>
      </c>
      <c r="D325" s="12" t="s">
        <v>115</v>
      </c>
      <c r="E325" s="12" t="s">
        <v>286</v>
      </c>
      <c r="F325" s="12" t="s">
        <v>31</v>
      </c>
      <c r="G325" s="12" t="n">
        <v>3.1</v>
      </c>
      <c r="H325" s="12" t="n">
        <v>3.94</v>
      </c>
      <c r="I325" s="12" t="s">
        <v>293</v>
      </c>
      <c r="J325" s="12" t="n">
        <v>7</v>
      </c>
      <c r="K325" s="12" t="n">
        <v>7</v>
      </c>
      <c r="L325" s="28" t="n">
        <v>1</v>
      </c>
      <c r="M325" s="12" t="n">
        <f aca="false">IF(L325=1,COUNTIFS($C$2:$C$1090,C325,$L$2:$L$1090,1),"")</f>
        <v>11</v>
      </c>
      <c r="N325" s="12" t="n">
        <f aca="false">IF(L325=1,1+COUNTIFS($C$2:$C$1090,C325,$L$2:$L$1090,1,$G$2:$G$1090,"&gt;"&amp;G325),"")</f>
        <v>7</v>
      </c>
      <c r="O325" s="12" t="n">
        <f aca="false">IF(L325=1,1+COUNTIFS($C$2:$C$1090,C325,$L$2:$L$1090,1,$H$2:$H$1090,"&gt;"&amp;H325),"")</f>
        <v>7</v>
      </c>
      <c r="P325" s="12" t="n">
        <f aca="false">IF(L325=1,N325-O325,"")</f>
        <v>0</v>
      </c>
      <c r="Q325" s="12" t="n">
        <f aca="false">INDEX(Directions!$D$2:$D$100,MATCH(C325,Directions!$A$2:$A$100,0))</f>
        <v>0</v>
      </c>
      <c r="R325" s="12" t="n">
        <f aca="false">IF(L325=1,P325*Q325,"")</f>
        <v>0</v>
      </c>
      <c r="S325" s="12" t="str">
        <f aca="false">IF(L325&lt;&gt;1,"Excluded",IF(Q325=0,"No direction",IF(R325&gt;0,"Better",IF(R325&lt;0,"Worse","No change"))))</f>
        <v>No direction</v>
      </c>
      <c r="T325" s="12" t="s">
        <v>313</v>
      </c>
      <c r="U325" s="12" t="str">
        <f aca="false">C325&amp;"|"&amp;E325</f>
        <v>F5_01|FRA</v>
      </c>
    </row>
    <row r="326" customFormat="false" ht="15" hidden="false" customHeight="false" outlineLevel="0" collapsed="false">
      <c r="A326" s="12" t="n">
        <v>5</v>
      </c>
      <c r="B326" s="12" t="s">
        <v>312</v>
      </c>
      <c r="C326" s="12" t="s">
        <v>114</v>
      </c>
      <c r="D326" s="12" t="s">
        <v>115</v>
      </c>
      <c r="E326" s="12" t="s">
        <v>32</v>
      </c>
      <c r="F326" s="12" t="s">
        <v>32</v>
      </c>
      <c r="G326" s="12" t="n">
        <v>3.5</v>
      </c>
      <c r="H326" s="12" t="n">
        <v>3.96</v>
      </c>
      <c r="I326" s="12" t="s">
        <v>293</v>
      </c>
      <c r="J326" s="12" t="n">
        <v>5</v>
      </c>
      <c r="K326" s="12" t="n">
        <v>6</v>
      </c>
      <c r="L326" s="28" t="n">
        <v>1</v>
      </c>
      <c r="M326" s="12" t="n">
        <f aca="false">IF(L326=1,COUNTIFS($C$2:$C$1090,C326,$L$2:$L$1090,1),"")</f>
        <v>11</v>
      </c>
      <c r="N326" s="12" t="n">
        <f aca="false">IF(L326=1,1+COUNTIFS($C$2:$C$1090,C326,$L$2:$L$1090,1,$G$2:$G$1090,"&gt;"&amp;G326),"")</f>
        <v>5</v>
      </c>
      <c r="O326" s="12" t="n">
        <f aca="false">IF(L326=1,1+COUNTIFS($C$2:$C$1090,C326,$L$2:$L$1090,1,$H$2:$H$1090,"&gt;"&amp;H326),"")</f>
        <v>6</v>
      </c>
      <c r="P326" s="12" t="n">
        <f aca="false">IF(L326=1,N326-O326,"")</f>
        <v>-1</v>
      </c>
      <c r="Q326" s="12" t="n">
        <f aca="false">INDEX(Directions!$D$2:$D$100,MATCH(C326,Directions!$A$2:$A$100,0))</f>
        <v>0</v>
      </c>
      <c r="R326" s="12" t="n">
        <f aca="false">IF(L326=1,P326*Q326,"")</f>
        <v>-0</v>
      </c>
      <c r="S326" s="12" t="str">
        <f aca="false">IF(L326&lt;&gt;1,"Excluded",IF(Q326=0,"No direction",IF(R326&gt;0,"Better",IF(R326&lt;0,"Worse","No change"))))</f>
        <v>No direction</v>
      </c>
      <c r="T326" s="12" t="s">
        <v>313</v>
      </c>
      <c r="U326" s="12" t="str">
        <f aca="false">C326&amp;"|"&amp;E326</f>
        <v>F5_01|NLD</v>
      </c>
    </row>
    <row r="327" customFormat="false" ht="15" hidden="false" customHeight="false" outlineLevel="0" collapsed="false">
      <c r="A327" s="12" t="n">
        <v>5</v>
      </c>
      <c r="B327" s="12" t="s">
        <v>312</v>
      </c>
      <c r="C327" s="12" t="s">
        <v>114</v>
      </c>
      <c r="D327" s="12" t="s">
        <v>115</v>
      </c>
      <c r="E327" s="12" t="s">
        <v>33</v>
      </c>
      <c r="F327" s="12" t="s">
        <v>33</v>
      </c>
      <c r="G327" s="12" t="n">
        <v>4.3</v>
      </c>
      <c r="H327" s="12" t="n">
        <v>4.66</v>
      </c>
      <c r="I327" s="12" t="s">
        <v>293</v>
      </c>
      <c r="J327" s="12" t="n">
        <v>1</v>
      </c>
      <c r="K327" s="12" t="n">
        <v>3</v>
      </c>
      <c r="L327" s="28" t="n">
        <v>1</v>
      </c>
      <c r="M327" s="12" t="n">
        <f aca="false">IF(L327=1,COUNTIFS($C$2:$C$1090,C327,$L$2:$L$1090,1),"")</f>
        <v>11</v>
      </c>
      <c r="N327" s="12" t="n">
        <f aca="false">IF(L327=1,1+COUNTIFS($C$2:$C$1090,C327,$L$2:$L$1090,1,$G$2:$G$1090,"&gt;"&amp;G327),"")</f>
        <v>1</v>
      </c>
      <c r="O327" s="12" t="n">
        <f aca="false">IF(L327=1,1+COUNTIFS($C$2:$C$1090,C327,$L$2:$L$1090,1,$H$2:$H$1090,"&gt;"&amp;H327),"")</f>
        <v>2</v>
      </c>
      <c r="P327" s="12" t="n">
        <f aca="false">IF(L327=1,N327-O327,"")</f>
        <v>-1</v>
      </c>
      <c r="Q327" s="12" t="n">
        <f aca="false">INDEX(Directions!$D$2:$D$100,MATCH(C327,Directions!$A$2:$A$100,0))</f>
        <v>0</v>
      </c>
      <c r="R327" s="12" t="n">
        <f aca="false">IF(L327=1,P327*Q327,"")</f>
        <v>-0</v>
      </c>
      <c r="S327" s="12" t="str">
        <f aca="false">IF(L327&lt;&gt;1,"Excluded",IF(Q327=0,"No direction",IF(R327&gt;0,"Better",IF(R327&lt;0,"Worse","No change"))))</f>
        <v>No direction</v>
      </c>
      <c r="T327" s="12" t="s">
        <v>313</v>
      </c>
      <c r="U327" s="12" t="str">
        <f aca="false">C327&amp;"|"&amp;E327</f>
        <v>F5_01|CHE</v>
      </c>
    </row>
    <row r="328" customFormat="false" ht="15" hidden="false" customHeight="false" outlineLevel="0" collapsed="false">
      <c r="A328" s="12" t="n">
        <v>5</v>
      </c>
      <c r="B328" s="12" t="s">
        <v>312</v>
      </c>
      <c r="C328" s="12" t="s">
        <v>114</v>
      </c>
      <c r="D328" s="12" t="s">
        <v>115</v>
      </c>
      <c r="E328" s="12" t="s">
        <v>287</v>
      </c>
      <c r="F328" s="12" t="s">
        <v>34</v>
      </c>
      <c r="G328" s="12" t="n">
        <v>3.6</v>
      </c>
      <c r="H328" s="12" t="n">
        <v>4.66</v>
      </c>
      <c r="I328" s="12" t="s">
        <v>293</v>
      </c>
      <c r="J328" s="12" t="n">
        <v>4</v>
      </c>
      <c r="K328" s="12" t="n">
        <v>4</v>
      </c>
      <c r="L328" s="28" t="n">
        <v>1</v>
      </c>
      <c r="M328" s="12" t="n">
        <f aca="false">IF(L328=1,COUNTIFS($C$2:$C$1090,C328,$L$2:$L$1090,1),"")</f>
        <v>11</v>
      </c>
      <c r="N328" s="12" t="n">
        <f aca="false">IF(L328=1,1+COUNTIFS($C$2:$C$1090,C328,$L$2:$L$1090,1,$G$2:$G$1090,"&gt;"&amp;G328),"")</f>
        <v>4</v>
      </c>
      <c r="O328" s="12" t="n">
        <f aca="false">IF(L328=1,1+COUNTIFS($C$2:$C$1090,C328,$L$2:$L$1090,1,$H$2:$H$1090,"&gt;"&amp;H328),"")</f>
        <v>2</v>
      </c>
      <c r="P328" s="12" t="n">
        <f aca="false">IF(L328=1,N328-O328,"")</f>
        <v>2</v>
      </c>
      <c r="Q328" s="12" t="n">
        <f aca="false">INDEX(Directions!$D$2:$D$100,MATCH(C328,Directions!$A$2:$A$100,0))</f>
        <v>0</v>
      </c>
      <c r="R328" s="12" t="n">
        <f aca="false">IF(L328=1,P328*Q328,"")</f>
        <v>0</v>
      </c>
      <c r="S328" s="12" t="str">
        <f aca="false">IF(L328&lt;&gt;1,"Excluded",IF(Q328=0,"No direction",IF(R328&gt;0,"Better",IF(R328&lt;0,"Worse","No change"))))</f>
        <v>No direction</v>
      </c>
      <c r="T328" s="12" t="s">
        <v>313</v>
      </c>
      <c r="U328" s="12" t="str">
        <f aca="false">C328&amp;"|"&amp;E328</f>
        <v>F5_01|DNK</v>
      </c>
    </row>
    <row r="329" customFormat="false" ht="15" hidden="false" customHeight="false" outlineLevel="0" collapsed="false">
      <c r="A329" s="12" t="n">
        <v>5</v>
      </c>
      <c r="B329" s="12" t="s">
        <v>312</v>
      </c>
      <c r="C329" s="12" t="s">
        <v>114</v>
      </c>
      <c r="D329" s="12" t="s">
        <v>115</v>
      </c>
      <c r="E329" s="12" t="s">
        <v>288</v>
      </c>
      <c r="F329" s="12" t="s">
        <v>35</v>
      </c>
      <c r="G329" s="12" t="n">
        <v>2.6</v>
      </c>
      <c r="H329" s="12" t="n">
        <v>2.7</v>
      </c>
      <c r="I329" s="12" t="s">
        <v>293</v>
      </c>
      <c r="J329" s="12" t="n">
        <v>9</v>
      </c>
      <c r="K329" s="12" t="n">
        <v>10</v>
      </c>
      <c r="L329" s="28" t="n">
        <v>1</v>
      </c>
      <c r="M329" s="12" t="n">
        <f aca="false">IF(L329=1,COUNTIFS($C$2:$C$1090,C329,$L$2:$L$1090,1),"")</f>
        <v>11</v>
      </c>
      <c r="N329" s="12" t="n">
        <f aca="false">IF(L329=1,1+COUNTIFS($C$2:$C$1090,C329,$L$2:$L$1090,1,$G$2:$G$1090,"&gt;"&amp;G329),"")</f>
        <v>8</v>
      </c>
      <c r="O329" s="12" t="n">
        <f aca="false">IF(L329=1,1+COUNTIFS($C$2:$C$1090,C329,$L$2:$L$1090,1,$H$2:$H$1090,"&gt;"&amp;H329),"")</f>
        <v>10</v>
      </c>
      <c r="P329" s="12" t="n">
        <f aca="false">IF(L329=1,N329-O329,"")</f>
        <v>-2</v>
      </c>
      <c r="Q329" s="12" t="n">
        <f aca="false">INDEX(Directions!$D$2:$D$100,MATCH(C329,Directions!$A$2:$A$100,0))</f>
        <v>0</v>
      </c>
      <c r="R329" s="12" t="n">
        <f aca="false">IF(L329=1,P329*Q329,"")</f>
        <v>-0</v>
      </c>
      <c r="S329" s="12" t="str">
        <f aca="false">IF(L329&lt;&gt;1,"Excluded",IF(Q329=0,"No direction",IF(R329&gt;0,"Better",IF(R329&lt;0,"Worse","No change"))))</f>
        <v>No direction</v>
      </c>
      <c r="T329" s="12" t="s">
        <v>313</v>
      </c>
      <c r="U329" s="12" t="str">
        <f aca="false">C329&amp;"|"&amp;E329</f>
        <v>F5_01|CAN</v>
      </c>
    </row>
    <row r="330" customFormat="false" ht="15" hidden="false" customHeight="false" outlineLevel="0" collapsed="false">
      <c r="A330" s="12" t="n">
        <v>5</v>
      </c>
      <c r="B330" s="12" t="s">
        <v>312</v>
      </c>
      <c r="C330" s="12" t="s">
        <v>114</v>
      </c>
      <c r="D330" s="12" t="s">
        <v>115</v>
      </c>
      <c r="E330" s="12" t="s">
        <v>289</v>
      </c>
      <c r="F330" s="12" t="s">
        <v>36</v>
      </c>
      <c r="G330" s="12" t="n">
        <v>2.4</v>
      </c>
      <c r="H330" s="12" t="n">
        <v>2.7</v>
      </c>
      <c r="I330" s="12" t="s">
        <v>293</v>
      </c>
      <c r="J330" s="12" t="n">
        <v>10</v>
      </c>
      <c r="K330" s="12" t="n">
        <v>11</v>
      </c>
      <c r="L330" s="28" t="n">
        <v>1</v>
      </c>
      <c r="M330" s="12" t="n">
        <f aca="false">IF(L330=1,COUNTIFS($C$2:$C$1090,C330,$L$2:$L$1090,1),"")</f>
        <v>11</v>
      </c>
      <c r="N330" s="12" t="n">
        <f aca="false">IF(L330=1,1+COUNTIFS($C$2:$C$1090,C330,$L$2:$L$1090,1,$G$2:$G$1090,"&gt;"&amp;G330),"")</f>
        <v>10</v>
      </c>
      <c r="O330" s="12" t="n">
        <f aca="false">IF(L330=1,1+COUNTIFS($C$2:$C$1090,C330,$L$2:$L$1090,1,$H$2:$H$1090,"&gt;"&amp;H330),"")</f>
        <v>10</v>
      </c>
      <c r="P330" s="12" t="n">
        <f aca="false">IF(L330=1,N330-O330,"")</f>
        <v>0</v>
      </c>
      <c r="Q330" s="12" t="n">
        <f aca="false">INDEX(Directions!$D$2:$D$100,MATCH(C330,Directions!$A$2:$A$100,0))</f>
        <v>0</v>
      </c>
      <c r="R330" s="12" t="n">
        <f aca="false">IF(L330=1,P330*Q330,"")</f>
        <v>0</v>
      </c>
      <c r="S330" s="12" t="str">
        <f aca="false">IF(L330&lt;&gt;1,"Excluded",IF(Q330=0,"No direction",IF(R330&gt;0,"Better",IF(R330&lt;0,"Worse","No change"))))</f>
        <v>No direction</v>
      </c>
      <c r="T330" s="12" t="s">
        <v>313</v>
      </c>
      <c r="U330" s="12" t="str">
        <f aca="false">C330&amp;"|"&amp;E330</f>
        <v>F5_01|JPN</v>
      </c>
    </row>
    <row r="331" customFormat="false" ht="15" hidden="false" customHeight="false" outlineLevel="0" collapsed="false">
      <c r="A331" s="12" t="n">
        <v>5</v>
      </c>
      <c r="B331" s="12" t="s">
        <v>312</v>
      </c>
      <c r="C331" s="12" t="s">
        <v>114</v>
      </c>
      <c r="D331" s="12" t="s">
        <v>115</v>
      </c>
      <c r="E331" s="12" t="s">
        <v>290</v>
      </c>
      <c r="F331" s="12" t="s">
        <v>37</v>
      </c>
      <c r="G331" s="12" t="n">
        <v>3.5</v>
      </c>
      <c r="H331" s="12" t="n">
        <v>4.29</v>
      </c>
      <c r="I331" s="12" t="s">
        <v>293</v>
      </c>
      <c r="J331" s="12" t="n">
        <v>6</v>
      </c>
      <c r="K331" s="12" t="n">
        <v>5</v>
      </c>
      <c r="L331" s="28" t="n">
        <v>1</v>
      </c>
      <c r="M331" s="12" t="n">
        <f aca="false">IF(L331=1,COUNTIFS($C$2:$C$1090,C331,$L$2:$L$1090,1),"")</f>
        <v>11</v>
      </c>
      <c r="N331" s="12" t="n">
        <f aca="false">IF(L331=1,1+COUNTIFS($C$2:$C$1090,C331,$L$2:$L$1090,1,$G$2:$G$1090,"&gt;"&amp;G331),"")</f>
        <v>5</v>
      </c>
      <c r="O331" s="12" t="n">
        <f aca="false">IF(L331=1,1+COUNTIFS($C$2:$C$1090,C331,$L$2:$L$1090,1,$H$2:$H$1090,"&gt;"&amp;H331),"")</f>
        <v>5</v>
      </c>
      <c r="P331" s="12" t="n">
        <f aca="false">IF(L331=1,N331-O331,"")</f>
        <v>0</v>
      </c>
      <c r="Q331" s="12" t="n">
        <f aca="false">INDEX(Directions!$D$2:$D$100,MATCH(C331,Directions!$A$2:$A$100,0))</f>
        <v>0</v>
      </c>
      <c r="R331" s="12" t="n">
        <f aca="false">IF(L331=1,P331*Q331,"")</f>
        <v>0</v>
      </c>
      <c r="S331" s="12" t="str">
        <f aca="false">IF(L331&lt;&gt;1,"Excluded",IF(Q331=0,"No direction",IF(R331&gt;0,"Better",IF(R331&lt;0,"Worse","No change"))))</f>
        <v>No direction</v>
      </c>
      <c r="T331" s="12" t="s">
        <v>313</v>
      </c>
      <c r="U331" s="12" t="str">
        <f aca="false">C331&amp;"|"&amp;E331</f>
        <v>F5_01|AUS</v>
      </c>
    </row>
    <row r="332" customFormat="false" ht="15" hidden="false" customHeight="false" outlineLevel="0" collapsed="false">
      <c r="A332" s="12" t="n">
        <v>5</v>
      </c>
      <c r="B332" s="12" t="s">
        <v>312</v>
      </c>
      <c r="C332" s="12" t="s">
        <v>116</v>
      </c>
      <c r="D332" s="12" t="s">
        <v>117</v>
      </c>
      <c r="E332" s="12" t="s">
        <v>281</v>
      </c>
      <c r="F332" s="12" t="s">
        <v>27</v>
      </c>
      <c r="G332" s="12" t="n">
        <v>43</v>
      </c>
      <c r="H332" s="12" t="n">
        <v>21.4</v>
      </c>
      <c r="I332" s="12" t="s">
        <v>294</v>
      </c>
      <c r="J332" s="12" t="n">
        <v>8</v>
      </c>
      <c r="K332" s="12" t="n">
        <v>8</v>
      </c>
      <c r="L332" s="28" t="n">
        <v>0</v>
      </c>
      <c r="M332" s="12" t="str">
        <f aca="false">IF(L332=1,COUNTIFS($C$2:$C$1090,C332,$L$2:$L$1090,1),"")</f>
        <v/>
      </c>
      <c r="N332" s="12" t="str">
        <f aca="false">IF(L332=1,1+COUNTIFS($C$2:$C$1090,C332,$L$2:$L$1090,1,$G$2:$G$1090,"&gt;"&amp;G332),"")</f>
        <v/>
      </c>
      <c r="O332" s="12" t="str">
        <f aca="false">IF(L332=1,1+COUNTIFS($C$2:$C$1090,C332,$L$2:$L$1090,1,$H$2:$H$1090,"&gt;"&amp;H332),"")</f>
        <v/>
      </c>
      <c r="P332" s="12" t="str">
        <f aca="false">IF(L332=1,N332-O332,"")</f>
        <v/>
      </c>
      <c r="Q332" s="12" t="n">
        <f aca="false">INDEX(Directions!$D$2:$D$100,MATCH(C332,Directions!$A$2:$A$100,0))</f>
        <v>0</v>
      </c>
      <c r="R332" s="12" t="str">
        <f aca="false">IF(L332=1,P332*Q332,"")</f>
        <v/>
      </c>
      <c r="S332" s="12" t="str">
        <f aca="false">IF(L332&lt;&gt;1,"Excluded",IF(Q332=0,"No direction",IF(R332&gt;0,"Better",IF(R332&lt;0,"Worse","No change"))))</f>
        <v>Excluded</v>
      </c>
      <c r="T332" s="12" t="s">
        <v>314</v>
      </c>
      <c r="U332" s="12" t="str">
        <f aca="false">C332&amp;"|"&amp;E332</f>
        <v>F5_02|USA</v>
      </c>
    </row>
    <row r="333" customFormat="false" ht="15" hidden="false" customHeight="false" outlineLevel="0" collapsed="false">
      <c r="A333" s="12" t="n">
        <v>5</v>
      </c>
      <c r="B333" s="12" t="s">
        <v>312</v>
      </c>
      <c r="C333" s="12" t="s">
        <v>116</v>
      </c>
      <c r="D333" s="12" t="s">
        <v>117</v>
      </c>
      <c r="E333" s="12" t="s">
        <v>283</v>
      </c>
      <c r="F333" s="12" t="s">
        <v>28</v>
      </c>
      <c r="G333" s="12" t="n">
        <v>45</v>
      </c>
      <c r="H333" s="12" t="n">
        <v>28.9</v>
      </c>
      <c r="I333" s="12" t="s">
        <v>293</v>
      </c>
      <c r="J333" s="12" t="n">
        <v>5</v>
      </c>
      <c r="K333" s="12" t="n">
        <v>6</v>
      </c>
      <c r="L333" s="28" t="n">
        <v>0</v>
      </c>
      <c r="M333" s="12" t="str">
        <f aca="false">IF(L333=1,COUNTIFS($C$2:$C$1090,C333,$L$2:$L$1090,1),"")</f>
        <v/>
      </c>
      <c r="N333" s="12" t="str">
        <f aca="false">IF(L333=1,1+COUNTIFS($C$2:$C$1090,C333,$L$2:$L$1090,1,$G$2:$G$1090,"&gt;"&amp;G333),"")</f>
        <v/>
      </c>
      <c r="O333" s="12" t="str">
        <f aca="false">IF(L333=1,1+COUNTIFS($C$2:$C$1090,C333,$L$2:$L$1090,1,$H$2:$H$1090,"&gt;"&amp;H333),"")</f>
        <v/>
      </c>
      <c r="P333" s="12" t="str">
        <f aca="false">IF(L333=1,N333-O333,"")</f>
        <v/>
      </c>
      <c r="Q333" s="12" t="n">
        <f aca="false">INDEX(Directions!$D$2:$D$100,MATCH(C333,Directions!$A$2:$A$100,0))</f>
        <v>0</v>
      </c>
      <c r="R333" s="12" t="str">
        <f aca="false">IF(L333=1,P333*Q333,"")</f>
        <v/>
      </c>
      <c r="S333" s="12" t="str">
        <f aca="false">IF(L333&lt;&gt;1,"Excluded",IF(Q333=0,"No direction",IF(R333&gt;0,"Better",IF(R333&lt;0,"Worse","No change"))))</f>
        <v>Excluded</v>
      </c>
      <c r="T333" s="12" t="s">
        <v>314</v>
      </c>
      <c r="U333" s="12" t="str">
        <f aca="false">C333&amp;"|"&amp;E333</f>
        <v>F5_02|GBR</v>
      </c>
    </row>
    <row r="334" customFormat="false" ht="15" hidden="false" customHeight="false" outlineLevel="0" collapsed="false">
      <c r="A334" s="12" t="n">
        <v>5</v>
      </c>
      <c r="B334" s="12" t="s">
        <v>312</v>
      </c>
      <c r="C334" s="12" t="s">
        <v>116</v>
      </c>
      <c r="D334" s="12" t="s">
        <v>117</v>
      </c>
      <c r="E334" s="12" t="s">
        <v>284</v>
      </c>
      <c r="F334" s="12" t="s">
        <v>29</v>
      </c>
      <c r="G334" s="12" t="n">
        <v>45</v>
      </c>
      <c r="H334" s="12" t="n">
        <v>26.9</v>
      </c>
      <c r="I334" s="12" t="s">
        <v>293</v>
      </c>
      <c r="J334" s="12" t="n">
        <v>6</v>
      </c>
      <c r="K334" s="12" t="n">
        <v>7</v>
      </c>
      <c r="L334" s="28" t="n">
        <v>0</v>
      </c>
      <c r="M334" s="12" t="str">
        <f aca="false">IF(L334=1,COUNTIFS($C$2:$C$1090,C334,$L$2:$L$1090,1),"")</f>
        <v/>
      </c>
      <c r="N334" s="12" t="str">
        <f aca="false">IF(L334=1,1+COUNTIFS($C$2:$C$1090,C334,$L$2:$L$1090,1,$G$2:$G$1090,"&gt;"&amp;G334),"")</f>
        <v/>
      </c>
      <c r="O334" s="12" t="str">
        <f aca="false">IF(L334=1,1+COUNTIFS($C$2:$C$1090,C334,$L$2:$L$1090,1,$H$2:$H$1090,"&gt;"&amp;H334),"")</f>
        <v/>
      </c>
      <c r="P334" s="12" t="str">
        <f aca="false">IF(L334=1,N334-O334,"")</f>
        <v/>
      </c>
      <c r="Q334" s="12" t="n">
        <f aca="false">INDEX(Directions!$D$2:$D$100,MATCH(C334,Directions!$A$2:$A$100,0))</f>
        <v>0</v>
      </c>
      <c r="R334" s="12" t="str">
        <f aca="false">IF(L334=1,P334*Q334,"")</f>
        <v/>
      </c>
      <c r="S334" s="12" t="str">
        <f aca="false">IF(L334&lt;&gt;1,"Excluded",IF(Q334=0,"No direction",IF(R334&gt;0,"Better",IF(R334&lt;0,"Worse","No change"))))</f>
        <v>Excluded</v>
      </c>
      <c r="T334" s="12" t="s">
        <v>314</v>
      </c>
      <c r="U334" s="12" t="str">
        <f aca="false">C334&amp;"|"&amp;E334</f>
        <v>F5_02|DEU</v>
      </c>
    </row>
    <row r="335" customFormat="false" ht="15" hidden="false" customHeight="false" outlineLevel="0" collapsed="false">
      <c r="A335" s="12" t="n">
        <v>5</v>
      </c>
      <c r="B335" s="12" t="s">
        <v>312</v>
      </c>
      <c r="C335" s="12" t="s">
        <v>116</v>
      </c>
      <c r="D335" s="12" t="s">
        <v>117</v>
      </c>
      <c r="E335" s="12" t="s">
        <v>285</v>
      </c>
      <c r="F335" s="12" t="s">
        <v>30</v>
      </c>
      <c r="G335" s="12" t="n">
        <v>33</v>
      </c>
      <c r="H335" s="12" t="n">
        <v>15.2</v>
      </c>
      <c r="I335" s="12" t="s">
        <v>293</v>
      </c>
      <c r="J335" s="12" t="n">
        <v>10</v>
      </c>
      <c r="K335" s="12" t="n">
        <v>10</v>
      </c>
      <c r="L335" s="28" t="n">
        <v>0</v>
      </c>
      <c r="M335" s="12" t="str">
        <f aca="false">IF(L335=1,COUNTIFS($C$2:$C$1090,C335,$L$2:$L$1090,1),"")</f>
        <v/>
      </c>
      <c r="N335" s="12" t="str">
        <f aca="false">IF(L335=1,1+COUNTIFS($C$2:$C$1090,C335,$L$2:$L$1090,1,$G$2:$G$1090,"&gt;"&amp;G335),"")</f>
        <v/>
      </c>
      <c r="O335" s="12" t="str">
        <f aca="false">IF(L335=1,1+COUNTIFS($C$2:$C$1090,C335,$L$2:$L$1090,1,$H$2:$H$1090,"&gt;"&amp;H335),"")</f>
        <v/>
      </c>
      <c r="P335" s="12" t="str">
        <f aca="false">IF(L335=1,N335-O335,"")</f>
        <v/>
      </c>
      <c r="Q335" s="12" t="n">
        <f aca="false">INDEX(Directions!$D$2:$D$100,MATCH(C335,Directions!$A$2:$A$100,0))</f>
        <v>0</v>
      </c>
      <c r="R335" s="12" t="str">
        <f aca="false">IF(L335=1,P335*Q335,"")</f>
        <v/>
      </c>
      <c r="S335" s="12" t="str">
        <f aca="false">IF(L335&lt;&gt;1,"Excluded",IF(Q335=0,"No direction",IF(R335&gt;0,"Better",IF(R335&lt;0,"Worse","No change"))))</f>
        <v>Excluded</v>
      </c>
      <c r="T335" s="12" t="s">
        <v>314</v>
      </c>
      <c r="U335" s="12" t="str">
        <f aca="false">C335&amp;"|"&amp;E335</f>
        <v>F5_02|SWE</v>
      </c>
    </row>
    <row r="336" customFormat="false" ht="15" hidden="false" customHeight="false" outlineLevel="0" collapsed="false">
      <c r="A336" s="12" t="n">
        <v>5</v>
      </c>
      <c r="B336" s="12" t="s">
        <v>312</v>
      </c>
      <c r="C336" s="12" t="s">
        <v>116</v>
      </c>
      <c r="D336" s="12" t="s">
        <v>117</v>
      </c>
      <c r="E336" s="12" t="s">
        <v>286</v>
      </c>
      <c r="F336" s="12" t="s">
        <v>31</v>
      </c>
      <c r="G336" s="12" t="n">
        <v>54</v>
      </c>
      <c r="H336" s="12" t="n">
        <v>38.3</v>
      </c>
      <c r="I336" s="12" t="s">
        <v>293</v>
      </c>
      <c r="J336" s="12" t="n">
        <v>1</v>
      </c>
      <c r="K336" s="12" t="n">
        <v>4</v>
      </c>
      <c r="L336" s="28" t="n">
        <v>0</v>
      </c>
      <c r="M336" s="12" t="str">
        <f aca="false">IF(L336=1,COUNTIFS($C$2:$C$1090,C336,$L$2:$L$1090,1),"")</f>
        <v/>
      </c>
      <c r="N336" s="12" t="str">
        <f aca="false">IF(L336=1,1+COUNTIFS($C$2:$C$1090,C336,$L$2:$L$1090,1,$G$2:$G$1090,"&gt;"&amp;G336),"")</f>
        <v/>
      </c>
      <c r="O336" s="12" t="str">
        <f aca="false">IF(L336=1,1+COUNTIFS($C$2:$C$1090,C336,$L$2:$L$1090,1,$H$2:$H$1090,"&gt;"&amp;H336),"")</f>
        <v/>
      </c>
      <c r="P336" s="12" t="str">
        <f aca="false">IF(L336=1,N336-O336,"")</f>
        <v/>
      </c>
      <c r="Q336" s="12" t="n">
        <f aca="false">INDEX(Directions!$D$2:$D$100,MATCH(C336,Directions!$A$2:$A$100,0))</f>
        <v>0</v>
      </c>
      <c r="R336" s="12" t="str">
        <f aca="false">IF(L336=1,P336*Q336,"")</f>
        <v/>
      </c>
      <c r="S336" s="12" t="str">
        <f aca="false">IF(L336&lt;&gt;1,"Excluded",IF(Q336=0,"No direction",IF(R336&gt;0,"Better",IF(R336&lt;0,"Worse","No change"))))</f>
        <v>Excluded</v>
      </c>
      <c r="T336" s="12" t="s">
        <v>314</v>
      </c>
      <c r="U336" s="12" t="str">
        <f aca="false">C336&amp;"|"&amp;E336</f>
        <v>F5_02|FRA</v>
      </c>
    </row>
    <row r="337" customFormat="false" ht="15" hidden="false" customHeight="false" outlineLevel="0" collapsed="false">
      <c r="A337" s="12" t="n">
        <v>5</v>
      </c>
      <c r="B337" s="12" t="s">
        <v>312</v>
      </c>
      <c r="C337" s="12" t="s">
        <v>116</v>
      </c>
      <c r="D337" s="12" t="s">
        <v>117</v>
      </c>
      <c r="E337" s="12" t="s">
        <v>32</v>
      </c>
      <c r="F337" s="12" t="s">
        <v>32</v>
      </c>
      <c r="G337" s="12" t="n">
        <v>47</v>
      </c>
      <c r="H337" s="12" t="n">
        <v>48.4</v>
      </c>
      <c r="I337" s="12" t="s">
        <v>293</v>
      </c>
      <c r="J337" s="12" t="n">
        <v>4</v>
      </c>
      <c r="K337" s="12" t="n">
        <v>2</v>
      </c>
      <c r="L337" s="28" t="n">
        <v>0</v>
      </c>
      <c r="M337" s="12" t="str">
        <f aca="false">IF(L337=1,COUNTIFS($C$2:$C$1090,C337,$L$2:$L$1090,1),"")</f>
        <v/>
      </c>
      <c r="N337" s="12" t="str">
        <f aca="false">IF(L337=1,1+COUNTIFS($C$2:$C$1090,C337,$L$2:$L$1090,1,$G$2:$G$1090,"&gt;"&amp;G337),"")</f>
        <v/>
      </c>
      <c r="O337" s="12" t="str">
        <f aca="false">IF(L337=1,1+COUNTIFS($C$2:$C$1090,C337,$L$2:$L$1090,1,$H$2:$H$1090,"&gt;"&amp;H337),"")</f>
        <v/>
      </c>
      <c r="P337" s="12" t="str">
        <f aca="false">IF(L337=1,N337-O337,"")</f>
        <v/>
      </c>
      <c r="Q337" s="12" t="n">
        <f aca="false">INDEX(Directions!$D$2:$D$100,MATCH(C337,Directions!$A$2:$A$100,0))</f>
        <v>0</v>
      </c>
      <c r="R337" s="12" t="str">
        <f aca="false">IF(L337=1,P337*Q337,"")</f>
        <v/>
      </c>
      <c r="S337" s="12" t="str">
        <f aca="false">IF(L337&lt;&gt;1,"Excluded",IF(Q337=0,"No direction",IF(R337&gt;0,"Better",IF(R337&lt;0,"Worse","No change"))))</f>
        <v>Excluded</v>
      </c>
      <c r="T337" s="12" t="s">
        <v>314</v>
      </c>
      <c r="U337" s="12" t="str">
        <f aca="false">C337&amp;"|"&amp;E337</f>
        <v>F5_02|NLD</v>
      </c>
    </row>
    <row r="338" customFormat="false" ht="15" hidden="false" customHeight="false" outlineLevel="0" collapsed="false">
      <c r="A338" s="12" t="n">
        <v>5</v>
      </c>
      <c r="B338" s="12" t="s">
        <v>312</v>
      </c>
      <c r="C338" s="12" t="s">
        <v>116</v>
      </c>
      <c r="D338" s="12" t="s">
        <v>117</v>
      </c>
      <c r="E338" s="12" t="s">
        <v>33</v>
      </c>
      <c r="F338" s="12" t="s">
        <v>33</v>
      </c>
      <c r="G338" s="12" t="n">
        <v>48</v>
      </c>
      <c r="H338" s="12" t="n">
        <v>30.7</v>
      </c>
      <c r="I338" s="12" t="s">
        <v>293</v>
      </c>
      <c r="J338" s="12" t="n">
        <v>2</v>
      </c>
      <c r="K338" s="12" t="n">
        <v>5</v>
      </c>
      <c r="L338" s="28" t="n">
        <v>0</v>
      </c>
      <c r="M338" s="12" t="str">
        <f aca="false">IF(L338=1,COUNTIFS($C$2:$C$1090,C338,$L$2:$L$1090,1),"")</f>
        <v/>
      </c>
      <c r="N338" s="12" t="str">
        <f aca="false">IF(L338=1,1+COUNTIFS($C$2:$C$1090,C338,$L$2:$L$1090,1,$G$2:$G$1090,"&gt;"&amp;G338),"")</f>
        <v/>
      </c>
      <c r="O338" s="12" t="str">
        <f aca="false">IF(L338=1,1+COUNTIFS($C$2:$C$1090,C338,$L$2:$L$1090,1,$H$2:$H$1090,"&gt;"&amp;H338),"")</f>
        <v/>
      </c>
      <c r="P338" s="12" t="str">
        <f aca="false">IF(L338=1,N338-O338,"")</f>
        <v/>
      </c>
      <c r="Q338" s="12" t="n">
        <f aca="false">INDEX(Directions!$D$2:$D$100,MATCH(C338,Directions!$A$2:$A$100,0))</f>
        <v>0</v>
      </c>
      <c r="R338" s="12" t="str">
        <f aca="false">IF(L338=1,P338*Q338,"")</f>
        <v/>
      </c>
      <c r="S338" s="12" t="str">
        <f aca="false">IF(L338&lt;&gt;1,"Excluded",IF(Q338=0,"No direction",IF(R338&gt;0,"Better",IF(R338&lt;0,"Worse","No change"))))</f>
        <v>Excluded</v>
      </c>
      <c r="T338" s="12" t="s">
        <v>314</v>
      </c>
      <c r="U338" s="12" t="str">
        <f aca="false">C338&amp;"|"&amp;E338</f>
        <v>F5_02|CHE</v>
      </c>
    </row>
    <row r="339" customFormat="false" ht="15" hidden="false" customHeight="false" outlineLevel="0" collapsed="false">
      <c r="A339" s="12" t="n">
        <v>5</v>
      </c>
      <c r="B339" s="12" t="s">
        <v>312</v>
      </c>
      <c r="C339" s="12" t="s">
        <v>116</v>
      </c>
      <c r="D339" s="12" t="s">
        <v>117</v>
      </c>
      <c r="E339" s="12" t="s">
        <v>287</v>
      </c>
      <c r="F339" s="12" t="s">
        <v>34</v>
      </c>
      <c r="G339" s="12" t="n">
        <v>22</v>
      </c>
      <c r="H339" s="12" t="n">
        <v>20.9</v>
      </c>
      <c r="I339" s="12" t="s">
        <v>293</v>
      </c>
      <c r="J339" s="12" t="n">
        <v>11</v>
      </c>
      <c r="K339" s="12" t="n">
        <v>9</v>
      </c>
      <c r="L339" s="28" t="n">
        <v>0</v>
      </c>
      <c r="M339" s="12" t="str">
        <f aca="false">IF(L339=1,COUNTIFS($C$2:$C$1090,C339,$L$2:$L$1090,1),"")</f>
        <v/>
      </c>
      <c r="N339" s="12" t="str">
        <f aca="false">IF(L339=1,1+COUNTIFS($C$2:$C$1090,C339,$L$2:$L$1090,1,$G$2:$G$1090,"&gt;"&amp;G339),"")</f>
        <v/>
      </c>
      <c r="O339" s="12" t="str">
        <f aca="false">IF(L339=1,1+COUNTIFS($C$2:$C$1090,C339,$L$2:$L$1090,1,$H$2:$H$1090,"&gt;"&amp;H339),"")</f>
        <v/>
      </c>
      <c r="P339" s="12" t="str">
        <f aca="false">IF(L339=1,N339-O339,"")</f>
        <v/>
      </c>
      <c r="Q339" s="12" t="n">
        <f aca="false">INDEX(Directions!$D$2:$D$100,MATCH(C339,Directions!$A$2:$A$100,0))</f>
        <v>0</v>
      </c>
      <c r="R339" s="12" t="str">
        <f aca="false">IF(L339=1,P339*Q339,"")</f>
        <v/>
      </c>
      <c r="S339" s="12" t="str">
        <f aca="false">IF(L339&lt;&gt;1,"Excluded",IF(Q339=0,"No direction",IF(R339&gt;0,"Better",IF(R339&lt;0,"Worse","No change"))))</f>
        <v>Excluded</v>
      </c>
      <c r="T339" s="12" t="s">
        <v>314</v>
      </c>
      <c r="U339" s="12" t="str">
        <f aca="false">C339&amp;"|"&amp;E339</f>
        <v>F5_02|DNK</v>
      </c>
    </row>
    <row r="340" customFormat="false" ht="15" hidden="false" customHeight="false" outlineLevel="0" collapsed="false">
      <c r="A340" s="12" t="n">
        <v>5</v>
      </c>
      <c r="B340" s="12" t="s">
        <v>312</v>
      </c>
      <c r="C340" s="12" t="s">
        <v>116</v>
      </c>
      <c r="D340" s="12" t="s">
        <v>117</v>
      </c>
      <c r="E340" s="12" t="s">
        <v>288</v>
      </c>
      <c r="F340" s="12" t="s">
        <v>35</v>
      </c>
      <c r="G340" s="12" t="n">
        <v>48</v>
      </c>
      <c r="H340" s="12" t="n">
        <v>50.5</v>
      </c>
      <c r="I340" s="12" t="s">
        <v>293</v>
      </c>
      <c r="J340" s="12" t="n">
        <v>3</v>
      </c>
      <c r="K340" s="12" t="n">
        <v>1</v>
      </c>
      <c r="L340" s="28" t="n">
        <v>0</v>
      </c>
      <c r="M340" s="12" t="str">
        <f aca="false">IF(L340=1,COUNTIFS($C$2:$C$1090,C340,$L$2:$L$1090,1),"")</f>
        <v/>
      </c>
      <c r="N340" s="12" t="str">
        <f aca="false">IF(L340=1,1+COUNTIFS($C$2:$C$1090,C340,$L$2:$L$1090,1,$G$2:$G$1090,"&gt;"&amp;G340),"")</f>
        <v/>
      </c>
      <c r="O340" s="12" t="str">
        <f aca="false">IF(L340=1,1+COUNTIFS($C$2:$C$1090,C340,$L$2:$L$1090,1,$H$2:$H$1090,"&gt;"&amp;H340),"")</f>
        <v/>
      </c>
      <c r="P340" s="12" t="str">
        <f aca="false">IF(L340=1,N340-O340,"")</f>
        <v/>
      </c>
      <c r="Q340" s="12" t="n">
        <f aca="false">INDEX(Directions!$D$2:$D$100,MATCH(C340,Directions!$A$2:$A$100,0))</f>
        <v>0</v>
      </c>
      <c r="R340" s="12" t="str">
        <f aca="false">IF(L340=1,P340*Q340,"")</f>
        <v/>
      </c>
      <c r="S340" s="12" t="str">
        <f aca="false">IF(L340&lt;&gt;1,"Excluded",IF(Q340=0,"No direction",IF(R340&gt;0,"Better",IF(R340&lt;0,"Worse","No change"))))</f>
        <v>Excluded</v>
      </c>
      <c r="T340" s="12" t="s">
        <v>314</v>
      </c>
      <c r="U340" s="12" t="str">
        <f aca="false">C340&amp;"|"&amp;E340</f>
        <v>F5_02|CAN</v>
      </c>
    </row>
    <row r="341" customFormat="false" ht="15" hidden="false" customHeight="false" outlineLevel="0" collapsed="false">
      <c r="A341" s="12" t="n">
        <v>5</v>
      </c>
      <c r="B341" s="12" t="s">
        <v>312</v>
      </c>
      <c r="C341" s="12" t="s">
        <v>116</v>
      </c>
      <c r="D341" s="12" t="s">
        <v>117</v>
      </c>
      <c r="E341" s="12" t="s">
        <v>289</v>
      </c>
      <c r="F341" s="12" t="s">
        <v>36</v>
      </c>
      <c r="G341" s="12" t="n">
        <v>43</v>
      </c>
      <c r="H341" s="12" t="s">
        <v>302</v>
      </c>
      <c r="I341" s="12"/>
      <c r="J341" s="12" t="n">
        <v>9</v>
      </c>
      <c r="K341" s="12" t="s">
        <v>302</v>
      </c>
      <c r="L341" s="28" t="n">
        <v>0</v>
      </c>
      <c r="M341" s="12" t="str">
        <f aca="false">IF(L341=1,COUNTIFS($C$2:$C$1090,C341,$L$2:$L$1090,1),"")</f>
        <v/>
      </c>
      <c r="N341" s="12" t="str">
        <f aca="false">IF(L341=1,1+COUNTIFS($C$2:$C$1090,C341,$L$2:$L$1090,1,$G$2:$G$1090,"&gt;"&amp;G341),"")</f>
        <v/>
      </c>
      <c r="O341" s="12" t="str">
        <f aca="false">IF(L341=1,1+COUNTIFS($C$2:$C$1090,C341,$L$2:$L$1090,1,$H$2:$H$1090,"&gt;"&amp;H341),"")</f>
        <v/>
      </c>
      <c r="P341" s="12" t="str">
        <f aca="false">IF(L341=1,N341-O341,"")</f>
        <v/>
      </c>
      <c r="Q341" s="12" t="n">
        <f aca="false">INDEX(Directions!$D$2:$D$100,MATCH(C341,Directions!$A$2:$A$100,0))</f>
        <v>0</v>
      </c>
      <c r="R341" s="12" t="str">
        <f aca="false">IF(L341=1,P341*Q341,"")</f>
        <v/>
      </c>
      <c r="S341" s="12" t="str">
        <f aca="false">IF(L341&lt;&gt;1,"Excluded",IF(Q341=0,"No direction",IF(R341&gt;0,"Better",IF(R341&lt;0,"Worse","No change"))))</f>
        <v>Excluded</v>
      </c>
      <c r="T341" s="12" t="s">
        <v>303</v>
      </c>
      <c r="U341" s="12" t="str">
        <f aca="false">C341&amp;"|"&amp;E341</f>
        <v>F5_02|JPN</v>
      </c>
    </row>
    <row r="342" customFormat="false" ht="15" hidden="false" customHeight="false" outlineLevel="0" collapsed="false">
      <c r="A342" s="12" t="n">
        <v>5</v>
      </c>
      <c r="B342" s="12" t="s">
        <v>312</v>
      </c>
      <c r="C342" s="12" t="s">
        <v>116</v>
      </c>
      <c r="D342" s="12" t="s">
        <v>117</v>
      </c>
      <c r="E342" s="12" t="s">
        <v>290</v>
      </c>
      <c r="F342" s="12" t="s">
        <v>37</v>
      </c>
      <c r="G342" s="12" t="n">
        <v>45</v>
      </c>
      <c r="H342" s="12" t="n">
        <v>43.7</v>
      </c>
      <c r="I342" s="12" t="s">
        <v>293</v>
      </c>
      <c r="J342" s="12" t="n">
        <v>7</v>
      </c>
      <c r="K342" s="12" t="n">
        <v>3</v>
      </c>
      <c r="L342" s="28" t="n">
        <v>0</v>
      </c>
      <c r="M342" s="12" t="str">
        <f aca="false">IF(L342=1,COUNTIFS($C$2:$C$1090,C342,$L$2:$L$1090,1),"")</f>
        <v/>
      </c>
      <c r="N342" s="12" t="str">
        <f aca="false">IF(L342=1,1+COUNTIFS($C$2:$C$1090,C342,$L$2:$L$1090,1,$G$2:$G$1090,"&gt;"&amp;G342),"")</f>
        <v/>
      </c>
      <c r="O342" s="12" t="str">
        <f aca="false">IF(L342=1,1+COUNTIFS($C$2:$C$1090,C342,$L$2:$L$1090,1,$H$2:$H$1090,"&gt;"&amp;H342),"")</f>
        <v/>
      </c>
      <c r="P342" s="12" t="str">
        <f aca="false">IF(L342=1,N342-O342,"")</f>
        <v/>
      </c>
      <c r="Q342" s="12" t="n">
        <f aca="false">INDEX(Directions!$D$2:$D$100,MATCH(C342,Directions!$A$2:$A$100,0))</f>
        <v>0</v>
      </c>
      <c r="R342" s="12" t="str">
        <f aca="false">IF(L342=1,P342*Q342,"")</f>
        <v/>
      </c>
      <c r="S342" s="12" t="str">
        <f aca="false">IF(L342&lt;&gt;1,"Excluded",IF(Q342=0,"No direction",IF(R342&gt;0,"Better",IF(R342&lt;0,"Worse","No change"))))</f>
        <v>Excluded</v>
      </c>
      <c r="T342" s="12" t="s">
        <v>314</v>
      </c>
      <c r="U342" s="12" t="str">
        <f aca="false">C342&amp;"|"&amp;E342</f>
        <v>F5_02|AUS</v>
      </c>
    </row>
    <row r="343" customFormat="false" ht="15" hidden="false" customHeight="false" outlineLevel="0" collapsed="false">
      <c r="A343" s="12" t="n">
        <v>5</v>
      </c>
      <c r="B343" s="12" t="s">
        <v>312</v>
      </c>
      <c r="C343" s="12" t="s">
        <v>118</v>
      </c>
      <c r="D343" s="12" t="s">
        <v>119</v>
      </c>
      <c r="E343" s="12" t="s">
        <v>281</v>
      </c>
      <c r="F343" s="12" t="s">
        <v>27</v>
      </c>
      <c r="G343" s="12" t="n">
        <v>57</v>
      </c>
      <c r="H343" s="12" t="n">
        <v>78.5</v>
      </c>
      <c r="I343" s="12" t="s">
        <v>294</v>
      </c>
      <c r="J343" s="12" t="n">
        <v>3</v>
      </c>
      <c r="K343" s="12" t="n">
        <v>3</v>
      </c>
      <c r="L343" s="28" t="n">
        <v>0</v>
      </c>
      <c r="M343" s="12" t="str">
        <f aca="false">IF(L343=1,COUNTIFS($C$2:$C$1090,C343,$L$2:$L$1090,1),"")</f>
        <v/>
      </c>
      <c r="N343" s="12" t="str">
        <f aca="false">IF(L343=1,1+COUNTIFS($C$2:$C$1090,C343,$L$2:$L$1090,1,$G$2:$G$1090,"&gt;"&amp;G343),"")</f>
        <v/>
      </c>
      <c r="O343" s="12" t="str">
        <f aca="false">IF(L343=1,1+COUNTIFS($C$2:$C$1090,C343,$L$2:$L$1090,1,$H$2:$H$1090,"&gt;"&amp;H343),"")</f>
        <v/>
      </c>
      <c r="P343" s="12" t="str">
        <f aca="false">IF(L343=1,N343-O343,"")</f>
        <v/>
      </c>
      <c r="Q343" s="12" t="n">
        <f aca="false">INDEX(Directions!$D$2:$D$100,MATCH(C343,Directions!$A$2:$A$100,0))</f>
        <v>0</v>
      </c>
      <c r="R343" s="12" t="str">
        <f aca="false">IF(L343=1,P343*Q343,"")</f>
        <v/>
      </c>
      <c r="S343" s="12" t="str">
        <f aca="false">IF(L343&lt;&gt;1,"Excluded",IF(Q343=0,"No direction",IF(R343&gt;0,"Better",IF(R343&lt;0,"Worse","No change"))))</f>
        <v>Excluded</v>
      </c>
      <c r="T343" s="12" t="s">
        <v>315</v>
      </c>
      <c r="U343" s="12" t="str">
        <f aca="false">C343&amp;"|"&amp;E343</f>
        <v>F5_03|USA</v>
      </c>
    </row>
    <row r="344" customFormat="false" ht="15" hidden="false" customHeight="false" outlineLevel="0" collapsed="false">
      <c r="A344" s="12" t="n">
        <v>5</v>
      </c>
      <c r="B344" s="12" t="s">
        <v>312</v>
      </c>
      <c r="C344" s="12" t="s">
        <v>118</v>
      </c>
      <c r="D344" s="12" t="s">
        <v>119</v>
      </c>
      <c r="E344" s="12" t="s">
        <v>283</v>
      </c>
      <c r="F344" s="12" t="s">
        <v>28</v>
      </c>
      <c r="G344" s="12" t="n">
        <v>55</v>
      </c>
      <c r="H344" s="12" t="n">
        <v>71</v>
      </c>
      <c r="I344" s="12" t="s">
        <v>293</v>
      </c>
      <c r="J344" s="12" t="n">
        <v>5</v>
      </c>
      <c r="K344" s="12" t="n">
        <v>5</v>
      </c>
      <c r="L344" s="28" t="n">
        <v>0</v>
      </c>
      <c r="M344" s="12" t="str">
        <f aca="false">IF(L344=1,COUNTIFS($C$2:$C$1090,C344,$L$2:$L$1090,1),"")</f>
        <v/>
      </c>
      <c r="N344" s="12" t="str">
        <f aca="false">IF(L344=1,1+COUNTIFS($C$2:$C$1090,C344,$L$2:$L$1090,1,$G$2:$G$1090,"&gt;"&amp;G344),"")</f>
        <v/>
      </c>
      <c r="O344" s="12" t="str">
        <f aca="false">IF(L344=1,1+COUNTIFS($C$2:$C$1090,C344,$L$2:$L$1090,1,$H$2:$H$1090,"&gt;"&amp;H344),"")</f>
        <v/>
      </c>
      <c r="P344" s="12" t="str">
        <f aca="false">IF(L344=1,N344-O344,"")</f>
        <v/>
      </c>
      <c r="Q344" s="12" t="n">
        <f aca="false">INDEX(Directions!$D$2:$D$100,MATCH(C344,Directions!$A$2:$A$100,0))</f>
        <v>0</v>
      </c>
      <c r="R344" s="12" t="str">
        <f aca="false">IF(L344=1,P344*Q344,"")</f>
        <v/>
      </c>
      <c r="S344" s="12" t="str">
        <f aca="false">IF(L344&lt;&gt;1,"Excluded",IF(Q344=0,"No direction",IF(R344&gt;0,"Better",IF(R344&lt;0,"Worse","No change"))))</f>
        <v>Excluded</v>
      </c>
      <c r="T344" s="12" t="s">
        <v>315</v>
      </c>
      <c r="U344" s="12" t="str">
        <f aca="false">C344&amp;"|"&amp;E344</f>
        <v>F5_03|GBR</v>
      </c>
    </row>
    <row r="345" customFormat="false" ht="15" hidden="false" customHeight="false" outlineLevel="0" collapsed="false">
      <c r="A345" s="12" t="n">
        <v>5</v>
      </c>
      <c r="B345" s="12" t="s">
        <v>312</v>
      </c>
      <c r="C345" s="12" t="s">
        <v>118</v>
      </c>
      <c r="D345" s="12" t="s">
        <v>119</v>
      </c>
      <c r="E345" s="12" t="s">
        <v>284</v>
      </c>
      <c r="F345" s="12" t="s">
        <v>29</v>
      </c>
      <c r="G345" s="12" t="n">
        <v>55</v>
      </c>
      <c r="H345" s="12" t="n">
        <v>73.1</v>
      </c>
      <c r="I345" s="12" t="s">
        <v>293</v>
      </c>
      <c r="J345" s="12" t="n">
        <v>6</v>
      </c>
      <c r="K345" s="12" t="n">
        <v>4</v>
      </c>
      <c r="L345" s="28" t="n">
        <v>0</v>
      </c>
      <c r="M345" s="12" t="str">
        <f aca="false">IF(L345=1,COUNTIFS($C$2:$C$1090,C345,$L$2:$L$1090,1),"")</f>
        <v/>
      </c>
      <c r="N345" s="12" t="str">
        <f aca="false">IF(L345=1,1+COUNTIFS($C$2:$C$1090,C345,$L$2:$L$1090,1,$G$2:$G$1090,"&gt;"&amp;G345),"")</f>
        <v/>
      </c>
      <c r="O345" s="12" t="str">
        <f aca="false">IF(L345=1,1+COUNTIFS($C$2:$C$1090,C345,$L$2:$L$1090,1,$H$2:$H$1090,"&gt;"&amp;H345),"")</f>
        <v/>
      </c>
      <c r="P345" s="12" t="str">
        <f aca="false">IF(L345=1,N345-O345,"")</f>
        <v/>
      </c>
      <c r="Q345" s="12" t="n">
        <f aca="false">INDEX(Directions!$D$2:$D$100,MATCH(C345,Directions!$A$2:$A$100,0))</f>
        <v>0</v>
      </c>
      <c r="R345" s="12" t="str">
        <f aca="false">IF(L345=1,P345*Q345,"")</f>
        <v/>
      </c>
      <c r="S345" s="12" t="str">
        <f aca="false">IF(L345&lt;&gt;1,"Excluded",IF(Q345=0,"No direction",IF(R345&gt;0,"Better",IF(R345&lt;0,"Worse","No change"))))</f>
        <v>Excluded</v>
      </c>
      <c r="T345" s="12" t="s">
        <v>315</v>
      </c>
      <c r="U345" s="12" t="str">
        <f aca="false">C345&amp;"|"&amp;E345</f>
        <v>F5_03|DEU</v>
      </c>
    </row>
    <row r="346" customFormat="false" ht="15" hidden="false" customHeight="false" outlineLevel="0" collapsed="false">
      <c r="A346" s="12" t="n">
        <v>5</v>
      </c>
      <c r="B346" s="12" t="s">
        <v>312</v>
      </c>
      <c r="C346" s="12" t="s">
        <v>118</v>
      </c>
      <c r="D346" s="12" t="s">
        <v>119</v>
      </c>
      <c r="E346" s="12" t="s">
        <v>285</v>
      </c>
      <c r="F346" s="12" t="s">
        <v>30</v>
      </c>
      <c r="G346" s="12" t="n">
        <v>67</v>
      </c>
      <c r="H346" s="12" t="n">
        <v>84.8</v>
      </c>
      <c r="I346" s="12" t="s">
        <v>293</v>
      </c>
      <c r="J346" s="12" t="n">
        <v>2</v>
      </c>
      <c r="K346" s="12" t="n">
        <v>1</v>
      </c>
      <c r="L346" s="28" t="n">
        <v>0</v>
      </c>
      <c r="M346" s="12" t="str">
        <f aca="false">IF(L346=1,COUNTIFS($C$2:$C$1090,C346,$L$2:$L$1090,1),"")</f>
        <v/>
      </c>
      <c r="N346" s="12" t="str">
        <f aca="false">IF(L346=1,1+COUNTIFS($C$2:$C$1090,C346,$L$2:$L$1090,1,$G$2:$G$1090,"&gt;"&amp;G346),"")</f>
        <v/>
      </c>
      <c r="O346" s="12" t="str">
        <f aca="false">IF(L346=1,1+COUNTIFS($C$2:$C$1090,C346,$L$2:$L$1090,1,$H$2:$H$1090,"&gt;"&amp;H346),"")</f>
        <v/>
      </c>
      <c r="P346" s="12" t="str">
        <f aca="false">IF(L346=1,N346-O346,"")</f>
        <v/>
      </c>
      <c r="Q346" s="12" t="n">
        <f aca="false">INDEX(Directions!$D$2:$D$100,MATCH(C346,Directions!$A$2:$A$100,0))</f>
        <v>0</v>
      </c>
      <c r="R346" s="12" t="str">
        <f aca="false">IF(L346=1,P346*Q346,"")</f>
        <v/>
      </c>
      <c r="S346" s="12" t="str">
        <f aca="false">IF(L346&lt;&gt;1,"Excluded",IF(Q346=0,"No direction",IF(R346&gt;0,"Better",IF(R346&lt;0,"Worse","No change"))))</f>
        <v>Excluded</v>
      </c>
      <c r="T346" s="12" t="s">
        <v>315</v>
      </c>
      <c r="U346" s="12" t="str">
        <f aca="false">C346&amp;"|"&amp;E346</f>
        <v>F5_03|SWE</v>
      </c>
    </row>
    <row r="347" customFormat="false" ht="15" hidden="false" customHeight="false" outlineLevel="0" collapsed="false">
      <c r="A347" s="12" t="n">
        <v>5</v>
      </c>
      <c r="B347" s="12" t="s">
        <v>312</v>
      </c>
      <c r="C347" s="12" t="s">
        <v>118</v>
      </c>
      <c r="D347" s="12" t="s">
        <v>119</v>
      </c>
      <c r="E347" s="12" t="s">
        <v>286</v>
      </c>
      <c r="F347" s="12" t="s">
        <v>31</v>
      </c>
      <c r="G347" s="12" t="n">
        <v>46</v>
      </c>
      <c r="H347" s="12" t="n">
        <v>61.7</v>
      </c>
      <c r="I347" s="12" t="s">
        <v>293</v>
      </c>
      <c r="J347" s="12" t="n">
        <v>11</v>
      </c>
      <c r="K347" s="12" t="n">
        <v>7</v>
      </c>
      <c r="L347" s="28" t="n">
        <v>0</v>
      </c>
      <c r="M347" s="12" t="str">
        <f aca="false">IF(L347=1,COUNTIFS($C$2:$C$1090,C347,$L$2:$L$1090,1),"")</f>
        <v/>
      </c>
      <c r="N347" s="12" t="str">
        <f aca="false">IF(L347=1,1+COUNTIFS($C$2:$C$1090,C347,$L$2:$L$1090,1,$G$2:$G$1090,"&gt;"&amp;G347),"")</f>
        <v/>
      </c>
      <c r="O347" s="12" t="str">
        <f aca="false">IF(L347=1,1+COUNTIFS($C$2:$C$1090,C347,$L$2:$L$1090,1,$H$2:$H$1090,"&gt;"&amp;H347),"")</f>
        <v/>
      </c>
      <c r="P347" s="12" t="str">
        <f aca="false">IF(L347=1,N347-O347,"")</f>
        <v/>
      </c>
      <c r="Q347" s="12" t="n">
        <f aca="false">INDEX(Directions!$D$2:$D$100,MATCH(C347,Directions!$A$2:$A$100,0))</f>
        <v>0</v>
      </c>
      <c r="R347" s="12" t="str">
        <f aca="false">IF(L347=1,P347*Q347,"")</f>
        <v/>
      </c>
      <c r="S347" s="12" t="str">
        <f aca="false">IF(L347&lt;&gt;1,"Excluded",IF(Q347=0,"No direction",IF(R347&gt;0,"Better",IF(R347&lt;0,"Worse","No change"))))</f>
        <v>Excluded</v>
      </c>
      <c r="T347" s="12" t="s">
        <v>315</v>
      </c>
      <c r="U347" s="12" t="str">
        <f aca="false">C347&amp;"|"&amp;E347</f>
        <v>F5_03|FRA</v>
      </c>
    </row>
    <row r="348" customFormat="false" ht="15" hidden="false" customHeight="false" outlineLevel="0" collapsed="false">
      <c r="A348" s="12" t="n">
        <v>5</v>
      </c>
      <c r="B348" s="12" t="s">
        <v>312</v>
      </c>
      <c r="C348" s="12" t="s">
        <v>118</v>
      </c>
      <c r="D348" s="12" t="s">
        <v>119</v>
      </c>
      <c r="E348" s="12" t="s">
        <v>32</v>
      </c>
      <c r="F348" s="12" t="s">
        <v>32</v>
      </c>
      <c r="G348" s="12" t="n">
        <v>53</v>
      </c>
      <c r="H348" s="12" t="n">
        <v>51.6</v>
      </c>
      <c r="I348" s="12" t="s">
        <v>293</v>
      </c>
      <c r="J348" s="12" t="n">
        <v>8</v>
      </c>
      <c r="K348" s="12" t="n">
        <v>9</v>
      </c>
      <c r="L348" s="28" t="n">
        <v>0</v>
      </c>
      <c r="M348" s="12" t="str">
        <f aca="false">IF(L348=1,COUNTIFS($C$2:$C$1090,C348,$L$2:$L$1090,1),"")</f>
        <v/>
      </c>
      <c r="N348" s="12" t="str">
        <f aca="false">IF(L348=1,1+COUNTIFS($C$2:$C$1090,C348,$L$2:$L$1090,1,$G$2:$G$1090,"&gt;"&amp;G348),"")</f>
        <v/>
      </c>
      <c r="O348" s="12" t="str">
        <f aca="false">IF(L348=1,1+COUNTIFS($C$2:$C$1090,C348,$L$2:$L$1090,1,$H$2:$H$1090,"&gt;"&amp;H348),"")</f>
        <v/>
      </c>
      <c r="P348" s="12" t="str">
        <f aca="false">IF(L348=1,N348-O348,"")</f>
        <v/>
      </c>
      <c r="Q348" s="12" t="n">
        <f aca="false">INDEX(Directions!$D$2:$D$100,MATCH(C348,Directions!$A$2:$A$100,0))</f>
        <v>0</v>
      </c>
      <c r="R348" s="12" t="str">
        <f aca="false">IF(L348=1,P348*Q348,"")</f>
        <v/>
      </c>
      <c r="S348" s="12" t="str">
        <f aca="false">IF(L348&lt;&gt;1,"Excluded",IF(Q348=0,"No direction",IF(R348&gt;0,"Better",IF(R348&lt;0,"Worse","No change"))))</f>
        <v>Excluded</v>
      </c>
      <c r="T348" s="12" t="s">
        <v>315</v>
      </c>
      <c r="U348" s="12" t="str">
        <f aca="false">C348&amp;"|"&amp;E348</f>
        <v>F5_03|NLD</v>
      </c>
    </row>
    <row r="349" customFormat="false" ht="15" hidden="false" customHeight="false" outlineLevel="0" collapsed="false">
      <c r="A349" s="12" t="n">
        <v>5</v>
      </c>
      <c r="B349" s="12" t="s">
        <v>312</v>
      </c>
      <c r="C349" s="12" t="s">
        <v>118</v>
      </c>
      <c r="D349" s="12" t="s">
        <v>119</v>
      </c>
      <c r="E349" s="12" t="s">
        <v>33</v>
      </c>
      <c r="F349" s="12" t="s">
        <v>33</v>
      </c>
      <c r="G349" s="12" t="n">
        <v>52</v>
      </c>
      <c r="H349" s="12" t="n">
        <v>69.3</v>
      </c>
      <c r="I349" s="12" t="s">
        <v>293</v>
      </c>
      <c r="J349" s="12" t="n">
        <v>9</v>
      </c>
      <c r="K349" s="12" t="n">
        <v>6</v>
      </c>
      <c r="L349" s="28" t="n">
        <v>0</v>
      </c>
      <c r="M349" s="12" t="str">
        <f aca="false">IF(L349=1,COUNTIFS($C$2:$C$1090,C349,$L$2:$L$1090,1),"")</f>
        <v/>
      </c>
      <c r="N349" s="12" t="str">
        <f aca="false">IF(L349=1,1+COUNTIFS($C$2:$C$1090,C349,$L$2:$L$1090,1,$G$2:$G$1090,"&gt;"&amp;G349),"")</f>
        <v/>
      </c>
      <c r="O349" s="12" t="str">
        <f aca="false">IF(L349=1,1+COUNTIFS($C$2:$C$1090,C349,$L$2:$L$1090,1,$H$2:$H$1090,"&gt;"&amp;H349),"")</f>
        <v/>
      </c>
      <c r="P349" s="12" t="str">
        <f aca="false">IF(L349=1,N349-O349,"")</f>
        <v/>
      </c>
      <c r="Q349" s="12" t="n">
        <f aca="false">INDEX(Directions!$D$2:$D$100,MATCH(C349,Directions!$A$2:$A$100,0))</f>
        <v>0</v>
      </c>
      <c r="R349" s="12" t="str">
        <f aca="false">IF(L349=1,P349*Q349,"")</f>
        <v/>
      </c>
      <c r="S349" s="12" t="str">
        <f aca="false">IF(L349&lt;&gt;1,"Excluded",IF(Q349=0,"No direction",IF(R349&gt;0,"Better",IF(R349&lt;0,"Worse","No change"))))</f>
        <v>Excluded</v>
      </c>
      <c r="T349" s="12" t="s">
        <v>315</v>
      </c>
      <c r="U349" s="12" t="str">
        <f aca="false">C349&amp;"|"&amp;E349</f>
        <v>F5_03|CHE</v>
      </c>
    </row>
    <row r="350" customFormat="false" ht="15" hidden="false" customHeight="false" outlineLevel="0" collapsed="false">
      <c r="A350" s="12" t="n">
        <v>5</v>
      </c>
      <c r="B350" s="12" t="s">
        <v>312</v>
      </c>
      <c r="C350" s="12" t="s">
        <v>118</v>
      </c>
      <c r="D350" s="12" t="s">
        <v>119</v>
      </c>
      <c r="E350" s="12" t="s">
        <v>287</v>
      </c>
      <c r="F350" s="12" t="s">
        <v>34</v>
      </c>
      <c r="G350" s="12" t="n">
        <v>78</v>
      </c>
      <c r="H350" s="12" t="n">
        <v>79.1</v>
      </c>
      <c r="I350" s="12" t="s">
        <v>293</v>
      </c>
      <c r="J350" s="12" t="n">
        <v>1</v>
      </c>
      <c r="K350" s="12" t="n">
        <v>2</v>
      </c>
      <c r="L350" s="28" t="n">
        <v>0</v>
      </c>
      <c r="M350" s="12" t="str">
        <f aca="false">IF(L350=1,COUNTIFS($C$2:$C$1090,C350,$L$2:$L$1090,1),"")</f>
        <v/>
      </c>
      <c r="N350" s="12" t="str">
        <f aca="false">IF(L350=1,1+COUNTIFS($C$2:$C$1090,C350,$L$2:$L$1090,1,$G$2:$G$1090,"&gt;"&amp;G350),"")</f>
        <v/>
      </c>
      <c r="O350" s="12" t="str">
        <f aca="false">IF(L350=1,1+COUNTIFS($C$2:$C$1090,C350,$L$2:$L$1090,1,$H$2:$H$1090,"&gt;"&amp;H350),"")</f>
        <v/>
      </c>
      <c r="P350" s="12" t="str">
        <f aca="false">IF(L350=1,N350-O350,"")</f>
        <v/>
      </c>
      <c r="Q350" s="12" t="n">
        <f aca="false">INDEX(Directions!$D$2:$D$100,MATCH(C350,Directions!$A$2:$A$100,0))</f>
        <v>0</v>
      </c>
      <c r="R350" s="12" t="str">
        <f aca="false">IF(L350=1,P350*Q350,"")</f>
        <v/>
      </c>
      <c r="S350" s="12" t="str">
        <f aca="false">IF(L350&lt;&gt;1,"Excluded",IF(Q350=0,"No direction",IF(R350&gt;0,"Better",IF(R350&lt;0,"Worse","No change"))))</f>
        <v>Excluded</v>
      </c>
      <c r="T350" s="12" t="s">
        <v>315</v>
      </c>
      <c r="U350" s="12" t="str">
        <f aca="false">C350&amp;"|"&amp;E350</f>
        <v>F5_03|DNK</v>
      </c>
    </row>
    <row r="351" customFormat="false" ht="15" hidden="false" customHeight="false" outlineLevel="0" collapsed="false">
      <c r="A351" s="12" t="n">
        <v>5</v>
      </c>
      <c r="B351" s="12" t="s">
        <v>312</v>
      </c>
      <c r="C351" s="12" t="s">
        <v>118</v>
      </c>
      <c r="D351" s="12" t="s">
        <v>119</v>
      </c>
      <c r="E351" s="12" t="s">
        <v>288</v>
      </c>
      <c r="F351" s="12" t="s">
        <v>35</v>
      </c>
      <c r="G351" s="12" t="n">
        <v>52</v>
      </c>
      <c r="H351" s="12" t="n">
        <v>49.5</v>
      </c>
      <c r="I351" s="12" t="s">
        <v>293</v>
      </c>
      <c r="J351" s="12" t="n">
        <v>10</v>
      </c>
      <c r="K351" s="12" t="n">
        <v>10</v>
      </c>
      <c r="L351" s="28" t="n">
        <v>0</v>
      </c>
      <c r="M351" s="12" t="str">
        <f aca="false">IF(L351=1,COUNTIFS($C$2:$C$1090,C351,$L$2:$L$1090,1),"")</f>
        <v/>
      </c>
      <c r="N351" s="12" t="str">
        <f aca="false">IF(L351=1,1+COUNTIFS($C$2:$C$1090,C351,$L$2:$L$1090,1,$G$2:$G$1090,"&gt;"&amp;G351),"")</f>
        <v/>
      </c>
      <c r="O351" s="12" t="str">
        <f aca="false">IF(L351=1,1+COUNTIFS($C$2:$C$1090,C351,$L$2:$L$1090,1,$H$2:$H$1090,"&gt;"&amp;H351),"")</f>
        <v/>
      </c>
      <c r="P351" s="12" t="str">
        <f aca="false">IF(L351=1,N351-O351,"")</f>
        <v/>
      </c>
      <c r="Q351" s="12" t="n">
        <f aca="false">INDEX(Directions!$D$2:$D$100,MATCH(C351,Directions!$A$2:$A$100,0))</f>
        <v>0</v>
      </c>
      <c r="R351" s="12" t="str">
        <f aca="false">IF(L351=1,P351*Q351,"")</f>
        <v/>
      </c>
      <c r="S351" s="12" t="str">
        <f aca="false">IF(L351&lt;&gt;1,"Excluded",IF(Q351=0,"No direction",IF(R351&gt;0,"Better",IF(R351&lt;0,"Worse","No change"))))</f>
        <v>Excluded</v>
      </c>
      <c r="T351" s="12" t="s">
        <v>315</v>
      </c>
      <c r="U351" s="12" t="str">
        <f aca="false">C351&amp;"|"&amp;E351</f>
        <v>F5_03|CAN</v>
      </c>
    </row>
    <row r="352" customFormat="false" ht="15" hidden="false" customHeight="false" outlineLevel="0" collapsed="false">
      <c r="A352" s="12" t="n">
        <v>5</v>
      </c>
      <c r="B352" s="12" t="s">
        <v>312</v>
      </c>
      <c r="C352" s="12" t="s">
        <v>118</v>
      </c>
      <c r="D352" s="12" t="s">
        <v>119</v>
      </c>
      <c r="E352" s="12" t="s">
        <v>289</v>
      </c>
      <c r="F352" s="12" t="s">
        <v>36</v>
      </c>
      <c r="G352" s="12" t="n">
        <v>57</v>
      </c>
      <c r="H352" s="12" t="s">
        <v>302</v>
      </c>
      <c r="I352" s="12"/>
      <c r="J352" s="12" t="n">
        <v>4</v>
      </c>
      <c r="K352" s="12" t="s">
        <v>302</v>
      </c>
      <c r="L352" s="28" t="n">
        <v>0</v>
      </c>
      <c r="M352" s="12" t="str">
        <f aca="false">IF(L352=1,COUNTIFS($C$2:$C$1090,C352,$L$2:$L$1090,1),"")</f>
        <v/>
      </c>
      <c r="N352" s="12" t="str">
        <f aca="false">IF(L352=1,1+COUNTIFS($C$2:$C$1090,C352,$L$2:$L$1090,1,$G$2:$G$1090,"&gt;"&amp;G352),"")</f>
        <v/>
      </c>
      <c r="O352" s="12" t="str">
        <f aca="false">IF(L352=1,1+COUNTIFS($C$2:$C$1090,C352,$L$2:$L$1090,1,$H$2:$H$1090,"&gt;"&amp;H352),"")</f>
        <v/>
      </c>
      <c r="P352" s="12" t="str">
        <f aca="false">IF(L352=1,N352-O352,"")</f>
        <v/>
      </c>
      <c r="Q352" s="12" t="n">
        <f aca="false">INDEX(Directions!$D$2:$D$100,MATCH(C352,Directions!$A$2:$A$100,0))</f>
        <v>0</v>
      </c>
      <c r="R352" s="12" t="str">
        <f aca="false">IF(L352=1,P352*Q352,"")</f>
        <v/>
      </c>
      <c r="S352" s="12" t="str">
        <f aca="false">IF(L352&lt;&gt;1,"Excluded",IF(Q352=0,"No direction",IF(R352&gt;0,"Better",IF(R352&lt;0,"Worse","No change"))))</f>
        <v>Excluded</v>
      </c>
      <c r="T352" s="12" t="s">
        <v>303</v>
      </c>
      <c r="U352" s="12" t="str">
        <f aca="false">C352&amp;"|"&amp;E352</f>
        <v>F5_03|JPN</v>
      </c>
    </row>
    <row r="353" customFormat="false" ht="15" hidden="false" customHeight="false" outlineLevel="0" collapsed="false">
      <c r="A353" s="12" t="n">
        <v>5</v>
      </c>
      <c r="B353" s="12" t="s">
        <v>312</v>
      </c>
      <c r="C353" s="12" t="s">
        <v>118</v>
      </c>
      <c r="D353" s="12" t="s">
        <v>119</v>
      </c>
      <c r="E353" s="12" t="s">
        <v>290</v>
      </c>
      <c r="F353" s="12" t="s">
        <v>37</v>
      </c>
      <c r="G353" s="12" t="n">
        <v>55</v>
      </c>
      <c r="H353" s="12" t="n">
        <v>56.3</v>
      </c>
      <c r="I353" s="12" t="s">
        <v>293</v>
      </c>
      <c r="J353" s="12" t="n">
        <v>7</v>
      </c>
      <c r="K353" s="12" t="n">
        <v>8</v>
      </c>
      <c r="L353" s="28" t="n">
        <v>0</v>
      </c>
      <c r="M353" s="12" t="str">
        <f aca="false">IF(L353=1,COUNTIFS($C$2:$C$1090,C353,$L$2:$L$1090,1),"")</f>
        <v/>
      </c>
      <c r="N353" s="12" t="str">
        <f aca="false">IF(L353=1,1+COUNTIFS($C$2:$C$1090,C353,$L$2:$L$1090,1,$G$2:$G$1090,"&gt;"&amp;G353),"")</f>
        <v/>
      </c>
      <c r="O353" s="12" t="str">
        <f aca="false">IF(L353=1,1+COUNTIFS($C$2:$C$1090,C353,$L$2:$L$1090,1,$H$2:$H$1090,"&gt;"&amp;H353),"")</f>
        <v/>
      </c>
      <c r="P353" s="12" t="str">
        <f aca="false">IF(L353=1,N353-O353,"")</f>
        <v/>
      </c>
      <c r="Q353" s="12" t="n">
        <f aca="false">INDEX(Directions!$D$2:$D$100,MATCH(C353,Directions!$A$2:$A$100,0))</f>
        <v>0</v>
      </c>
      <c r="R353" s="12" t="str">
        <f aca="false">IF(L353=1,P353*Q353,"")</f>
        <v/>
      </c>
      <c r="S353" s="12" t="str">
        <f aca="false">IF(L353&lt;&gt;1,"Excluded",IF(Q353=0,"No direction",IF(R353&gt;0,"Better",IF(R353&lt;0,"Worse","No change"))))</f>
        <v>Excluded</v>
      </c>
      <c r="T353" s="12" t="s">
        <v>315</v>
      </c>
      <c r="U353" s="12" t="str">
        <f aca="false">C353&amp;"|"&amp;E353</f>
        <v>F5_03|AUS</v>
      </c>
    </row>
    <row r="354" customFormat="false" ht="15" hidden="false" customHeight="false" outlineLevel="0" collapsed="false">
      <c r="A354" s="12" t="n">
        <v>5</v>
      </c>
      <c r="B354" s="12" t="s">
        <v>312</v>
      </c>
      <c r="C354" s="12" t="s">
        <v>120</v>
      </c>
      <c r="D354" s="12" t="s">
        <v>121</v>
      </c>
      <c r="E354" s="12" t="s">
        <v>281</v>
      </c>
      <c r="F354" s="12" t="s">
        <v>27</v>
      </c>
      <c r="G354" s="12" t="n">
        <v>11.1</v>
      </c>
      <c r="H354" s="12" t="n">
        <v>12.59</v>
      </c>
      <c r="I354" s="12" t="s">
        <v>293</v>
      </c>
      <c r="J354" s="12" t="n">
        <v>7</v>
      </c>
      <c r="K354" s="12" t="n">
        <v>3</v>
      </c>
      <c r="L354" s="28" t="n">
        <v>1</v>
      </c>
      <c r="M354" s="12" t="n">
        <f aca="false">IF(L354=1,COUNTIFS($C$2:$C$1090,C354,$L$2:$L$1090,1),"")</f>
        <v>10</v>
      </c>
      <c r="N354" s="12" t="n">
        <f aca="false">IF(L354=1,1+COUNTIFS($C$2:$C$1090,C354,$L$2:$L$1090,1,$G$2:$G$1090,"&gt;"&amp;G354),"")</f>
        <v>6</v>
      </c>
      <c r="O354" s="12" t="n">
        <f aca="false">IF(L354=1,1+COUNTIFS($C$2:$C$1090,C354,$L$2:$L$1090,1,$H$2:$H$1090,"&gt;"&amp;H354),"")</f>
        <v>3</v>
      </c>
      <c r="P354" s="12" t="n">
        <f aca="false">IF(L354=1,N354-O354,"")</f>
        <v>3</v>
      </c>
      <c r="Q354" s="12" t="n">
        <f aca="false">INDEX(Directions!$D$2:$D$100,MATCH(C354,Directions!$A$2:$A$100,0))</f>
        <v>0</v>
      </c>
      <c r="R354" s="12" t="n">
        <f aca="false">IF(L354=1,P354*Q354,"")</f>
        <v>0</v>
      </c>
      <c r="S354" s="12" t="str">
        <f aca="false">IF(L354&lt;&gt;1,"Excluded",IF(Q354=0,"No direction",IF(R354&gt;0,"Better",IF(R354&lt;0,"Worse","No change"))))</f>
        <v>No direction</v>
      </c>
      <c r="T354" s="12"/>
      <c r="U354" s="12" t="str">
        <f aca="false">C354&amp;"|"&amp;E354</f>
        <v>F5_04|USA</v>
      </c>
    </row>
    <row r="355" customFormat="false" ht="15" hidden="false" customHeight="false" outlineLevel="0" collapsed="false">
      <c r="A355" s="12" t="n">
        <v>5</v>
      </c>
      <c r="B355" s="12" t="s">
        <v>312</v>
      </c>
      <c r="C355" s="12" t="s">
        <v>120</v>
      </c>
      <c r="D355" s="12" t="s">
        <v>121</v>
      </c>
      <c r="E355" s="12" t="s">
        <v>283</v>
      </c>
      <c r="F355" s="12" t="s">
        <v>28</v>
      </c>
      <c r="G355" s="12" t="n">
        <v>8.2</v>
      </c>
      <c r="H355" s="12" t="n">
        <v>9.29</v>
      </c>
      <c r="I355" s="12" t="s">
        <v>293</v>
      </c>
      <c r="J355" s="12" t="n">
        <v>11</v>
      </c>
      <c r="K355" s="12" t="n">
        <v>10</v>
      </c>
      <c r="L355" s="28" t="n">
        <v>1</v>
      </c>
      <c r="M355" s="12" t="n">
        <f aca="false">IF(L355=1,COUNTIFS($C$2:$C$1090,C355,$L$2:$L$1090,1),"")</f>
        <v>10</v>
      </c>
      <c r="N355" s="12" t="n">
        <f aca="false">IF(L355=1,1+COUNTIFS($C$2:$C$1090,C355,$L$2:$L$1090,1,$G$2:$G$1090,"&gt;"&amp;G355),"")</f>
        <v>10</v>
      </c>
      <c r="O355" s="12" t="n">
        <f aca="false">IF(L355=1,1+COUNTIFS($C$2:$C$1090,C355,$L$2:$L$1090,1,$H$2:$H$1090,"&gt;"&amp;H355),"")</f>
        <v>9</v>
      </c>
      <c r="P355" s="12" t="n">
        <f aca="false">IF(L355=1,N355-O355,"")</f>
        <v>1</v>
      </c>
      <c r="Q355" s="12" t="n">
        <f aca="false">INDEX(Directions!$D$2:$D$100,MATCH(C355,Directions!$A$2:$A$100,0))</f>
        <v>0</v>
      </c>
      <c r="R355" s="12" t="n">
        <f aca="false">IF(L355=1,P355*Q355,"")</f>
        <v>0</v>
      </c>
      <c r="S355" s="12" t="str">
        <f aca="false">IF(L355&lt;&gt;1,"Excluded",IF(Q355=0,"No direction",IF(R355&gt;0,"Better",IF(R355&lt;0,"Worse","No change"))))</f>
        <v>No direction</v>
      </c>
      <c r="T355" s="12"/>
      <c r="U355" s="12" t="str">
        <f aca="false">C355&amp;"|"&amp;E355</f>
        <v>F5_04|GBR</v>
      </c>
    </row>
    <row r="356" customFormat="false" ht="15" hidden="false" customHeight="false" outlineLevel="0" collapsed="false">
      <c r="A356" s="12" t="n">
        <v>5</v>
      </c>
      <c r="B356" s="12" t="s">
        <v>312</v>
      </c>
      <c r="C356" s="12" t="s">
        <v>120</v>
      </c>
      <c r="D356" s="12" t="s">
        <v>121</v>
      </c>
      <c r="E356" s="12" t="s">
        <v>284</v>
      </c>
      <c r="F356" s="12" t="s">
        <v>29</v>
      </c>
      <c r="G356" s="12" t="n">
        <v>13</v>
      </c>
      <c r="H356" s="12" t="n">
        <v>12.51</v>
      </c>
      <c r="I356" s="12" t="s">
        <v>293</v>
      </c>
      <c r="J356" s="12" t="n">
        <v>3</v>
      </c>
      <c r="K356" s="12" t="n">
        <v>5</v>
      </c>
      <c r="L356" s="28" t="n">
        <v>1</v>
      </c>
      <c r="M356" s="12" t="n">
        <f aca="false">IF(L356=1,COUNTIFS($C$2:$C$1090,C356,$L$2:$L$1090,1),"")</f>
        <v>10</v>
      </c>
      <c r="N356" s="12" t="n">
        <f aca="false">IF(L356=1,1+COUNTIFS($C$2:$C$1090,C356,$L$2:$L$1090,1,$G$2:$G$1090,"&gt;"&amp;G356),"")</f>
        <v>2</v>
      </c>
      <c r="O356" s="12" t="n">
        <f aca="false">IF(L356=1,1+COUNTIFS($C$2:$C$1090,C356,$L$2:$L$1090,1,$H$2:$H$1090,"&gt;"&amp;H356),"")</f>
        <v>5</v>
      </c>
      <c r="P356" s="12" t="n">
        <f aca="false">IF(L356=1,N356-O356,"")</f>
        <v>-3</v>
      </c>
      <c r="Q356" s="12" t="n">
        <f aca="false">INDEX(Directions!$D$2:$D$100,MATCH(C356,Directions!$A$2:$A$100,0))</f>
        <v>0</v>
      </c>
      <c r="R356" s="12" t="n">
        <f aca="false">IF(L356=1,P356*Q356,"")</f>
        <v>-0</v>
      </c>
      <c r="S356" s="12" t="str">
        <f aca="false">IF(L356&lt;&gt;1,"Excluded",IF(Q356=0,"No direction",IF(R356&gt;0,"Better",IF(R356&lt;0,"Worse","No change"))))</f>
        <v>No direction</v>
      </c>
      <c r="T356" s="12"/>
      <c r="U356" s="12" t="str">
        <f aca="false">C356&amp;"|"&amp;E356</f>
        <v>F5_04|DEU</v>
      </c>
    </row>
    <row r="357" customFormat="false" ht="15" hidden="false" customHeight="false" outlineLevel="0" collapsed="false">
      <c r="A357" s="12" t="n">
        <v>5</v>
      </c>
      <c r="B357" s="12" t="s">
        <v>312</v>
      </c>
      <c r="C357" s="12" t="s">
        <v>120</v>
      </c>
      <c r="D357" s="12" t="s">
        <v>121</v>
      </c>
      <c r="E357" s="12" t="s">
        <v>285</v>
      </c>
      <c r="F357" s="12" t="s">
        <v>30</v>
      </c>
      <c r="G357" s="12" t="n">
        <v>11.2</v>
      </c>
      <c r="H357" s="12" t="n">
        <v>11.14</v>
      </c>
      <c r="I357" s="12" t="s">
        <v>293</v>
      </c>
      <c r="J357" s="12" t="n">
        <v>6</v>
      </c>
      <c r="K357" s="12" t="n">
        <v>7</v>
      </c>
      <c r="L357" s="28" t="n">
        <v>1</v>
      </c>
      <c r="M357" s="12" t="n">
        <f aca="false">IF(L357=1,COUNTIFS($C$2:$C$1090,C357,$L$2:$L$1090,1),"")</f>
        <v>10</v>
      </c>
      <c r="N357" s="12" t="n">
        <f aca="false">IF(L357=1,1+COUNTIFS($C$2:$C$1090,C357,$L$2:$L$1090,1,$G$2:$G$1090,"&gt;"&amp;G357),"")</f>
        <v>5</v>
      </c>
      <c r="O357" s="12" t="n">
        <f aca="false">IF(L357=1,1+COUNTIFS($C$2:$C$1090,C357,$L$2:$L$1090,1,$H$2:$H$1090,"&gt;"&amp;H357),"")</f>
        <v>7</v>
      </c>
      <c r="P357" s="12" t="n">
        <f aca="false">IF(L357=1,N357-O357,"")</f>
        <v>-2</v>
      </c>
      <c r="Q357" s="12" t="n">
        <f aca="false">INDEX(Directions!$D$2:$D$100,MATCH(C357,Directions!$A$2:$A$100,0))</f>
        <v>0</v>
      </c>
      <c r="R357" s="12" t="n">
        <f aca="false">IF(L357=1,P357*Q357,"")</f>
        <v>-0</v>
      </c>
      <c r="S357" s="12" t="str">
        <f aca="false">IF(L357&lt;&gt;1,"Excluded",IF(Q357=0,"No direction",IF(R357&gt;0,"Better",IF(R357&lt;0,"Worse","No change"))))</f>
        <v>No direction</v>
      </c>
      <c r="T357" s="12"/>
      <c r="U357" s="12" t="str">
        <f aca="false">C357&amp;"|"&amp;E357</f>
        <v>F5_04|SWE</v>
      </c>
    </row>
    <row r="358" customFormat="false" ht="15" hidden="false" customHeight="false" outlineLevel="0" collapsed="false">
      <c r="A358" s="12" t="n">
        <v>5</v>
      </c>
      <c r="B358" s="12" t="s">
        <v>312</v>
      </c>
      <c r="C358" s="12" t="s">
        <v>120</v>
      </c>
      <c r="D358" s="12" t="s">
        <v>121</v>
      </c>
      <c r="E358" s="12" t="s">
        <v>286</v>
      </c>
      <c r="F358" s="12" t="s">
        <v>31</v>
      </c>
      <c r="G358" s="12" t="n">
        <v>9.4</v>
      </c>
      <c r="H358" s="12" t="n">
        <v>8.86</v>
      </c>
      <c r="I358" s="12" t="s">
        <v>291</v>
      </c>
      <c r="J358" s="12" t="n">
        <v>10</v>
      </c>
      <c r="K358" s="12" t="n">
        <v>11</v>
      </c>
      <c r="L358" s="28" t="n">
        <v>1</v>
      </c>
      <c r="M358" s="12" t="n">
        <f aca="false">IF(L358=1,COUNTIFS($C$2:$C$1090,C358,$L$2:$L$1090,1),"")</f>
        <v>10</v>
      </c>
      <c r="N358" s="12" t="n">
        <f aca="false">IF(L358=1,1+COUNTIFS($C$2:$C$1090,C358,$L$2:$L$1090,1,$G$2:$G$1090,"&gt;"&amp;G358),"")</f>
        <v>9</v>
      </c>
      <c r="O358" s="12" t="n">
        <f aca="false">IF(L358=1,1+COUNTIFS($C$2:$C$1090,C358,$L$2:$L$1090,1,$H$2:$H$1090,"&gt;"&amp;H358),"")</f>
        <v>10</v>
      </c>
      <c r="P358" s="12" t="n">
        <f aca="false">IF(L358=1,N358-O358,"")</f>
        <v>-1</v>
      </c>
      <c r="Q358" s="12" t="n">
        <f aca="false">INDEX(Directions!$D$2:$D$100,MATCH(C358,Directions!$A$2:$A$100,0))</f>
        <v>0</v>
      </c>
      <c r="R358" s="12" t="n">
        <f aca="false">IF(L358=1,P358*Q358,"")</f>
        <v>-0</v>
      </c>
      <c r="S358" s="12" t="str">
        <f aca="false">IF(L358&lt;&gt;1,"Excluded",IF(Q358=0,"No direction",IF(R358&gt;0,"Better",IF(R358&lt;0,"Worse","No change"))))</f>
        <v>No direction</v>
      </c>
      <c r="T358" s="12"/>
      <c r="U358" s="12" t="str">
        <f aca="false">C358&amp;"|"&amp;E358</f>
        <v>F5_04|FRA</v>
      </c>
    </row>
    <row r="359" customFormat="false" ht="15" hidden="false" customHeight="false" outlineLevel="0" collapsed="false">
      <c r="A359" s="12" t="n">
        <v>5</v>
      </c>
      <c r="B359" s="12" t="s">
        <v>312</v>
      </c>
      <c r="C359" s="12" t="s">
        <v>120</v>
      </c>
      <c r="D359" s="12" t="s">
        <v>121</v>
      </c>
      <c r="E359" s="12" t="s">
        <v>32</v>
      </c>
      <c r="F359" s="12" t="s">
        <v>32</v>
      </c>
      <c r="G359" s="12" t="n">
        <v>12.1</v>
      </c>
      <c r="H359" s="12" t="n">
        <v>11.23</v>
      </c>
      <c r="I359" s="12" t="s">
        <v>293</v>
      </c>
      <c r="J359" s="12" t="n">
        <v>4</v>
      </c>
      <c r="K359" s="12" t="n">
        <v>6</v>
      </c>
      <c r="L359" s="28" t="n">
        <v>1</v>
      </c>
      <c r="M359" s="12" t="n">
        <f aca="false">IF(L359=1,COUNTIFS($C$2:$C$1090,C359,$L$2:$L$1090,1),"")</f>
        <v>10</v>
      </c>
      <c r="N359" s="12" t="n">
        <f aca="false">IF(L359=1,1+COUNTIFS($C$2:$C$1090,C359,$L$2:$L$1090,1,$G$2:$G$1090,"&gt;"&amp;G359),"")</f>
        <v>3</v>
      </c>
      <c r="O359" s="12" t="n">
        <f aca="false">IF(L359=1,1+COUNTIFS($C$2:$C$1090,C359,$L$2:$L$1090,1,$H$2:$H$1090,"&gt;"&amp;H359),"")</f>
        <v>6</v>
      </c>
      <c r="P359" s="12" t="n">
        <f aca="false">IF(L359=1,N359-O359,"")</f>
        <v>-3</v>
      </c>
      <c r="Q359" s="12" t="n">
        <f aca="false">INDEX(Directions!$D$2:$D$100,MATCH(C359,Directions!$A$2:$A$100,0))</f>
        <v>0</v>
      </c>
      <c r="R359" s="12" t="n">
        <f aca="false">IF(L359=1,P359*Q359,"")</f>
        <v>-0</v>
      </c>
      <c r="S359" s="12" t="str">
        <f aca="false">IF(L359&lt;&gt;1,"Excluded",IF(Q359=0,"No direction",IF(R359&gt;0,"Better",IF(R359&lt;0,"Worse","No change"))))</f>
        <v>No direction</v>
      </c>
      <c r="T359" s="12"/>
      <c r="U359" s="12" t="str">
        <f aca="false">C359&amp;"|"&amp;E359</f>
        <v>F5_04|NLD</v>
      </c>
    </row>
    <row r="360" customFormat="false" ht="15" hidden="false" customHeight="false" outlineLevel="0" collapsed="false">
      <c r="A360" s="12" t="n">
        <v>5</v>
      </c>
      <c r="B360" s="12" t="s">
        <v>312</v>
      </c>
      <c r="C360" s="12" t="s">
        <v>120</v>
      </c>
      <c r="D360" s="12" t="s">
        <v>121</v>
      </c>
      <c r="E360" s="12" t="s">
        <v>33</v>
      </c>
      <c r="F360" s="12" t="s">
        <v>33</v>
      </c>
      <c r="G360" s="12" t="n">
        <v>17.4</v>
      </c>
      <c r="H360" s="12" t="n">
        <v>19.02</v>
      </c>
      <c r="I360" s="12" t="s">
        <v>293</v>
      </c>
      <c r="J360" s="12" t="n">
        <v>1</v>
      </c>
      <c r="K360" s="12" t="n">
        <v>1</v>
      </c>
      <c r="L360" s="28" t="n">
        <v>1</v>
      </c>
      <c r="M360" s="12" t="n">
        <f aca="false">IF(L360=1,COUNTIFS($C$2:$C$1090,C360,$L$2:$L$1090,1),"")</f>
        <v>10</v>
      </c>
      <c r="N360" s="12" t="n">
        <f aca="false">IF(L360=1,1+COUNTIFS($C$2:$C$1090,C360,$L$2:$L$1090,1,$G$2:$G$1090,"&gt;"&amp;G360),"")</f>
        <v>1</v>
      </c>
      <c r="O360" s="12" t="n">
        <f aca="false">IF(L360=1,1+COUNTIFS($C$2:$C$1090,C360,$L$2:$L$1090,1,$H$2:$H$1090,"&gt;"&amp;H360),"")</f>
        <v>1</v>
      </c>
      <c r="P360" s="12" t="n">
        <f aca="false">IF(L360=1,N360-O360,"")</f>
        <v>0</v>
      </c>
      <c r="Q360" s="12" t="n">
        <f aca="false">INDEX(Directions!$D$2:$D$100,MATCH(C360,Directions!$A$2:$A$100,0))</f>
        <v>0</v>
      </c>
      <c r="R360" s="12" t="n">
        <f aca="false">IF(L360=1,P360*Q360,"")</f>
        <v>0</v>
      </c>
      <c r="S360" s="12" t="str">
        <f aca="false">IF(L360&lt;&gt;1,"Excluded",IF(Q360=0,"No direction",IF(R360&gt;0,"Better",IF(R360&lt;0,"Worse","No change"))))</f>
        <v>No direction</v>
      </c>
      <c r="T360" s="12"/>
      <c r="U360" s="12" t="str">
        <f aca="false">C360&amp;"|"&amp;E360</f>
        <v>F5_04|CHE</v>
      </c>
    </row>
    <row r="361" customFormat="false" ht="15" hidden="false" customHeight="false" outlineLevel="0" collapsed="false">
      <c r="A361" s="12" t="n">
        <v>5</v>
      </c>
      <c r="B361" s="12" t="s">
        <v>312</v>
      </c>
      <c r="C361" s="12" t="s">
        <v>120</v>
      </c>
      <c r="D361" s="12" t="s">
        <v>121</v>
      </c>
      <c r="E361" s="12" t="s">
        <v>287</v>
      </c>
      <c r="F361" s="12" t="s">
        <v>34</v>
      </c>
      <c r="G361" s="12" t="n">
        <v>16.3</v>
      </c>
      <c r="H361" s="12" t="n">
        <v>10.53</v>
      </c>
      <c r="I361" s="12" t="s">
        <v>293</v>
      </c>
      <c r="J361" s="12" t="n">
        <v>2</v>
      </c>
      <c r="K361" s="12" t="n">
        <v>8</v>
      </c>
      <c r="L361" s="28" t="n">
        <v>0</v>
      </c>
      <c r="M361" s="12" t="str">
        <f aca="false">IF(L361=1,COUNTIFS($C$2:$C$1090,C361,$L$2:$L$1090,1),"")</f>
        <v/>
      </c>
      <c r="N361" s="12" t="str">
        <f aca="false">IF(L361=1,1+COUNTIFS($C$2:$C$1090,C361,$L$2:$L$1090,1,$G$2:$G$1090,"&gt;"&amp;G361),"")</f>
        <v/>
      </c>
      <c r="O361" s="12" t="str">
        <f aca="false">IF(L361=1,1+COUNTIFS($C$2:$C$1090,C361,$L$2:$L$1090,1,$H$2:$H$1090,"&gt;"&amp;H361),"")</f>
        <v/>
      </c>
      <c r="P361" s="12" t="str">
        <f aca="false">IF(L361=1,N361-O361,"")</f>
        <v/>
      </c>
      <c r="Q361" s="12" t="n">
        <f aca="false">INDEX(Directions!$D$2:$D$100,MATCH(C361,Directions!$A$2:$A$100,0))</f>
        <v>0</v>
      </c>
      <c r="R361" s="12" t="str">
        <f aca="false">IF(L361=1,P361*Q361,"")</f>
        <v/>
      </c>
      <c r="S361" s="12" t="str">
        <f aca="false">IF(L361&lt;&gt;1,"Excluded",IF(Q361=0,"No direction",IF(R361&gt;0,"Better",IF(R361&lt;0,"Worse","No change"))))</f>
        <v>Excluded</v>
      </c>
      <c r="T361" s="12" t="s">
        <v>316</v>
      </c>
      <c r="U361" s="12" t="str">
        <f aca="false">C361&amp;"|"&amp;E361</f>
        <v>F5_04|DNK</v>
      </c>
    </row>
    <row r="362" customFormat="false" ht="15" hidden="false" customHeight="false" outlineLevel="0" collapsed="false">
      <c r="A362" s="12" t="n">
        <v>5</v>
      </c>
      <c r="B362" s="12" t="s">
        <v>312</v>
      </c>
      <c r="C362" s="12" t="s">
        <v>120</v>
      </c>
      <c r="D362" s="12" t="s">
        <v>121</v>
      </c>
      <c r="E362" s="12" t="s">
        <v>288</v>
      </c>
      <c r="F362" s="12" t="s">
        <v>35</v>
      </c>
      <c r="G362" s="12" t="n">
        <v>9.5</v>
      </c>
      <c r="H362" s="12" t="n">
        <v>10.17</v>
      </c>
      <c r="I362" s="12" t="s">
        <v>293</v>
      </c>
      <c r="J362" s="12" t="n">
        <v>9</v>
      </c>
      <c r="K362" s="12" t="n">
        <v>9</v>
      </c>
      <c r="L362" s="28" t="n">
        <v>1</v>
      </c>
      <c r="M362" s="12" t="n">
        <f aca="false">IF(L362=1,COUNTIFS($C$2:$C$1090,C362,$L$2:$L$1090,1),"")</f>
        <v>10</v>
      </c>
      <c r="N362" s="12" t="n">
        <f aca="false">IF(L362=1,1+COUNTIFS($C$2:$C$1090,C362,$L$2:$L$1090,1,$G$2:$G$1090,"&gt;"&amp;G362),"")</f>
        <v>8</v>
      </c>
      <c r="O362" s="12" t="n">
        <f aca="false">IF(L362=1,1+COUNTIFS($C$2:$C$1090,C362,$L$2:$L$1090,1,$H$2:$H$1090,"&gt;"&amp;H362),"")</f>
        <v>8</v>
      </c>
      <c r="P362" s="12" t="n">
        <f aca="false">IF(L362=1,N362-O362,"")</f>
        <v>0</v>
      </c>
      <c r="Q362" s="12" t="n">
        <f aca="false">INDEX(Directions!$D$2:$D$100,MATCH(C362,Directions!$A$2:$A$100,0))</f>
        <v>0</v>
      </c>
      <c r="R362" s="12" t="n">
        <f aca="false">IF(L362=1,P362*Q362,"")</f>
        <v>0</v>
      </c>
      <c r="S362" s="12" t="str">
        <f aca="false">IF(L362&lt;&gt;1,"Excluded",IF(Q362=0,"No direction",IF(R362&gt;0,"Better",IF(R362&lt;0,"Worse","No change"))))</f>
        <v>No direction</v>
      </c>
      <c r="T362" s="12"/>
      <c r="U362" s="12" t="str">
        <f aca="false">C362&amp;"|"&amp;E362</f>
        <v>F5_04|CAN</v>
      </c>
    </row>
    <row r="363" customFormat="false" ht="15" hidden="false" customHeight="false" outlineLevel="0" collapsed="false">
      <c r="A363" s="12" t="n">
        <v>5</v>
      </c>
      <c r="B363" s="12" t="s">
        <v>312</v>
      </c>
      <c r="C363" s="12" t="s">
        <v>120</v>
      </c>
      <c r="D363" s="12" t="s">
        <v>121</v>
      </c>
      <c r="E363" s="12" t="s">
        <v>289</v>
      </c>
      <c r="F363" s="12" t="s">
        <v>36</v>
      </c>
      <c r="G363" s="12" t="n">
        <v>10.5</v>
      </c>
      <c r="H363" s="12" t="n">
        <v>12.56</v>
      </c>
      <c r="I363" s="12" t="s">
        <v>293</v>
      </c>
      <c r="J363" s="12" t="n">
        <v>8</v>
      </c>
      <c r="K363" s="12" t="n">
        <v>4</v>
      </c>
      <c r="L363" s="28" t="n">
        <v>1</v>
      </c>
      <c r="M363" s="12" t="n">
        <f aca="false">IF(L363=1,COUNTIFS($C$2:$C$1090,C363,$L$2:$L$1090,1),"")</f>
        <v>10</v>
      </c>
      <c r="N363" s="12" t="n">
        <f aca="false">IF(L363=1,1+COUNTIFS($C$2:$C$1090,C363,$L$2:$L$1090,1,$G$2:$G$1090,"&gt;"&amp;G363),"")</f>
        <v>7</v>
      </c>
      <c r="O363" s="12" t="n">
        <f aca="false">IF(L363=1,1+COUNTIFS($C$2:$C$1090,C363,$L$2:$L$1090,1,$H$2:$H$1090,"&gt;"&amp;H363),"")</f>
        <v>4</v>
      </c>
      <c r="P363" s="12" t="n">
        <f aca="false">IF(L363=1,N363-O363,"")</f>
        <v>3</v>
      </c>
      <c r="Q363" s="12" t="n">
        <f aca="false">INDEX(Directions!$D$2:$D$100,MATCH(C363,Directions!$A$2:$A$100,0))</f>
        <v>0</v>
      </c>
      <c r="R363" s="12" t="n">
        <f aca="false">IF(L363=1,P363*Q363,"")</f>
        <v>0</v>
      </c>
      <c r="S363" s="12" t="str">
        <f aca="false">IF(L363&lt;&gt;1,"Excluded",IF(Q363=0,"No direction",IF(R363&gt;0,"Better",IF(R363&lt;0,"Worse","No change"))))</f>
        <v>No direction</v>
      </c>
      <c r="T363" s="12"/>
      <c r="U363" s="12" t="str">
        <f aca="false">C363&amp;"|"&amp;E363</f>
        <v>F5_04|JPN</v>
      </c>
    </row>
    <row r="364" customFormat="false" ht="15" hidden="false" customHeight="false" outlineLevel="0" collapsed="false">
      <c r="A364" s="12" t="n">
        <v>5</v>
      </c>
      <c r="B364" s="12" t="s">
        <v>312</v>
      </c>
      <c r="C364" s="12" t="s">
        <v>120</v>
      </c>
      <c r="D364" s="12" t="s">
        <v>121</v>
      </c>
      <c r="E364" s="12" t="s">
        <v>290</v>
      </c>
      <c r="F364" s="12" t="s">
        <v>37</v>
      </c>
      <c r="G364" s="12" t="n">
        <v>11.5</v>
      </c>
      <c r="H364" s="12" t="n">
        <v>13.42</v>
      </c>
      <c r="I364" s="12" t="s">
        <v>293</v>
      </c>
      <c r="J364" s="12" t="n">
        <v>5</v>
      </c>
      <c r="K364" s="12" t="n">
        <v>2</v>
      </c>
      <c r="L364" s="28" t="n">
        <v>1</v>
      </c>
      <c r="M364" s="12" t="n">
        <f aca="false">IF(L364=1,COUNTIFS($C$2:$C$1090,C364,$L$2:$L$1090,1),"")</f>
        <v>10</v>
      </c>
      <c r="N364" s="12" t="n">
        <f aca="false">IF(L364=1,1+COUNTIFS($C$2:$C$1090,C364,$L$2:$L$1090,1,$G$2:$G$1090,"&gt;"&amp;G364),"")</f>
        <v>4</v>
      </c>
      <c r="O364" s="12" t="n">
        <f aca="false">IF(L364=1,1+COUNTIFS($C$2:$C$1090,C364,$L$2:$L$1090,1,$H$2:$H$1090,"&gt;"&amp;H364),"")</f>
        <v>2</v>
      </c>
      <c r="P364" s="12" t="n">
        <f aca="false">IF(L364=1,N364-O364,"")</f>
        <v>2</v>
      </c>
      <c r="Q364" s="12" t="n">
        <f aca="false">INDEX(Directions!$D$2:$D$100,MATCH(C364,Directions!$A$2:$A$100,0))</f>
        <v>0</v>
      </c>
      <c r="R364" s="12" t="n">
        <f aca="false">IF(L364=1,P364*Q364,"")</f>
        <v>0</v>
      </c>
      <c r="S364" s="12" t="str">
        <f aca="false">IF(L364&lt;&gt;1,"Excluded",IF(Q364=0,"No direction",IF(R364&gt;0,"Better",IF(R364&lt;0,"Worse","No change"))))</f>
        <v>No direction</v>
      </c>
      <c r="T364" s="12"/>
      <c r="U364" s="12" t="str">
        <f aca="false">C364&amp;"|"&amp;E364</f>
        <v>F5_04|AUS</v>
      </c>
    </row>
    <row r="365" customFormat="false" ht="15" hidden="false" customHeight="false" outlineLevel="0" collapsed="false">
      <c r="A365" s="12" t="n">
        <v>5</v>
      </c>
      <c r="B365" s="12" t="s">
        <v>312</v>
      </c>
      <c r="C365" s="12" t="s">
        <v>122</v>
      </c>
      <c r="D365" s="12" t="s">
        <v>123</v>
      </c>
      <c r="E365" s="12" t="s">
        <v>281</v>
      </c>
      <c r="F365" s="12" t="s">
        <v>27</v>
      </c>
      <c r="G365" s="12" t="n">
        <v>218173</v>
      </c>
      <c r="H365" s="12" t="n">
        <v>298000</v>
      </c>
      <c r="I365" s="12" t="s">
        <v>282</v>
      </c>
      <c r="J365" s="12" t="n">
        <v>1</v>
      </c>
      <c r="K365" s="12" t="n">
        <v>1</v>
      </c>
      <c r="L365" s="28" t="n">
        <v>1</v>
      </c>
      <c r="M365" s="12" t="n">
        <f aca="false">IF(L365=1,COUNTIFS($C$2:$C$1090,C365,$L$2:$L$1090,1),"")</f>
        <v>9</v>
      </c>
      <c r="N365" s="12" t="n">
        <f aca="false">IF(L365=1,1+COUNTIFS($C$2:$C$1090,C365,$L$2:$L$1090,1,$G$2:$G$1090,"&gt;"&amp;G365),"")</f>
        <v>1</v>
      </c>
      <c r="O365" s="12" t="n">
        <f aca="false">IF(L365=1,1+COUNTIFS($C$2:$C$1090,C365,$L$2:$L$1090,1,$H$2:$H$1090,"&gt;"&amp;H365),"")</f>
        <v>1</v>
      </c>
      <c r="P365" s="12" t="n">
        <f aca="false">IF(L365=1,N365-O365,"")</f>
        <v>0</v>
      </c>
      <c r="Q365" s="12" t="n">
        <f aca="false">INDEX(Directions!$D$2:$D$100,MATCH(C365,Directions!$A$2:$A$100,0))</f>
        <v>0</v>
      </c>
      <c r="R365" s="12" t="n">
        <f aca="false">IF(L365=1,P365*Q365,"")</f>
        <v>0</v>
      </c>
      <c r="S365" s="12" t="str">
        <f aca="false">IF(L365&lt;&gt;1,"Excluded",IF(Q365=0,"No direction",IF(R365&gt;0,"Better",IF(R365&lt;0,"Worse","No change"))))</f>
        <v>No direction</v>
      </c>
      <c r="T365" s="12" t="s">
        <v>317</v>
      </c>
      <c r="U365" s="12" t="str">
        <f aca="false">C365&amp;"|"&amp;E365</f>
        <v>F5_05|USA</v>
      </c>
    </row>
    <row r="366" customFormat="false" ht="15" hidden="false" customHeight="false" outlineLevel="0" collapsed="false">
      <c r="A366" s="12" t="n">
        <v>5</v>
      </c>
      <c r="B366" s="12" t="s">
        <v>312</v>
      </c>
      <c r="C366" s="12" t="s">
        <v>122</v>
      </c>
      <c r="D366" s="12" t="s">
        <v>123</v>
      </c>
      <c r="E366" s="12" t="s">
        <v>283</v>
      </c>
      <c r="F366" s="12" t="s">
        <v>28</v>
      </c>
      <c r="G366" s="12" t="n">
        <v>134671</v>
      </c>
      <c r="H366" s="12" t="n">
        <v>248913</v>
      </c>
      <c r="I366" s="12" t="s">
        <v>291</v>
      </c>
      <c r="J366" s="12" t="n">
        <v>4</v>
      </c>
      <c r="K366" s="12" t="n">
        <v>3</v>
      </c>
      <c r="L366" s="28" t="n">
        <v>1</v>
      </c>
      <c r="M366" s="12" t="n">
        <f aca="false">IF(L366=1,COUNTIFS($C$2:$C$1090,C366,$L$2:$L$1090,1),"")</f>
        <v>9</v>
      </c>
      <c r="N366" s="12" t="n">
        <f aca="false">IF(L366=1,1+COUNTIFS($C$2:$C$1090,C366,$L$2:$L$1090,1,$G$2:$G$1090,"&gt;"&amp;G366),"")</f>
        <v>4</v>
      </c>
      <c r="O366" s="12" t="n">
        <f aca="false">IF(L366=1,1+COUNTIFS($C$2:$C$1090,C366,$L$2:$L$1090,1,$H$2:$H$1090,"&gt;"&amp;H366),"")</f>
        <v>3</v>
      </c>
      <c r="P366" s="12" t="n">
        <f aca="false">IF(L366=1,N366-O366,"")</f>
        <v>1</v>
      </c>
      <c r="Q366" s="12" t="n">
        <f aca="false">INDEX(Directions!$D$2:$D$100,MATCH(C366,Directions!$A$2:$A$100,0))</f>
        <v>0</v>
      </c>
      <c r="R366" s="12" t="n">
        <f aca="false">IF(L366=1,P366*Q366,"")</f>
        <v>0</v>
      </c>
      <c r="S366" s="12" t="str">
        <f aca="false">IF(L366&lt;&gt;1,"Excluded",IF(Q366=0,"No direction",IF(R366&gt;0,"Better",IF(R366&lt;0,"Worse","No change"))))</f>
        <v>No direction</v>
      </c>
      <c r="T366" s="12" t="s">
        <v>317</v>
      </c>
      <c r="U366" s="12" t="str">
        <f aca="false">C366&amp;"|"&amp;E366</f>
        <v>F5_05|GBR</v>
      </c>
    </row>
    <row r="367" customFormat="false" ht="15" hidden="false" customHeight="false" outlineLevel="0" collapsed="false">
      <c r="A367" s="12" t="n">
        <v>5</v>
      </c>
      <c r="B367" s="12" t="s">
        <v>312</v>
      </c>
      <c r="C367" s="12" t="s">
        <v>122</v>
      </c>
      <c r="D367" s="12" t="s">
        <v>123</v>
      </c>
      <c r="E367" s="12" t="s">
        <v>284</v>
      </c>
      <c r="F367" s="12" t="s">
        <v>29</v>
      </c>
      <c r="G367" s="12" t="n">
        <v>154126</v>
      </c>
      <c r="H367" s="12" t="n">
        <v>290314</v>
      </c>
      <c r="I367" s="12" t="s">
        <v>291</v>
      </c>
      <c r="J367" s="12" t="n">
        <v>2</v>
      </c>
      <c r="K367" s="12" t="n">
        <v>2</v>
      </c>
      <c r="L367" s="28" t="n">
        <v>1</v>
      </c>
      <c r="M367" s="12" t="n">
        <f aca="false">IF(L367=1,COUNTIFS($C$2:$C$1090,C367,$L$2:$L$1090,1),"")</f>
        <v>9</v>
      </c>
      <c r="N367" s="12" t="n">
        <f aca="false">IF(L367=1,1+COUNTIFS($C$2:$C$1090,C367,$L$2:$L$1090,1,$G$2:$G$1090,"&gt;"&amp;G367),"")</f>
        <v>2</v>
      </c>
      <c r="O367" s="12" t="n">
        <f aca="false">IF(L367=1,1+COUNTIFS($C$2:$C$1090,C367,$L$2:$L$1090,1,$H$2:$H$1090,"&gt;"&amp;H367),"")</f>
        <v>2</v>
      </c>
      <c r="P367" s="12" t="n">
        <f aca="false">IF(L367=1,N367-O367,"")</f>
        <v>0</v>
      </c>
      <c r="Q367" s="12" t="n">
        <f aca="false">INDEX(Directions!$D$2:$D$100,MATCH(C367,Directions!$A$2:$A$100,0))</f>
        <v>0</v>
      </c>
      <c r="R367" s="12" t="n">
        <f aca="false">IF(L367=1,P367*Q367,"")</f>
        <v>0</v>
      </c>
      <c r="S367" s="12" t="str">
        <f aca="false">IF(L367&lt;&gt;1,"Excluded",IF(Q367=0,"No direction",IF(R367&gt;0,"Better",IF(R367&lt;0,"Worse","No change"))))</f>
        <v>No direction</v>
      </c>
      <c r="T367" s="12" t="s">
        <v>317</v>
      </c>
      <c r="U367" s="12" t="str">
        <f aca="false">C367&amp;"|"&amp;E367</f>
        <v>F5_05|DEU</v>
      </c>
    </row>
    <row r="368" customFormat="false" ht="15" hidden="false" customHeight="false" outlineLevel="0" collapsed="false">
      <c r="A368" s="12" t="n">
        <v>5</v>
      </c>
      <c r="B368" s="12" t="s">
        <v>312</v>
      </c>
      <c r="C368" s="12" t="s">
        <v>122</v>
      </c>
      <c r="D368" s="12" t="s">
        <v>123</v>
      </c>
      <c r="E368" s="12" t="s">
        <v>285</v>
      </c>
      <c r="F368" s="12" t="s">
        <v>30</v>
      </c>
      <c r="G368" s="12" t="n">
        <v>86607</v>
      </c>
      <c r="H368" s="12" t="n">
        <v>143102</v>
      </c>
      <c r="I368" s="12" t="s">
        <v>293</v>
      </c>
      <c r="J368" s="12" t="n">
        <v>9</v>
      </c>
      <c r="K368" s="12" t="n">
        <v>9</v>
      </c>
      <c r="L368" s="28" t="n">
        <v>1</v>
      </c>
      <c r="M368" s="12" t="n">
        <f aca="false">IF(L368=1,COUNTIFS($C$2:$C$1090,C368,$L$2:$L$1090,1),"")</f>
        <v>9</v>
      </c>
      <c r="N368" s="12" t="n">
        <f aca="false">IF(L368=1,1+COUNTIFS($C$2:$C$1090,C368,$L$2:$L$1090,1,$G$2:$G$1090,"&gt;"&amp;G368),"")</f>
        <v>9</v>
      </c>
      <c r="O368" s="12" t="n">
        <f aca="false">IF(L368=1,1+COUNTIFS($C$2:$C$1090,C368,$L$2:$L$1090,1,$H$2:$H$1090,"&gt;"&amp;H368),"")</f>
        <v>8</v>
      </c>
      <c r="P368" s="12" t="n">
        <f aca="false">IF(L368=1,N368-O368,"")</f>
        <v>1</v>
      </c>
      <c r="Q368" s="12" t="n">
        <f aca="false">INDEX(Directions!$D$2:$D$100,MATCH(C368,Directions!$A$2:$A$100,0))</f>
        <v>0</v>
      </c>
      <c r="R368" s="12" t="n">
        <f aca="false">IF(L368=1,P368*Q368,"")</f>
        <v>0</v>
      </c>
      <c r="S368" s="12" t="str">
        <f aca="false">IF(L368&lt;&gt;1,"Excluded",IF(Q368=0,"No direction",IF(R368&gt;0,"Better",IF(R368&lt;0,"Worse","No change"))))</f>
        <v>No direction</v>
      </c>
      <c r="T368" s="12" t="s">
        <v>317</v>
      </c>
      <c r="U368" s="12" t="str">
        <f aca="false">C368&amp;"|"&amp;E368</f>
        <v>F5_05|SWE</v>
      </c>
    </row>
    <row r="369" customFormat="false" ht="15" hidden="false" customHeight="false" outlineLevel="0" collapsed="false">
      <c r="A369" s="12" t="n">
        <v>5</v>
      </c>
      <c r="B369" s="12" t="s">
        <v>312</v>
      </c>
      <c r="C369" s="12" t="s">
        <v>122</v>
      </c>
      <c r="D369" s="12" t="s">
        <v>123</v>
      </c>
      <c r="E369" s="12" t="s">
        <v>286</v>
      </c>
      <c r="F369" s="12" t="s">
        <v>31</v>
      </c>
      <c r="G369" s="12" t="n">
        <v>111769</v>
      </c>
      <c r="H369" s="12" t="n">
        <v>194521</v>
      </c>
      <c r="I369" s="12" t="s">
        <v>295</v>
      </c>
      <c r="J369" s="12" t="n">
        <v>6</v>
      </c>
      <c r="K369" s="12" t="n">
        <v>5</v>
      </c>
      <c r="L369" s="28" t="n">
        <v>1</v>
      </c>
      <c r="M369" s="12" t="n">
        <f aca="false">IF(L369=1,COUNTIFS($C$2:$C$1090,C369,$L$2:$L$1090,1),"")</f>
        <v>9</v>
      </c>
      <c r="N369" s="12" t="n">
        <f aca="false">IF(L369=1,1+COUNTIFS($C$2:$C$1090,C369,$L$2:$L$1090,1,$G$2:$G$1090,"&gt;"&amp;G369),"")</f>
        <v>6</v>
      </c>
      <c r="O369" s="12" t="n">
        <f aca="false">IF(L369=1,1+COUNTIFS($C$2:$C$1090,C369,$L$2:$L$1090,1,$H$2:$H$1090,"&gt;"&amp;H369),"")</f>
        <v>4</v>
      </c>
      <c r="P369" s="12" t="n">
        <f aca="false">IF(L369=1,N369-O369,"")</f>
        <v>2</v>
      </c>
      <c r="Q369" s="12" t="n">
        <f aca="false">INDEX(Directions!$D$2:$D$100,MATCH(C369,Directions!$A$2:$A$100,0))</f>
        <v>0</v>
      </c>
      <c r="R369" s="12" t="n">
        <f aca="false">IF(L369=1,P369*Q369,"")</f>
        <v>0</v>
      </c>
      <c r="S369" s="12" t="str">
        <f aca="false">IF(L369&lt;&gt;1,"Excluded",IF(Q369=0,"No direction",IF(R369&gt;0,"Better",IF(R369&lt;0,"Worse","No change"))))</f>
        <v>No direction</v>
      </c>
      <c r="T369" s="12" t="s">
        <v>317</v>
      </c>
      <c r="U369" s="12" t="str">
        <f aca="false">C369&amp;"|"&amp;E369</f>
        <v>F5_05|FRA</v>
      </c>
    </row>
    <row r="370" customFormat="false" ht="15" hidden="false" customHeight="false" outlineLevel="0" collapsed="false">
      <c r="A370" s="12" t="n">
        <v>5</v>
      </c>
      <c r="B370" s="12" t="s">
        <v>312</v>
      </c>
      <c r="C370" s="12" t="s">
        <v>122</v>
      </c>
      <c r="D370" s="12" t="s">
        <v>123</v>
      </c>
      <c r="E370" s="12" t="s">
        <v>32</v>
      </c>
      <c r="F370" s="12" t="s">
        <v>32</v>
      </c>
      <c r="G370" s="12" t="n">
        <v>109586</v>
      </c>
      <c r="H370" s="12" t="n">
        <v>186939</v>
      </c>
      <c r="I370" s="12" t="s">
        <v>293</v>
      </c>
      <c r="J370" s="12" t="n">
        <v>7</v>
      </c>
      <c r="K370" s="12" t="n">
        <v>7</v>
      </c>
      <c r="L370" s="28" t="n">
        <v>1</v>
      </c>
      <c r="M370" s="12" t="n">
        <f aca="false">IF(L370=1,COUNTIFS($C$2:$C$1090,C370,$L$2:$L$1090,1),"")</f>
        <v>9</v>
      </c>
      <c r="N370" s="12" t="n">
        <f aca="false">IF(L370=1,1+COUNTIFS($C$2:$C$1090,C370,$L$2:$L$1090,1,$G$2:$G$1090,"&gt;"&amp;G370),"")</f>
        <v>7</v>
      </c>
      <c r="O370" s="12" t="n">
        <f aca="false">IF(L370=1,1+COUNTIFS($C$2:$C$1090,C370,$L$2:$L$1090,1,$H$2:$H$1090,"&gt;"&amp;H370),"")</f>
        <v>6</v>
      </c>
      <c r="P370" s="12" t="n">
        <f aca="false">IF(L370=1,N370-O370,"")</f>
        <v>1</v>
      </c>
      <c r="Q370" s="12" t="n">
        <f aca="false">INDEX(Directions!$D$2:$D$100,MATCH(C370,Directions!$A$2:$A$100,0))</f>
        <v>0</v>
      </c>
      <c r="R370" s="12" t="n">
        <f aca="false">IF(L370=1,P370*Q370,"")</f>
        <v>0</v>
      </c>
      <c r="S370" s="12" t="str">
        <f aca="false">IF(L370&lt;&gt;1,"Excluded",IF(Q370=0,"No direction",IF(R370&gt;0,"Better",IF(R370&lt;0,"Worse","No change"))))</f>
        <v>No direction</v>
      </c>
      <c r="T370" s="12" t="s">
        <v>317</v>
      </c>
      <c r="U370" s="12" t="str">
        <f aca="false">C370&amp;"|"&amp;E370</f>
        <v>F5_05|NLD</v>
      </c>
    </row>
    <row r="371" customFormat="false" ht="15" hidden="false" customHeight="false" outlineLevel="0" collapsed="false">
      <c r="A371" s="12" t="n">
        <v>5</v>
      </c>
      <c r="B371" s="12" t="s">
        <v>312</v>
      </c>
      <c r="C371" s="12" t="s">
        <v>122</v>
      </c>
      <c r="D371" s="12" t="s">
        <v>123</v>
      </c>
      <c r="E371" s="12" t="s">
        <v>33</v>
      </c>
      <c r="F371" s="12" t="s">
        <v>33</v>
      </c>
      <c r="G371" s="12" t="s">
        <v>302</v>
      </c>
      <c r="H371" s="12" t="n">
        <v>239612</v>
      </c>
      <c r="I371" s="12" t="s">
        <v>293</v>
      </c>
      <c r="J371" s="12" t="s">
        <v>302</v>
      </c>
      <c r="K371" s="12" t="n">
        <v>4</v>
      </c>
      <c r="L371" s="28" t="n">
        <v>0</v>
      </c>
      <c r="M371" s="12" t="str">
        <f aca="false">IF(L371=1,COUNTIFS($C$2:$C$1090,C371,$L$2:$L$1090,1),"")</f>
        <v/>
      </c>
      <c r="N371" s="12" t="str">
        <f aca="false">IF(L371=1,1+COUNTIFS($C$2:$C$1090,C371,$L$2:$L$1090,1,$G$2:$G$1090,"&gt;"&amp;G371),"")</f>
        <v/>
      </c>
      <c r="O371" s="12" t="str">
        <f aca="false">IF(L371=1,1+COUNTIFS($C$2:$C$1090,C371,$L$2:$L$1090,1,$H$2:$H$1090,"&gt;"&amp;H371),"")</f>
        <v/>
      </c>
      <c r="P371" s="12" t="str">
        <f aca="false">IF(L371=1,N371-O371,"")</f>
        <v/>
      </c>
      <c r="Q371" s="12" t="n">
        <f aca="false">INDEX(Directions!$D$2:$D$100,MATCH(C371,Directions!$A$2:$A$100,0))</f>
        <v>0</v>
      </c>
      <c r="R371" s="12" t="str">
        <f aca="false">IF(L371=1,P371*Q371,"")</f>
        <v/>
      </c>
      <c r="S371" s="12" t="str">
        <f aca="false">IF(L371&lt;&gt;1,"Excluded",IF(Q371=0,"No direction",IF(R371&gt;0,"Better",IF(R371&lt;0,"Worse","No change"))))</f>
        <v>Excluded</v>
      </c>
      <c r="T371" s="12" t="s">
        <v>311</v>
      </c>
      <c r="U371" s="12" t="str">
        <f aca="false">C371&amp;"|"&amp;E371</f>
        <v>F5_05|CHE</v>
      </c>
    </row>
    <row r="372" customFormat="false" ht="15" hidden="false" customHeight="false" outlineLevel="0" collapsed="false">
      <c r="A372" s="12" t="n">
        <v>5</v>
      </c>
      <c r="B372" s="12" t="s">
        <v>312</v>
      </c>
      <c r="C372" s="12" t="s">
        <v>122</v>
      </c>
      <c r="D372" s="12" t="s">
        <v>123</v>
      </c>
      <c r="E372" s="12" t="s">
        <v>287</v>
      </c>
      <c r="F372" s="12" t="s">
        <v>34</v>
      </c>
      <c r="G372" s="12" t="s">
        <v>302</v>
      </c>
      <c r="H372" s="12" t="n">
        <v>140656</v>
      </c>
      <c r="I372" s="12" t="s">
        <v>293</v>
      </c>
      <c r="J372" s="12" t="s">
        <v>302</v>
      </c>
      <c r="K372" s="12" t="n">
        <v>10</v>
      </c>
      <c r="L372" s="28" t="n">
        <v>0</v>
      </c>
      <c r="M372" s="12" t="str">
        <f aca="false">IF(L372=1,COUNTIFS($C$2:$C$1090,C372,$L$2:$L$1090,1),"")</f>
        <v/>
      </c>
      <c r="N372" s="12" t="str">
        <f aca="false">IF(L372=1,1+COUNTIFS($C$2:$C$1090,C372,$L$2:$L$1090,1,$G$2:$G$1090,"&gt;"&amp;G372),"")</f>
        <v/>
      </c>
      <c r="O372" s="12" t="str">
        <f aca="false">IF(L372=1,1+COUNTIFS($C$2:$C$1090,C372,$L$2:$L$1090,1,$H$2:$H$1090,"&gt;"&amp;H372),"")</f>
        <v/>
      </c>
      <c r="P372" s="12" t="str">
        <f aca="false">IF(L372=1,N372-O372,"")</f>
        <v/>
      </c>
      <c r="Q372" s="12" t="n">
        <f aca="false">INDEX(Directions!$D$2:$D$100,MATCH(C372,Directions!$A$2:$A$100,0))</f>
        <v>0</v>
      </c>
      <c r="R372" s="12" t="str">
        <f aca="false">IF(L372=1,P372*Q372,"")</f>
        <v/>
      </c>
      <c r="S372" s="12" t="str">
        <f aca="false">IF(L372&lt;&gt;1,"Excluded",IF(Q372=0,"No direction",IF(R372&gt;0,"Better",IF(R372&lt;0,"Worse","No change"))))</f>
        <v>Excluded</v>
      </c>
      <c r="T372" s="12" t="s">
        <v>311</v>
      </c>
      <c r="U372" s="12" t="str">
        <f aca="false">C372&amp;"|"&amp;E372</f>
        <v>F5_05|DNK</v>
      </c>
    </row>
    <row r="373" customFormat="false" ht="15" hidden="false" customHeight="false" outlineLevel="0" collapsed="false">
      <c r="A373" s="12" t="n">
        <v>5</v>
      </c>
      <c r="B373" s="12" t="s">
        <v>312</v>
      </c>
      <c r="C373" s="12" t="s">
        <v>122</v>
      </c>
      <c r="D373" s="12" t="s">
        <v>123</v>
      </c>
      <c r="E373" s="12" t="s">
        <v>288</v>
      </c>
      <c r="F373" s="12" t="s">
        <v>35</v>
      </c>
      <c r="G373" s="12" t="n">
        <v>146286</v>
      </c>
      <c r="H373" s="12" t="n">
        <v>194315</v>
      </c>
      <c r="I373" s="12" t="s">
        <v>291</v>
      </c>
      <c r="J373" s="12" t="n">
        <v>3</v>
      </c>
      <c r="K373" s="12" t="n">
        <v>6</v>
      </c>
      <c r="L373" s="28" t="n">
        <v>1</v>
      </c>
      <c r="M373" s="12" t="n">
        <f aca="false">IF(L373=1,COUNTIFS($C$2:$C$1090,C373,$L$2:$L$1090,1),"")</f>
        <v>9</v>
      </c>
      <c r="N373" s="12" t="n">
        <f aca="false">IF(L373=1,1+COUNTIFS($C$2:$C$1090,C373,$L$2:$L$1090,1,$G$2:$G$1090,"&gt;"&amp;G373),"")</f>
        <v>3</v>
      </c>
      <c r="O373" s="12" t="n">
        <f aca="false">IF(L373=1,1+COUNTIFS($C$2:$C$1090,C373,$L$2:$L$1090,1,$H$2:$H$1090,"&gt;"&amp;H373),"")</f>
        <v>5</v>
      </c>
      <c r="P373" s="12" t="n">
        <f aca="false">IF(L373=1,N373-O373,"")</f>
        <v>-2</v>
      </c>
      <c r="Q373" s="12" t="n">
        <f aca="false">INDEX(Directions!$D$2:$D$100,MATCH(C373,Directions!$A$2:$A$100,0))</f>
        <v>0</v>
      </c>
      <c r="R373" s="12" t="n">
        <f aca="false">IF(L373=1,P373*Q373,"")</f>
        <v>-0</v>
      </c>
      <c r="S373" s="12" t="str">
        <f aca="false">IF(L373&lt;&gt;1,"Excluded",IF(Q373=0,"No direction",IF(R373&gt;0,"Better",IF(R373&lt;0,"Worse","No change"))))</f>
        <v>No direction</v>
      </c>
      <c r="T373" s="12" t="s">
        <v>317</v>
      </c>
      <c r="U373" s="12" t="str">
        <f aca="false">C373&amp;"|"&amp;E373</f>
        <v>F5_05|CAN</v>
      </c>
    </row>
    <row r="374" customFormat="false" ht="15" hidden="false" customHeight="false" outlineLevel="0" collapsed="false">
      <c r="A374" s="12" t="n">
        <v>5</v>
      </c>
      <c r="B374" s="12" t="s">
        <v>312</v>
      </c>
      <c r="C374" s="12" t="s">
        <v>122</v>
      </c>
      <c r="D374" s="12" t="s">
        <v>123</v>
      </c>
      <c r="E374" s="12" t="s">
        <v>289</v>
      </c>
      <c r="F374" s="12" t="s">
        <v>36</v>
      </c>
      <c r="G374" s="12" t="n">
        <v>124558</v>
      </c>
      <c r="H374" s="12" t="n">
        <v>153308</v>
      </c>
      <c r="I374" s="12" t="s">
        <v>293</v>
      </c>
      <c r="J374" s="12" t="n">
        <v>5</v>
      </c>
      <c r="K374" s="12" t="n">
        <v>8</v>
      </c>
      <c r="L374" s="28" t="n">
        <v>1</v>
      </c>
      <c r="M374" s="12" t="n">
        <f aca="false">IF(L374=1,COUNTIFS($C$2:$C$1090,C374,$L$2:$L$1090,1),"")</f>
        <v>9</v>
      </c>
      <c r="N374" s="12" t="n">
        <f aca="false">IF(L374=1,1+COUNTIFS($C$2:$C$1090,C374,$L$2:$L$1090,1,$G$2:$G$1090,"&gt;"&amp;G374),"")</f>
        <v>5</v>
      </c>
      <c r="O374" s="12" t="n">
        <f aca="false">IF(L374=1,1+COUNTIFS($C$2:$C$1090,C374,$L$2:$L$1090,1,$H$2:$H$1090,"&gt;"&amp;H374),"")</f>
        <v>7</v>
      </c>
      <c r="P374" s="12" t="n">
        <f aca="false">IF(L374=1,N374-O374,"")</f>
        <v>-2</v>
      </c>
      <c r="Q374" s="12" t="n">
        <f aca="false">INDEX(Directions!$D$2:$D$100,MATCH(C374,Directions!$A$2:$A$100,0))</f>
        <v>0</v>
      </c>
      <c r="R374" s="12" t="n">
        <f aca="false">IF(L374=1,P374*Q374,"")</f>
        <v>-0</v>
      </c>
      <c r="S374" s="12" t="str">
        <f aca="false">IF(L374&lt;&gt;1,"Excluded",IF(Q374=0,"No direction",IF(R374&gt;0,"Better",IF(R374&lt;0,"Worse","No change"))))</f>
        <v>No direction</v>
      </c>
      <c r="T374" s="12" t="s">
        <v>317</v>
      </c>
      <c r="U374" s="12" t="str">
        <f aca="false">C374&amp;"|"&amp;E374</f>
        <v>F5_05|JPN</v>
      </c>
    </row>
    <row r="375" customFormat="false" ht="15" hidden="false" customHeight="false" outlineLevel="0" collapsed="false">
      <c r="A375" s="12" t="n">
        <v>5</v>
      </c>
      <c r="B375" s="12" t="s">
        <v>312</v>
      </c>
      <c r="C375" s="12" t="s">
        <v>122</v>
      </c>
      <c r="D375" s="12" t="s">
        <v>123</v>
      </c>
      <c r="E375" s="12" t="s">
        <v>290</v>
      </c>
      <c r="F375" s="12" t="s">
        <v>37</v>
      </c>
      <c r="G375" s="12" t="n">
        <v>108564</v>
      </c>
      <c r="H375" s="12" t="n">
        <v>139970</v>
      </c>
      <c r="I375" s="12" t="s">
        <v>293</v>
      </c>
      <c r="J375" s="12" t="n">
        <v>8</v>
      </c>
      <c r="K375" s="12" t="n">
        <v>11</v>
      </c>
      <c r="L375" s="28" t="n">
        <v>1</v>
      </c>
      <c r="M375" s="12" t="n">
        <f aca="false">IF(L375=1,COUNTIFS($C$2:$C$1090,C375,$L$2:$L$1090,1),"")</f>
        <v>9</v>
      </c>
      <c r="N375" s="12" t="n">
        <f aca="false">IF(L375=1,1+COUNTIFS($C$2:$C$1090,C375,$L$2:$L$1090,1,$G$2:$G$1090,"&gt;"&amp;G375),"")</f>
        <v>8</v>
      </c>
      <c r="O375" s="12" t="n">
        <f aca="false">IF(L375=1,1+COUNTIFS($C$2:$C$1090,C375,$L$2:$L$1090,1,$H$2:$H$1090,"&gt;"&amp;H375),"")</f>
        <v>9</v>
      </c>
      <c r="P375" s="12" t="n">
        <f aca="false">IF(L375=1,N375-O375,"")</f>
        <v>-1</v>
      </c>
      <c r="Q375" s="12" t="n">
        <f aca="false">INDEX(Directions!$D$2:$D$100,MATCH(C375,Directions!$A$2:$A$100,0))</f>
        <v>0</v>
      </c>
      <c r="R375" s="12" t="n">
        <f aca="false">IF(L375=1,P375*Q375,"")</f>
        <v>-0</v>
      </c>
      <c r="S375" s="12" t="str">
        <f aca="false">IF(L375&lt;&gt;1,"Excluded",IF(Q375=0,"No direction",IF(R375&gt;0,"Better",IF(R375&lt;0,"Worse","No change"))))</f>
        <v>No direction</v>
      </c>
      <c r="T375" s="12" t="s">
        <v>317</v>
      </c>
      <c r="U375" s="12" t="str">
        <f aca="false">C375&amp;"|"&amp;E375</f>
        <v>F5_05|AUS</v>
      </c>
    </row>
    <row r="376" customFormat="false" ht="15" hidden="false" customHeight="false" outlineLevel="0" collapsed="false">
      <c r="A376" s="12" t="n">
        <v>5</v>
      </c>
      <c r="B376" s="12" t="s">
        <v>312</v>
      </c>
      <c r="C376" s="12" t="s">
        <v>124</v>
      </c>
      <c r="D376" s="12" t="s">
        <v>125</v>
      </c>
      <c r="E376" s="12" t="s">
        <v>281</v>
      </c>
      <c r="F376" s="12" t="s">
        <v>27</v>
      </c>
      <c r="G376" s="12" t="n">
        <v>316000</v>
      </c>
      <c r="H376" s="12" t="n">
        <v>417000</v>
      </c>
      <c r="I376" s="12" t="s">
        <v>282</v>
      </c>
      <c r="J376" s="12" t="n">
        <v>1</v>
      </c>
      <c r="K376" s="12" t="n">
        <v>1</v>
      </c>
      <c r="L376" s="28" t="n">
        <v>1</v>
      </c>
      <c r="M376" s="12" t="n">
        <f aca="false">IF(L376=1,COUNTIFS($C$2:$C$1090,C376,$L$2:$L$1090,1),"")</f>
        <v>9</v>
      </c>
      <c r="N376" s="12" t="n">
        <f aca="false">IF(L376=1,1+COUNTIFS($C$2:$C$1090,C376,$L$2:$L$1090,1,$G$2:$G$1090,"&gt;"&amp;G376),"")</f>
        <v>1</v>
      </c>
      <c r="O376" s="12" t="n">
        <f aca="false">IF(L376=1,1+COUNTIFS($C$2:$C$1090,C376,$L$2:$L$1090,1,$H$2:$H$1090,"&gt;"&amp;H376),"")</f>
        <v>1</v>
      </c>
      <c r="P376" s="12" t="n">
        <f aca="false">IF(L376=1,N376-O376,"")</f>
        <v>0</v>
      </c>
      <c r="Q376" s="12" t="n">
        <f aca="false">INDEX(Directions!$D$2:$D$100,MATCH(C376,Directions!$A$2:$A$100,0))</f>
        <v>0</v>
      </c>
      <c r="R376" s="12" t="n">
        <f aca="false">IF(L376=1,P376*Q376,"")</f>
        <v>0</v>
      </c>
      <c r="S376" s="12" t="str">
        <f aca="false">IF(L376&lt;&gt;1,"Excluded",IF(Q376=0,"No direction",IF(R376&gt;0,"Better",IF(R376&lt;0,"Worse","No change"))))</f>
        <v>No direction</v>
      </c>
      <c r="T376" s="12" t="s">
        <v>317</v>
      </c>
      <c r="U376" s="12" t="str">
        <f aca="false">C376&amp;"|"&amp;E376</f>
        <v>F5_06|USA</v>
      </c>
    </row>
    <row r="377" customFormat="false" ht="15" hidden="false" customHeight="false" outlineLevel="0" collapsed="false">
      <c r="A377" s="12" t="n">
        <v>5</v>
      </c>
      <c r="B377" s="12" t="s">
        <v>312</v>
      </c>
      <c r="C377" s="12" t="s">
        <v>124</v>
      </c>
      <c r="D377" s="12" t="s">
        <v>125</v>
      </c>
      <c r="E377" s="12" t="s">
        <v>283</v>
      </c>
      <c r="F377" s="12" t="s">
        <v>28</v>
      </c>
      <c r="G377" s="12" t="n">
        <v>171987</v>
      </c>
      <c r="H377" s="12" t="n">
        <v>201171</v>
      </c>
      <c r="I377" s="12" t="s">
        <v>296</v>
      </c>
      <c r="J377" s="12" t="n">
        <v>6</v>
      </c>
      <c r="K377" s="12" t="n">
        <v>7</v>
      </c>
      <c r="L377" s="28" t="n">
        <v>1</v>
      </c>
      <c r="M377" s="12" t="n">
        <f aca="false">IF(L377=1,COUNTIFS($C$2:$C$1090,C377,$L$2:$L$1090,1),"")</f>
        <v>9</v>
      </c>
      <c r="N377" s="12" t="n">
        <f aca="false">IF(L377=1,1+COUNTIFS($C$2:$C$1090,C377,$L$2:$L$1090,1,$G$2:$G$1090,"&gt;"&amp;G377),"")</f>
        <v>6</v>
      </c>
      <c r="O377" s="12" t="n">
        <f aca="false">IF(L377=1,1+COUNTIFS($C$2:$C$1090,C377,$L$2:$L$1090,1,$H$2:$H$1090,"&gt;"&amp;H377),"")</f>
        <v>6</v>
      </c>
      <c r="P377" s="12" t="n">
        <f aca="false">IF(L377=1,N377-O377,"")</f>
        <v>0</v>
      </c>
      <c r="Q377" s="12" t="n">
        <f aca="false">INDEX(Directions!$D$2:$D$100,MATCH(C377,Directions!$A$2:$A$100,0))</f>
        <v>0</v>
      </c>
      <c r="R377" s="12" t="n">
        <f aca="false">IF(L377=1,P377*Q377,"")</f>
        <v>0</v>
      </c>
      <c r="S377" s="12" t="str">
        <f aca="false">IF(L377&lt;&gt;1,"Excluded",IF(Q377=0,"No direction",IF(R377&gt;0,"Better",IF(R377&lt;0,"Worse","No change"))))</f>
        <v>No direction</v>
      </c>
      <c r="T377" s="12" t="s">
        <v>317</v>
      </c>
      <c r="U377" s="12" t="str">
        <f aca="false">C377&amp;"|"&amp;E377</f>
        <v>F5_06|GBR</v>
      </c>
    </row>
    <row r="378" customFormat="false" ht="15" hidden="false" customHeight="false" outlineLevel="0" collapsed="false">
      <c r="A378" s="12" t="n">
        <v>5</v>
      </c>
      <c r="B378" s="12" t="s">
        <v>312</v>
      </c>
      <c r="C378" s="12" t="s">
        <v>124</v>
      </c>
      <c r="D378" s="12" t="s">
        <v>125</v>
      </c>
      <c r="E378" s="12" t="s">
        <v>284</v>
      </c>
      <c r="F378" s="12" t="s">
        <v>29</v>
      </c>
      <c r="G378" s="12" t="n">
        <v>181243</v>
      </c>
      <c r="H378" s="12" t="n">
        <v>229534</v>
      </c>
      <c r="I378" s="12" t="s">
        <v>293</v>
      </c>
      <c r="J378" s="12" t="n">
        <v>5</v>
      </c>
      <c r="K378" s="12" t="n">
        <v>6</v>
      </c>
      <c r="L378" s="28" t="n">
        <v>1</v>
      </c>
      <c r="M378" s="12" t="n">
        <f aca="false">IF(L378=1,COUNTIFS($C$2:$C$1090,C378,$L$2:$L$1090,1),"")</f>
        <v>9</v>
      </c>
      <c r="N378" s="12" t="n">
        <f aca="false">IF(L378=1,1+COUNTIFS($C$2:$C$1090,C378,$L$2:$L$1090,1,$G$2:$G$1090,"&gt;"&amp;G378),"")</f>
        <v>5</v>
      </c>
      <c r="O378" s="12" t="n">
        <f aca="false">IF(L378=1,1+COUNTIFS($C$2:$C$1090,C378,$L$2:$L$1090,1,$H$2:$H$1090,"&gt;"&amp;H378),"")</f>
        <v>5</v>
      </c>
      <c r="P378" s="12" t="n">
        <f aca="false">IF(L378=1,N378-O378,"")</f>
        <v>0</v>
      </c>
      <c r="Q378" s="12" t="n">
        <f aca="false">INDEX(Directions!$D$2:$D$100,MATCH(C378,Directions!$A$2:$A$100,0))</f>
        <v>0</v>
      </c>
      <c r="R378" s="12" t="n">
        <f aca="false">IF(L378=1,P378*Q378,"")</f>
        <v>0</v>
      </c>
      <c r="S378" s="12" t="str">
        <f aca="false">IF(L378&lt;&gt;1,"Excluded",IF(Q378=0,"No direction",IF(R378&gt;0,"Better",IF(R378&lt;0,"Worse","No change"))))</f>
        <v>No direction</v>
      </c>
      <c r="T378" s="12" t="s">
        <v>317</v>
      </c>
      <c r="U378" s="12" t="str">
        <f aca="false">C378&amp;"|"&amp;E378</f>
        <v>F5_06|DEU</v>
      </c>
    </row>
    <row r="379" customFormat="false" ht="15" hidden="false" customHeight="false" outlineLevel="0" collapsed="false">
      <c r="A379" s="12" t="n">
        <v>5</v>
      </c>
      <c r="B379" s="12" t="s">
        <v>312</v>
      </c>
      <c r="C379" s="12" t="s">
        <v>124</v>
      </c>
      <c r="D379" s="12" t="s">
        <v>125</v>
      </c>
      <c r="E379" s="12" t="s">
        <v>285</v>
      </c>
      <c r="F379" s="12" t="s">
        <v>30</v>
      </c>
      <c r="G379" s="12" t="n">
        <v>98452</v>
      </c>
      <c r="H379" s="12" t="n">
        <v>137526</v>
      </c>
      <c r="I379" s="12" t="s">
        <v>293</v>
      </c>
      <c r="J379" s="12" t="n">
        <v>9</v>
      </c>
      <c r="K379" s="12" t="n">
        <v>10</v>
      </c>
      <c r="L379" s="28" t="n">
        <v>1</v>
      </c>
      <c r="M379" s="12" t="n">
        <f aca="false">IF(L379=1,COUNTIFS($C$2:$C$1090,C379,$L$2:$L$1090,1),"")</f>
        <v>9</v>
      </c>
      <c r="N379" s="12" t="n">
        <f aca="false">IF(L379=1,1+COUNTIFS($C$2:$C$1090,C379,$L$2:$L$1090,1,$G$2:$G$1090,"&gt;"&amp;G379),"")</f>
        <v>9</v>
      </c>
      <c r="O379" s="12" t="n">
        <f aca="false">IF(L379=1,1+COUNTIFS($C$2:$C$1090,C379,$L$2:$L$1090,1,$H$2:$H$1090,"&gt;"&amp;H379),"")</f>
        <v>9</v>
      </c>
      <c r="P379" s="12" t="n">
        <f aca="false">IF(L379=1,N379-O379,"")</f>
        <v>0</v>
      </c>
      <c r="Q379" s="12" t="n">
        <f aca="false">INDEX(Directions!$D$2:$D$100,MATCH(C379,Directions!$A$2:$A$100,0))</f>
        <v>0</v>
      </c>
      <c r="R379" s="12" t="n">
        <f aca="false">IF(L379=1,P379*Q379,"")</f>
        <v>0</v>
      </c>
      <c r="S379" s="12" t="str">
        <f aca="false">IF(L379&lt;&gt;1,"Excluded",IF(Q379=0,"No direction",IF(R379&gt;0,"Better",IF(R379&lt;0,"Worse","No change"))))</f>
        <v>No direction</v>
      </c>
      <c r="T379" s="12" t="s">
        <v>317</v>
      </c>
      <c r="U379" s="12" t="str">
        <f aca="false">C379&amp;"|"&amp;E379</f>
        <v>F5_06|SWE</v>
      </c>
    </row>
    <row r="380" customFormat="false" ht="15" hidden="false" customHeight="false" outlineLevel="0" collapsed="false">
      <c r="A380" s="12" t="n">
        <v>5</v>
      </c>
      <c r="B380" s="12" t="s">
        <v>312</v>
      </c>
      <c r="C380" s="12" t="s">
        <v>124</v>
      </c>
      <c r="D380" s="12" t="s">
        <v>125</v>
      </c>
      <c r="E380" s="12" t="s">
        <v>286</v>
      </c>
      <c r="F380" s="12" t="s">
        <v>31</v>
      </c>
      <c r="G380" s="12" t="n">
        <v>153180</v>
      </c>
      <c r="H380" s="12" t="n">
        <v>146823</v>
      </c>
      <c r="I380" s="12" t="s">
        <v>291</v>
      </c>
      <c r="J380" s="12" t="n">
        <v>7</v>
      </c>
      <c r="K380" s="12" t="n">
        <v>9</v>
      </c>
      <c r="L380" s="28" t="n">
        <v>1</v>
      </c>
      <c r="M380" s="12" t="n">
        <f aca="false">IF(L380=1,COUNTIFS($C$2:$C$1090,C380,$L$2:$L$1090,1),"")</f>
        <v>9</v>
      </c>
      <c r="N380" s="12" t="n">
        <f aca="false">IF(L380=1,1+COUNTIFS($C$2:$C$1090,C380,$L$2:$L$1090,1,$G$2:$G$1090,"&gt;"&amp;G380),"")</f>
        <v>7</v>
      </c>
      <c r="O380" s="12" t="n">
        <f aca="false">IF(L380=1,1+COUNTIFS($C$2:$C$1090,C380,$L$2:$L$1090,1,$H$2:$H$1090,"&gt;"&amp;H380),"")</f>
        <v>8</v>
      </c>
      <c r="P380" s="12" t="n">
        <f aca="false">IF(L380=1,N380-O380,"")</f>
        <v>-1</v>
      </c>
      <c r="Q380" s="12" t="n">
        <f aca="false">INDEX(Directions!$D$2:$D$100,MATCH(C380,Directions!$A$2:$A$100,0))</f>
        <v>0</v>
      </c>
      <c r="R380" s="12" t="n">
        <f aca="false">IF(L380=1,P380*Q380,"")</f>
        <v>-0</v>
      </c>
      <c r="S380" s="12" t="str">
        <f aca="false">IF(L380&lt;&gt;1,"Excluded",IF(Q380=0,"No direction",IF(R380&gt;0,"Better",IF(R380&lt;0,"Worse","No change"))))</f>
        <v>No direction</v>
      </c>
      <c r="T380" s="12" t="s">
        <v>317</v>
      </c>
      <c r="U380" s="12" t="str">
        <f aca="false">C380&amp;"|"&amp;E380</f>
        <v>F5_06|FRA</v>
      </c>
    </row>
    <row r="381" customFormat="false" ht="15" hidden="false" customHeight="false" outlineLevel="0" collapsed="false">
      <c r="A381" s="12" t="n">
        <v>5</v>
      </c>
      <c r="B381" s="12" t="s">
        <v>312</v>
      </c>
      <c r="C381" s="12" t="s">
        <v>124</v>
      </c>
      <c r="D381" s="12" t="s">
        <v>125</v>
      </c>
      <c r="E381" s="12" t="s">
        <v>32</v>
      </c>
      <c r="F381" s="12" t="s">
        <v>32</v>
      </c>
      <c r="G381" s="12" t="n">
        <v>191995</v>
      </c>
      <c r="H381" s="12" t="n">
        <v>244321</v>
      </c>
      <c r="I381" s="12" t="s">
        <v>291</v>
      </c>
      <c r="J381" s="12" t="n">
        <v>3</v>
      </c>
      <c r="K381" s="12" t="n">
        <v>4</v>
      </c>
      <c r="L381" s="28" t="n">
        <v>1</v>
      </c>
      <c r="M381" s="12" t="n">
        <f aca="false">IF(L381=1,COUNTIFS($C$2:$C$1090,C381,$L$2:$L$1090,1),"")</f>
        <v>9</v>
      </c>
      <c r="N381" s="12" t="n">
        <f aca="false">IF(L381=1,1+COUNTIFS($C$2:$C$1090,C381,$L$2:$L$1090,1,$G$2:$G$1090,"&gt;"&amp;G381),"")</f>
        <v>3</v>
      </c>
      <c r="O381" s="12" t="n">
        <f aca="false">IF(L381=1,1+COUNTIFS($C$2:$C$1090,C381,$L$2:$L$1090,1,$H$2:$H$1090,"&gt;"&amp;H381),"")</f>
        <v>3</v>
      </c>
      <c r="P381" s="12" t="n">
        <f aca="false">IF(L381=1,N381-O381,"")</f>
        <v>0</v>
      </c>
      <c r="Q381" s="12" t="n">
        <f aca="false">INDEX(Directions!$D$2:$D$100,MATCH(C381,Directions!$A$2:$A$100,0))</f>
        <v>0</v>
      </c>
      <c r="R381" s="12" t="n">
        <f aca="false">IF(L381=1,P381*Q381,"")</f>
        <v>0</v>
      </c>
      <c r="S381" s="12" t="str">
        <f aca="false">IF(L381&lt;&gt;1,"Excluded",IF(Q381=0,"No direction",IF(R381&gt;0,"Better",IF(R381&lt;0,"Worse","No change"))))</f>
        <v>No direction</v>
      </c>
      <c r="T381" s="12" t="s">
        <v>317</v>
      </c>
      <c r="U381" s="12" t="str">
        <f aca="false">C381&amp;"|"&amp;E381</f>
        <v>F5_06|NLD</v>
      </c>
    </row>
    <row r="382" customFormat="false" ht="15" hidden="false" customHeight="false" outlineLevel="0" collapsed="false">
      <c r="A382" s="12" t="n">
        <v>5</v>
      </c>
      <c r="B382" s="12" t="s">
        <v>312</v>
      </c>
      <c r="C382" s="12" t="s">
        <v>124</v>
      </c>
      <c r="D382" s="12" t="s">
        <v>125</v>
      </c>
      <c r="E382" s="12" t="s">
        <v>33</v>
      </c>
      <c r="F382" s="12" t="s">
        <v>33</v>
      </c>
      <c r="G382" s="12" t="s">
        <v>302</v>
      </c>
      <c r="H382" s="12" t="n">
        <v>266632</v>
      </c>
      <c r="I382" s="12" t="s">
        <v>293</v>
      </c>
      <c r="J382" s="12" t="s">
        <v>302</v>
      </c>
      <c r="K382" s="12" t="n">
        <v>3</v>
      </c>
      <c r="L382" s="28" t="n">
        <v>0</v>
      </c>
      <c r="M382" s="12" t="str">
        <f aca="false">IF(L382=1,COUNTIFS($C$2:$C$1090,C382,$L$2:$L$1090,1),"")</f>
        <v/>
      </c>
      <c r="N382" s="12" t="str">
        <f aca="false">IF(L382=1,1+COUNTIFS($C$2:$C$1090,C382,$L$2:$L$1090,1,$G$2:$G$1090,"&gt;"&amp;G382),"")</f>
        <v/>
      </c>
      <c r="O382" s="12" t="str">
        <f aca="false">IF(L382=1,1+COUNTIFS($C$2:$C$1090,C382,$L$2:$L$1090,1,$H$2:$H$1090,"&gt;"&amp;H382),"")</f>
        <v/>
      </c>
      <c r="P382" s="12" t="str">
        <f aca="false">IF(L382=1,N382-O382,"")</f>
        <v/>
      </c>
      <c r="Q382" s="12" t="n">
        <f aca="false">INDEX(Directions!$D$2:$D$100,MATCH(C382,Directions!$A$2:$A$100,0))</f>
        <v>0</v>
      </c>
      <c r="R382" s="12" t="str">
        <f aca="false">IF(L382=1,P382*Q382,"")</f>
        <v/>
      </c>
      <c r="S382" s="12" t="str">
        <f aca="false">IF(L382&lt;&gt;1,"Excluded",IF(Q382=0,"No direction",IF(R382&gt;0,"Better",IF(R382&lt;0,"Worse","No change"))))</f>
        <v>Excluded</v>
      </c>
      <c r="T382" s="12" t="s">
        <v>311</v>
      </c>
      <c r="U382" s="12" t="str">
        <f aca="false">C382&amp;"|"&amp;E382</f>
        <v>F5_06|CHE</v>
      </c>
    </row>
    <row r="383" customFormat="false" ht="15" hidden="false" customHeight="false" outlineLevel="0" collapsed="false">
      <c r="A383" s="12" t="n">
        <v>5</v>
      </c>
      <c r="B383" s="12" t="s">
        <v>312</v>
      </c>
      <c r="C383" s="12" t="s">
        <v>124</v>
      </c>
      <c r="D383" s="12" t="s">
        <v>125</v>
      </c>
      <c r="E383" s="12" t="s">
        <v>287</v>
      </c>
      <c r="F383" s="12" t="s">
        <v>34</v>
      </c>
      <c r="G383" s="12" t="n">
        <v>140505</v>
      </c>
      <c r="H383" s="12" t="n">
        <v>190450</v>
      </c>
      <c r="I383" s="12" t="s">
        <v>293</v>
      </c>
      <c r="J383" s="12" t="n">
        <v>8</v>
      </c>
      <c r="K383" s="12" t="n">
        <v>8</v>
      </c>
      <c r="L383" s="28" t="n">
        <v>1</v>
      </c>
      <c r="M383" s="12" t="n">
        <f aca="false">IF(L383=1,COUNTIFS($C$2:$C$1090,C383,$L$2:$L$1090,1),"")</f>
        <v>9</v>
      </c>
      <c r="N383" s="12" t="n">
        <f aca="false">IF(L383=1,1+COUNTIFS($C$2:$C$1090,C383,$L$2:$L$1090,1,$G$2:$G$1090,"&gt;"&amp;G383),"")</f>
        <v>8</v>
      </c>
      <c r="O383" s="12" t="n">
        <f aca="false">IF(L383=1,1+COUNTIFS($C$2:$C$1090,C383,$L$2:$L$1090,1,$H$2:$H$1090,"&gt;"&amp;H383),"")</f>
        <v>7</v>
      </c>
      <c r="P383" s="12" t="n">
        <f aca="false">IF(L383=1,N383-O383,"")</f>
        <v>1</v>
      </c>
      <c r="Q383" s="12" t="n">
        <f aca="false">INDEX(Directions!$D$2:$D$100,MATCH(C383,Directions!$A$2:$A$100,0))</f>
        <v>0</v>
      </c>
      <c r="R383" s="12" t="n">
        <f aca="false">IF(L383=1,P383*Q383,"")</f>
        <v>0</v>
      </c>
      <c r="S383" s="12" t="str">
        <f aca="false">IF(L383&lt;&gt;1,"Excluded",IF(Q383=0,"No direction",IF(R383&gt;0,"Better",IF(R383&lt;0,"Worse","No change"))))</f>
        <v>No direction</v>
      </c>
      <c r="T383" s="12" t="s">
        <v>317</v>
      </c>
      <c r="U383" s="12" t="str">
        <f aca="false">C383&amp;"|"&amp;E383</f>
        <v>F5_06|DNK</v>
      </c>
    </row>
    <row r="384" customFormat="false" ht="15" hidden="false" customHeight="false" outlineLevel="0" collapsed="false">
      <c r="A384" s="12" t="n">
        <v>5</v>
      </c>
      <c r="B384" s="12" t="s">
        <v>312</v>
      </c>
      <c r="C384" s="12" t="s">
        <v>124</v>
      </c>
      <c r="D384" s="12" t="s">
        <v>125</v>
      </c>
      <c r="E384" s="12" t="s">
        <v>288</v>
      </c>
      <c r="F384" s="12" t="s">
        <v>35</v>
      </c>
      <c r="G384" s="12" t="n">
        <v>188260</v>
      </c>
      <c r="H384" s="12" t="n">
        <v>304083</v>
      </c>
      <c r="I384" s="12" t="s">
        <v>291</v>
      </c>
      <c r="J384" s="12" t="n">
        <v>4</v>
      </c>
      <c r="K384" s="12" t="n">
        <v>2</v>
      </c>
      <c r="L384" s="28" t="n">
        <v>1</v>
      </c>
      <c r="M384" s="12" t="n">
        <f aca="false">IF(L384=1,COUNTIFS($C$2:$C$1090,C384,$L$2:$L$1090,1),"")</f>
        <v>9</v>
      </c>
      <c r="N384" s="12" t="n">
        <f aca="false">IF(L384=1,1+COUNTIFS($C$2:$C$1090,C384,$L$2:$L$1090,1,$G$2:$G$1090,"&gt;"&amp;G384),"")</f>
        <v>4</v>
      </c>
      <c r="O384" s="12" t="n">
        <f aca="false">IF(L384=1,1+COUNTIFS($C$2:$C$1090,C384,$L$2:$L$1090,1,$H$2:$H$1090,"&gt;"&amp;H384),"")</f>
        <v>2</v>
      </c>
      <c r="P384" s="12" t="n">
        <f aca="false">IF(L384=1,N384-O384,"")</f>
        <v>2</v>
      </c>
      <c r="Q384" s="12" t="n">
        <f aca="false">INDEX(Directions!$D$2:$D$100,MATCH(C384,Directions!$A$2:$A$100,0))</f>
        <v>0</v>
      </c>
      <c r="R384" s="12" t="n">
        <f aca="false">IF(L384=1,P384*Q384,"")</f>
        <v>0</v>
      </c>
      <c r="S384" s="12" t="str">
        <f aca="false">IF(L384&lt;&gt;1,"Excluded",IF(Q384=0,"No direction",IF(R384&gt;0,"Better",IF(R384&lt;0,"Worse","No change"))))</f>
        <v>No direction</v>
      </c>
      <c r="T384" s="12" t="s">
        <v>317</v>
      </c>
      <c r="U384" s="12" t="str">
        <f aca="false">C384&amp;"|"&amp;E384</f>
        <v>F5_06|CAN</v>
      </c>
    </row>
    <row r="385" customFormat="false" ht="15" hidden="false" customHeight="false" outlineLevel="0" collapsed="false">
      <c r="A385" s="12" t="n">
        <v>5</v>
      </c>
      <c r="B385" s="12" t="s">
        <v>312</v>
      </c>
      <c r="C385" s="12" t="s">
        <v>124</v>
      </c>
      <c r="D385" s="12" t="s">
        <v>125</v>
      </c>
      <c r="E385" s="12" t="s">
        <v>289</v>
      </c>
      <c r="F385" s="12" t="s">
        <v>36</v>
      </c>
      <c r="G385" s="12" t="s">
        <v>302</v>
      </c>
      <c r="H385" s="12" t="s">
        <v>302</v>
      </c>
      <c r="I385" s="12"/>
      <c r="J385" s="12" t="s">
        <v>302</v>
      </c>
      <c r="K385" s="12" t="s">
        <v>302</v>
      </c>
      <c r="L385" s="28" t="n">
        <v>0</v>
      </c>
      <c r="M385" s="12" t="str">
        <f aca="false">IF(L385=1,COUNTIFS($C$2:$C$1090,C385,$L$2:$L$1090,1),"")</f>
        <v/>
      </c>
      <c r="N385" s="12" t="str">
        <f aca="false">IF(L385=1,1+COUNTIFS($C$2:$C$1090,C385,$L$2:$L$1090,1,$G$2:$G$1090,"&gt;"&amp;G385),"")</f>
        <v/>
      </c>
      <c r="O385" s="12" t="str">
        <f aca="false">IF(L385=1,1+COUNTIFS($C$2:$C$1090,C385,$L$2:$L$1090,1,$H$2:$H$1090,"&gt;"&amp;H385),"")</f>
        <v/>
      </c>
      <c r="P385" s="12" t="str">
        <f aca="false">IF(L385=1,N385-O385,"")</f>
        <v/>
      </c>
      <c r="Q385" s="12" t="n">
        <f aca="false">INDEX(Directions!$D$2:$D$100,MATCH(C385,Directions!$A$2:$A$100,0))</f>
        <v>0</v>
      </c>
      <c r="R385" s="12" t="str">
        <f aca="false">IF(L385=1,P385*Q385,"")</f>
        <v/>
      </c>
      <c r="S385" s="12" t="str">
        <f aca="false">IF(L385&lt;&gt;1,"Excluded",IF(Q385=0,"No direction",IF(R385&gt;0,"Better",IF(R385&lt;0,"Worse","No change"))))</f>
        <v>Excluded</v>
      </c>
      <c r="T385" s="12" t="s">
        <v>304</v>
      </c>
      <c r="U385" s="12" t="str">
        <f aca="false">C385&amp;"|"&amp;E385</f>
        <v>F5_06|JPN</v>
      </c>
    </row>
    <row r="386" customFormat="false" ht="15" hidden="false" customHeight="false" outlineLevel="0" collapsed="false">
      <c r="A386" s="12" t="n">
        <v>5</v>
      </c>
      <c r="B386" s="12" t="s">
        <v>312</v>
      </c>
      <c r="C386" s="12" t="s">
        <v>124</v>
      </c>
      <c r="D386" s="12" t="s">
        <v>125</v>
      </c>
      <c r="E386" s="12" t="s">
        <v>290</v>
      </c>
      <c r="F386" s="12" t="s">
        <v>37</v>
      </c>
      <c r="G386" s="12" t="n">
        <v>202291</v>
      </c>
      <c r="H386" s="12" t="n">
        <v>238134</v>
      </c>
      <c r="I386" s="12" t="s">
        <v>293</v>
      </c>
      <c r="J386" s="12" t="n">
        <v>2</v>
      </c>
      <c r="K386" s="12" t="n">
        <v>5</v>
      </c>
      <c r="L386" s="28" t="n">
        <v>1</v>
      </c>
      <c r="M386" s="12" t="n">
        <f aca="false">IF(L386=1,COUNTIFS($C$2:$C$1090,C386,$L$2:$L$1090,1),"")</f>
        <v>9</v>
      </c>
      <c r="N386" s="12" t="n">
        <f aca="false">IF(L386=1,1+COUNTIFS($C$2:$C$1090,C386,$L$2:$L$1090,1,$G$2:$G$1090,"&gt;"&amp;G386),"")</f>
        <v>2</v>
      </c>
      <c r="O386" s="12" t="n">
        <f aca="false">IF(L386=1,1+COUNTIFS($C$2:$C$1090,C386,$L$2:$L$1090,1,$H$2:$H$1090,"&gt;"&amp;H386),"")</f>
        <v>4</v>
      </c>
      <c r="P386" s="12" t="n">
        <f aca="false">IF(L386=1,N386-O386,"")</f>
        <v>-2</v>
      </c>
      <c r="Q386" s="12" t="n">
        <f aca="false">INDEX(Directions!$D$2:$D$100,MATCH(C386,Directions!$A$2:$A$100,0))</f>
        <v>0</v>
      </c>
      <c r="R386" s="12" t="n">
        <f aca="false">IF(L386=1,P386*Q386,"")</f>
        <v>-0</v>
      </c>
      <c r="S386" s="12" t="str">
        <f aca="false">IF(L386&lt;&gt;1,"Excluded",IF(Q386=0,"No direction",IF(R386&gt;0,"Better",IF(R386&lt;0,"Worse","No change"))))</f>
        <v>No direction</v>
      </c>
      <c r="T386" s="12" t="s">
        <v>317</v>
      </c>
      <c r="U386" s="12" t="str">
        <f aca="false">C386&amp;"|"&amp;E386</f>
        <v>F5_06|AUS</v>
      </c>
    </row>
    <row r="387" customFormat="false" ht="15" hidden="false" customHeight="false" outlineLevel="0" collapsed="false">
      <c r="A387" s="12" t="n">
        <v>5</v>
      </c>
      <c r="B387" s="12" t="s">
        <v>312</v>
      </c>
      <c r="C387" s="12" t="s">
        <v>126</v>
      </c>
      <c r="D387" s="12" t="s">
        <v>127</v>
      </c>
      <c r="E387" s="12" t="s">
        <v>281</v>
      </c>
      <c r="F387" s="12" t="s">
        <v>27</v>
      </c>
      <c r="G387" s="12" t="n">
        <v>74160</v>
      </c>
      <c r="H387" s="12" t="n">
        <v>103729</v>
      </c>
      <c r="I387" s="12" t="s">
        <v>293</v>
      </c>
      <c r="J387" s="12" t="n">
        <v>1</v>
      </c>
      <c r="K387" s="12" t="n">
        <v>1</v>
      </c>
      <c r="L387" s="28" t="n">
        <v>1</v>
      </c>
      <c r="M387" s="12" t="n">
        <f aca="false">IF(L387=1,COUNTIFS($C$2:$C$1090,C387,$L$2:$L$1090,1),"")</f>
        <v>9</v>
      </c>
      <c r="N387" s="12" t="n">
        <f aca="false">IF(L387=1,1+COUNTIFS($C$2:$C$1090,C387,$L$2:$L$1090,1,$G$2:$G$1090,"&gt;"&amp;G387),"")</f>
        <v>1</v>
      </c>
      <c r="O387" s="12" t="n">
        <f aca="false">IF(L387=1,1+COUNTIFS($C$2:$C$1090,C387,$L$2:$L$1090,1,$H$2:$H$1090,"&gt;"&amp;H387),"")</f>
        <v>1</v>
      </c>
      <c r="P387" s="12" t="n">
        <f aca="false">IF(L387=1,N387-O387,"")</f>
        <v>0</v>
      </c>
      <c r="Q387" s="12" t="n">
        <f aca="false">INDEX(Directions!$D$2:$D$100,MATCH(C387,Directions!$A$2:$A$100,0))</f>
        <v>0</v>
      </c>
      <c r="R387" s="12" t="n">
        <f aca="false">IF(L387=1,P387*Q387,"")</f>
        <v>0</v>
      </c>
      <c r="S387" s="12" t="str">
        <f aca="false">IF(L387&lt;&gt;1,"Excluded",IF(Q387=0,"No direction",IF(R387&gt;0,"Better",IF(R387&lt;0,"Worse","No change"))))</f>
        <v>No direction</v>
      </c>
      <c r="T387" s="12"/>
      <c r="U387" s="12" t="str">
        <f aca="false">C387&amp;"|"&amp;E387</f>
        <v>F5_07|USA</v>
      </c>
    </row>
    <row r="388" customFormat="false" ht="15" hidden="false" customHeight="false" outlineLevel="0" collapsed="false">
      <c r="A388" s="12" t="n">
        <v>5</v>
      </c>
      <c r="B388" s="12" t="s">
        <v>312</v>
      </c>
      <c r="C388" s="12" t="s">
        <v>126</v>
      </c>
      <c r="D388" s="12" t="s">
        <v>127</v>
      </c>
      <c r="E388" s="12" t="s">
        <v>283</v>
      </c>
      <c r="F388" s="12" t="s">
        <v>28</v>
      </c>
      <c r="G388" s="12" t="n">
        <v>49894</v>
      </c>
      <c r="H388" s="12" t="n">
        <v>58187</v>
      </c>
      <c r="I388" s="12" t="s">
        <v>293</v>
      </c>
      <c r="J388" s="12" t="n">
        <v>7</v>
      </c>
      <c r="K388" s="12" t="n">
        <v>10</v>
      </c>
      <c r="L388" s="28" t="n">
        <v>1</v>
      </c>
      <c r="M388" s="12" t="n">
        <f aca="false">IF(L388=1,COUNTIFS($C$2:$C$1090,C388,$L$2:$L$1090,1),"")</f>
        <v>9</v>
      </c>
      <c r="N388" s="12" t="n">
        <f aca="false">IF(L388=1,1+COUNTIFS($C$2:$C$1090,C388,$L$2:$L$1090,1,$G$2:$G$1090,"&gt;"&amp;G388),"")</f>
        <v>7</v>
      </c>
      <c r="O388" s="12" t="n">
        <f aca="false">IF(L388=1,1+COUNTIFS($C$2:$C$1090,C388,$L$2:$L$1090,1,$H$2:$H$1090,"&gt;"&amp;H388),"")</f>
        <v>8</v>
      </c>
      <c r="P388" s="12" t="n">
        <f aca="false">IF(L388=1,N388-O388,"")</f>
        <v>-1</v>
      </c>
      <c r="Q388" s="12" t="n">
        <f aca="false">INDEX(Directions!$D$2:$D$100,MATCH(C388,Directions!$A$2:$A$100,0))</f>
        <v>0</v>
      </c>
      <c r="R388" s="12" t="n">
        <f aca="false">IF(L388=1,P388*Q388,"")</f>
        <v>-0</v>
      </c>
      <c r="S388" s="12" t="str">
        <f aca="false">IF(L388&lt;&gt;1,"Excluded",IF(Q388=0,"No direction",IF(R388&gt;0,"Better",IF(R388&lt;0,"Worse","No change"))))</f>
        <v>No direction</v>
      </c>
      <c r="T388" s="12"/>
      <c r="U388" s="12" t="str">
        <f aca="false">C388&amp;"|"&amp;E388</f>
        <v>F5_07|GBR</v>
      </c>
    </row>
    <row r="389" customFormat="false" ht="15" hidden="false" customHeight="false" outlineLevel="0" collapsed="false">
      <c r="A389" s="12" t="n">
        <v>5</v>
      </c>
      <c r="B389" s="12" t="s">
        <v>312</v>
      </c>
      <c r="C389" s="12" t="s">
        <v>126</v>
      </c>
      <c r="D389" s="12" t="s">
        <v>127</v>
      </c>
      <c r="E389" s="12" t="s">
        <v>284</v>
      </c>
      <c r="F389" s="12" t="s">
        <v>29</v>
      </c>
      <c r="G389" s="12" t="n">
        <v>53668</v>
      </c>
      <c r="H389" s="12" t="n">
        <v>81723</v>
      </c>
      <c r="I389" s="12" t="s">
        <v>294</v>
      </c>
      <c r="J389" s="12" t="n">
        <v>6</v>
      </c>
      <c r="K389" s="12" t="n">
        <v>5</v>
      </c>
      <c r="L389" s="28" t="n">
        <v>1</v>
      </c>
      <c r="M389" s="12" t="n">
        <f aca="false">IF(L389=1,COUNTIFS($C$2:$C$1090,C389,$L$2:$L$1090,1),"")</f>
        <v>9</v>
      </c>
      <c r="N389" s="12" t="n">
        <f aca="false">IF(L389=1,1+COUNTIFS($C$2:$C$1090,C389,$L$2:$L$1090,1,$G$2:$G$1090,"&gt;"&amp;G389),"")</f>
        <v>6</v>
      </c>
      <c r="O389" s="12" t="n">
        <f aca="false">IF(L389=1,1+COUNTIFS($C$2:$C$1090,C389,$L$2:$L$1090,1,$H$2:$H$1090,"&gt;"&amp;H389),"")</f>
        <v>5</v>
      </c>
      <c r="P389" s="12" t="n">
        <f aca="false">IF(L389=1,N389-O389,"")</f>
        <v>1</v>
      </c>
      <c r="Q389" s="12" t="n">
        <f aca="false">INDEX(Directions!$D$2:$D$100,MATCH(C389,Directions!$A$2:$A$100,0))</f>
        <v>0</v>
      </c>
      <c r="R389" s="12" t="n">
        <f aca="false">IF(L389=1,P389*Q389,"")</f>
        <v>0</v>
      </c>
      <c r="S389" s="12" t="str">
        <f aca="false">IF(L389&lt;&gt;1,"Excluded",IF(Q389=0,"No direction",IF(R389&gt;0,"Better",IF(R389&lt;0,"Worse","No change"))))</f>
        <v>No direction</v>
      </c>
      <c r="T389" s="12"/>
      <c r="U389" s="12" t="str">
        <f aca="false">C389&amp;"|"&amp;E389</f>
        <v>F5_07|DEU</v>
      </c>
    </row>
    <row r="390" customFormat="false" ht="15" hidden="false" customHeight="false" outlineLevel="0" collapsed="false">
      <c r="A390" s="12" t="n">
        <v>5</v>
      </c>
      <c r="B390" s="12" t="s">
        <v>312</v>
      </c>
      <c r="C390" s="12" t="s">
        <v>126</v>
      </c>
      <c r="D390" s="12" t="s">
        <v>127</v>
      </c>
      <c r="E390" s="12" t="s">
        <v>285</v>
      </c>
      <c r="F390" s="12" t="s">
        <v>30</v>
      </c>
      <c r="G390" s="12" t="s">
        <v>302</v>
      </c>
      <c r="H390" s="12" t="n">
        <v>62900</v>
      </c>
      <c r="I390" s="12" t="s">
        <v>293</v>
      </c>
      <c r="J390" s="12" t="s">
        <v>302</v>
      </c>
      <c r="K390" s="12" t="n">
        <v>8</v>
      </c>
      <c r="L390" s="28" t="n">
        <v>0</v>
      </c>
      <c r="M390" s="12" t="str">
        <f aca="false">IF(L390=1,COUNTIFS($C$2:$C$1090,C390,$L$2:$L$1090,1),"")</f>
        <v/>
      </c>
      <c r="N390" s="12" t="str">
        <f aca="false">IF(L390=1,1+COUNTIFS($C$2:$C$1090,C390,$L$2:$L$1090,1,$G$2:$G$1090,"&gt;"&amp;G390),"")</f>
        <v/>
      </c>
      <c r="O390" s="12" t="str">
        <f aca="false">IF(L390=1,1+COUNTIFS($C$2:$C$1090,C390,$L$2:$L$1090,1,$H$2:$H$1090,"&gt;"&amp;H390),"")</f>
        <v/>
      </c>
      <c r="P390" s="12" t="str">
        <f aca="false">IF(L390=1,N390-O390,"")</f>
        <v/>
      </c>
      <c r="Q390" s="12" t="n">
        <f aca="false">INDEX(Directions!$D$2:$D$100,MATCH(C390,Directions!$A$2:$A$100,0))</f>
        <v>0</v>
      </c>
      <c r="R390" s="12" t="str">
        <f aca="false">IF(L390=1,P390*Q390,"")</f>
        <v/>
      </c>
      <c r="S390" s="12" t="str">
        <f aca="false">IF(L390&lt;&gt;1,"Excluded",IF(Q390=0,"No direction",IF(R390&gt;0,"Better",IF(R390&lt;0,"Worse","No change"))))</f>
        <v>Excluded</v>
      </c>
      <c r="T390" s="12" t="s">
        <v>311</v>
      </c>
      <c r="U390" s="12" t="str">
        <f aca="false">C390&amp;"|"&amp;E390</f>
        <v>F5_07|SWE</v>
      </c>
    </row>
    <row r="391" customFormat="false" ht="15" hidden="false" customHeight="false" outlineLevel="0" collapsed="false">
      <c r="A391" s="12" t="n">
        <v>5</v>
      </c>
      <c r="B391" s="12" t="s">
        <v>312</v>
      </c>
      <c r="C391" s="12" t="s">
        <v>126</v>
      </c>
      <c r="D391" s="12" t="s">
        <v>127</v>
      </c>
      <c r="E391" s="12" t="s">
        <v>286</v>
      </c>
      <c r="F391" s="12" t="s">
        <v>31</v>
      </c>
      <c r="G391" s="12" t="n">
        <v>42492</v>
      </c>
      <c r="H391" s="12" t="n">
        <v>61767</v>
      </c>
      <c r="I391" s="12" t="s">
        <v>291</v>
      </c>
      <c r="J391" s="12" t="n">
        <v>9</v>
      </c>
      <c r="K391" s="12" t="n">
        <v>9</v>
      </c>
      <c r="L391" s="28" t="n">
        <v>1</v>
      </c>
      <c r="M391" s="12" t="n">
        <f aca="false">IF(L391=1,COUNTIFS($C$2:$C$1090,C391,$L$2:$L$1090,1),"")</f>
        <v>9</v>
      </c>
      <c r="N391" s="12" t="n">
        <f aca="false">IF(L391=1,1+COUNTIFS($C$2:$C$1090,C391,$L$2:$L$1090,1,$G$2:$G$1090,"&gt;"&amp;G391),"")</f>
        <v>9</v>
      </c>
      <c r="O391" s="12" t="n">
        <f aca="false">IF(L391=1,1+COUNTIFS($C$2:$C$1090,C391,$L$2:$L$1090,1,$H$2:$H$1090,"&gt;"&amp;H391),"")</f>
        <v>7</v>
      </c>
      <c r="P391" s="12" t="n">
        <f aca="false">IF(L391=1,N391-O391,"")</f>
        <v>2</v>
      </c>
      <c r="Q391" s="12" t="n">
        <f aca="false">INDEX(Directions!$D$2:$D$100,MATCH(C391,Directions!$A$2:$A$100,0))</f>
        <v>0</v>
      </c>
      <c r="R391" s="12" t="n">
        <f aca="false">IF(L391=1,P391*Q391,"")</f>
        <v>0</v>
      </c>
      <c r="S391" s="12" t="str">
        <f aca="false">IF(L391&lt;&gt;1,"Excluded",IF(Q391=0,"No direction",IF(R391&gt;0,"Better",IF(R391&lt;0,"Worse","No change"))))</f>
        <v>No direction</v>
      </c>
      <c r="T391" s="12"/>
      <c r="U391" s="12" t="str">
        <f aca="false">C391&amp;"|"&amp;E391</f>
        <v>F5_07|FRA</v>
      </c>
    </row>
    <row r="392" customFormat="false" ht="15" hidden="false" customHeight="false" outlineLevel="0" collapsed="false">
      <c r="A392" s="12" t="n">
        <v>5</v>
      </c>
      <c r="B392" s="12" t="s">
        <v>312</v>
      </c>
      <c r="C392" s="12" t="s">
        <v>126</v>
      </c>
      <c r="D392" s="12" t="s">
        <v>127</v>
      </c>
      <c r="E392" s="12" t="s">
        <v>32</v>
      </c>
      <c r="F392" s="12" t="s">
        <v>32</v>
      </c>
      <c r="G392" s="12" t="n">
        <v>65082</v>
      </c>
      <c r="H392" s="12" t="n">
        <v>99132</v>
      </c>
      <c r="I392" s="12" t="s">
        <v>293</v>
      </c>
      <c r="J392" s="12" t="n">
        <v>2</v>
      </c>
      <c r="K392" s="12" t="n">
        <v>2</v>
      </c>
      <c r="L392" s="28" t="n">
        <v>1</v>
      </c>
      <c r="M392" s="12" t="n">
        <f aca="false">IF(L392=1,COUNTIFS($C$2:$C$1090,C392,$L$2:$L$1090,1),"")</f>
        <v>9</v>
      </c>
      <c r="N392" s="12" t="n">
        <f aca="false">IF(L392=1,1+COUNTIFS($C$2:$C$1090,C392,$L$2:$L$1090,1,$G$2:$G$1090,"&gt;"&amp;G392),"")</f>
        <v>2</v>
      </c>
      <c r="O392" s="12" t="n">
        <f aca="false">IF(L392=1,1+COUNTIFS($C$2:$C$1090,C392,$L$2:$L$1090,1,$H$2:$H$1090,"&gt;"&amp;H392),"")</f>
        <v>2</v>
      </c>
      <c r="P392" s="12" t="n">
        <f aca="false">IF(L392=1,N392-O392,"")</f>
        <v>0</v>
      </c>
      <c r="Q392" s="12" t="n">
        <f aca="false">INDEX(Directions!$D$2:$D$100,MATCH(C392,Directions!$A$2:$A$100,0))</f>
        <v>0</v>
      </c>
      <c r="R392" s="12" t="n">
        <f aca="false">IF(L392=1,P392*Q392,"")</f>
        <v>0</v>
      </c>
      <c r="S392" s="12" t="str">
        <f aca="false">IF(L392&lt;&gt;1,"Excluded",IF(Q392=0,"No direction",IF(R392&gt;0,"Better",IF(R392&lt;0,"Worse","No change"))))</f>
        <v>No direction</v>
      </c>
      <c r="T392" s="12"/>
      <c r="U392" s="12" t="str">
        <f aca="false">C392&amp;"|"&amp;E392</f>
        <v>F5_07|NLD</v>
      </c>
    </row>
    <row r="393" customFormat="false" ht="15" hidden="false" customHeight="false" outlineLevel="0" collapsed="false">
      <c r="A393" s="12" t="n">
        <v>5</v>
      </c>
      <c r="B393" s="12" t="s">
        <v>312</v>
      </c>
      <c r="C393" s="12" t="s">
        <v>126</v>
      </c>
      <c r="D393" s="12" t="s">
        <v>127</v>
      </c>
      <c r="E393" s="12" t="s">
        <v>33</v>
      </c>
      <c r="F393" s="12" t="s">
        <v>33</v>
      </c>
      <c r="G393" s="12" t="s">
        <v>302</v>
      </c>
      <c r="H393" s="12" t="n">
        <v>76257</v>
      </c>
      <c r="I393" s="12" t="s">
        <v>293</v>
      </c>
      <c r="J393" s="12" t="s">
        <v>302</v>
      </c>
      <c r="K393" s="12" t="n">
        <v>6</v>
      </c>
      <c r="L393" s="28" t="n">
        <v>0</v>
      </c>
      <c r="M393" s="12" t="str">
        <f aca="false">IF(L393=1,COUNTIFS($C$2:$C$1090,C393,$L$2:$L$1090,1),"")</f>
        <v/>
      </c>
      <c r="N393" s="12" t="str">
        <f aca="false">IF(L393=1,1+COUNTIFS($C$2:$C$1090,C393,$L$2:$L$1090,1,$G$2:$G$1090,"&gt;"&amp;G393),"")</f>
        <v/>
      </c>
      <c r="O393" s="12" t="str">
        <f aca="false">IF(L393=1,1+COUNTIFS($C$2:$C$1090,C393,$L$2:$L$1090,1,$H$2:$H$1090,"&gt;"&amp;H393),"")</f>
        <v/>
      </c>
      <c r="P393" s="12" t="str">
        <f aca="false">IF(L393=1,N393-O393,"")</f>
        <v/>
      </c>
      <c r="Q393" s="12" t="n">
        <f aca="false">INDEX(Directions!$D$2:$D$100,MATCH(C393,Directions!$A$2:$A$100,0))</f>
        <v>0</v>
      </c>
      <c r="R393" s="12" t="str">
        <f aca="false">IF(L393=1,P393*Q393,"")</f>
        <v/>
      </c>
      <c r="S393" s="12" t="str">
        <f aca="false">IF(L393&lt;&gt;1,"Excluded",IF(Q393=0,"No direction",IF(R393&gt;0,"Better",IF(R393&lt;0,"Worse","No change"))))</f>
        <v>Excluded</v>
      </c>
      <c r="T393" s="12" t="s">
        <v>311</v>
      </c>
      <c r="U393" s="12" t="str">
        <f aca="false">C393&amp;"|"&amp;E393</f>
        <v>F5_07|CHE</v>
      </c>
    </row>
    <row r="394" customFormat="false" ht="15" hidden="false" customHeight="false" outlineLevel="0" collapsed="false">
      <c r="A394" s="12" t="n">
        <v>5</v>
      </c>
      <c r="B394" s="12" t="s">
        <v>312</v>
      </c>
      <c r="C394" s="12" t="s">
        <v>126</v>
      </c>
      <c r="D394" s="12" t="s">
        <v>127</v>
      </c>
      <c r="E394" s="12" t="s">
        <v>287</v>
      </c>
      <c r="F394" s="12" t="s">
        <v>34</v>
      </c>
      <c r="G394" s="12" t="n">
        <v>58891</v>
      </c>
      <c r="H394" s="12" t="n">
        <v>83031</v>
      </c>
      <c r="I394" s="12" t="s">
        <v>293</v>
      </c>
      <c r="J394" s="12" t="n">
        <v>4</v>
      </c>
      <c r="K394" s="12" t="n">
        <v>4</v>
      </c>
      <c r="L394" s="28" t="n">
        <v>1</v>
      </c>
      <c r="M394" s="12" t="n">
        <f aca="false">IF(L394=1,COUNTIFS($C$2:$C$1090,C394,$L$2:$L$1090,1),"")</f>
        <v>9</v>
      </c>
      <c r="N394" s="12" t="n">
        <f aca="false">IF(L394=1,1+COUNTIFS($C$2:$C$1090,C394,$L$2:$L$1090,1,$G$2:$G$1090,"&gt;"&amp;G394),"")</f>
        <v>4</v>
      </c>
      <c r="O394" s="12" t="n">
        <f aca="false">IF(L394=1,1+COUNTIFS($C$2:$C$1090,C394,$L$2:$L$1090,1,$H$2:$H$1090,"&gt;"&amp;H394),"")</f>
        <v>4</v>
      </c>
      <c r="P394" s="12" t="n">
        <f aca="false">IF(L394=1,N394-O394,"")</f>
        <v>0</v>
      </c>
      <c r="Q394" s="12" t="n">
        <f aca="false">INDEX(Directions!$D$2:$D$100,MATCH(C394,Directions!$A$2:$A$100,0))</f>
        <v>0</v>
      </c>
      <c r="R394" s="12" t="n">
        <f aca="false">IF(L394=1,P394*Q394,"")</f>
        <v>0</v>
      </c>
      <c r="S394" s="12" t="str">
        <f aca="false">IF(L394&lt;&gt;1,"Excluded",IF(Q394=0,"No direction",IF(R394&gt;0,"Better",IF(R394&lt;0,"Worse","No change"))))</f>
        <v>No direction</v>
      </c>
      <c r="T394" s="12"/>
      <c r="U394" s="12" t="str">
        <f aca="false">C394&amp;"|"&amp;E394</f>
        <v>F5_07|DNK</v>
      </c>
    </row>
    <row r="395" customFormat="false" ht="15" hidden="false" customHeight="false" outlineLevel="0" collapsed="false">
      <c r="A395" s="12" t="n">
        <v>5</v>
      </c>
      <c r="B395" s="12" t="s">
        <v>312</v>
      </c>
      <c r="C395" s="12" t="s">
        <v>126</v>
      </c>
      <c r="D395" s="12" t="s">
        <v>127</v>
      </c>
      <c r="E395" s="12" t="s">
        <v>288</v>
      </c>
      <c r="F395" s="12" t="s">
        <v>35</v>
      </c>
      <c r="G395" s="12" t="n">
        <v>55349</v>
      </c>
      <c r="H395" s="12" t="n">
        <v>73522</v>
      </c>
      <c r="I395" s="12" t="s">
        <v>293</v>
      </c>
      <c r="J395" s="12" t="n">
        <v>5</v>
      </c>
      <c r="K395" s="12" t="n">
        <v>7</v>
      </c>
      <c r="L395" s="28" t="n">
        <v>1</v>
      </c>
      <c r="M395" s="12" t="n">
        <f aca="false">IF(L395=1,COUNTIFS($C$2:$C$1090,C395,$L$2:$L$1090,1),"")</f>
        <v>9</v>
      </c>
      <c r="N395" s="12" t="n">
        <f aca="false">IF(L395=1,1+COUNTIFS($C$2:$C$1090,C395,$L$2:$L$1090,1,$G$2:$G$1090,"&gt;"&amp;G395),"")</f>
        <v>5</v>
      </c>
      <c r="O395" s="12" t="n">
        <f aca="false">IF(L395=1,1+COUNTIFS($C$2:$C$1090,C395,$L$2:$L$1090,1,$H$2:$H$1090,"&gt;"&amp;H395),"")</f>
        <v>6</v>
      </c>
      <c r="P395" s="12" t="n">
        <f aca="false">IF(L395=1,N395-O395,"")</f>
        <v>-1</v>
      </c>
      <c r="Q395" s="12" t="n">
        <f aca="false">INDEX(Directions!$D$2:$D$100,MATCH(C395,Directions!$A$2:$A$100,0))</f>
        <v>0</v>
      </c>
      <c r="R395" s="12" t="n">
        <f aca="false">IF(L395=1,P395*Q395,"")</f>
        <v>-0</v>
      </c>
      <c r="S395" s="12" t="str">
        <f aca="false">IF(L395&lt;&gt;1,"Excluded",IF(Q395=0,"No direction",IF(R395&gt;0,"Better",IF(R395&lt;0,"Worse","No change"))))</f>
        <v>No direction</v>
      </c>
      <c r="T395" s="12"/>
      <c r="U395" s="12" t="str">
        <f aca="false">C395&amp;"|"&amp;E395</f>
        <v>F5_07|CAN</v>
      </c>
    </row>
    <row r="396" customFormat="false" ht="15" hidden="false" customHeight="false" outlineLevel="0" collapsed="false">
      <c r="A396" s="12" t="n">
        <v>5</v>
      </c>
      <c r="B396" s="12" t="s">
        <v>312</v>
      </c>
      <c r="C396" s="12" t="s">
        <v>126</v>
      </c>
      <c r="D396" s="12" t="s">
        <v>127</v>
      </c>
      <c r="E396" s="12" t="s">
        <v>289</v>
      </c>
      <c r="F396" s="12" t="s">
        <v>36</v>
      </c>
      <c r="G396" s="12" t="n">
        <v>44712</v>
      </c>
      <c r="H396" s="12" t="n">
        <v>53668</v>
      </c>
      <c r="I396" s="12" t="s">
        <v>293</v>
      </c>
      <c r="J396" s="12" t="n">
        <v>8</v>
      </c>
      <c r="K396" s="12" t="n">
        <v>11</v>
      </c>
      <c r="L396" s="28" t="n">
        <v>1</v>
      </c>
      <c r="M396" s="12" t="n">
        <f aca="false">IF(L396=1,COUNTIFS($C$2:$C$1090,C396,$L$2:$L$1090,1),"")</f>
        <v>9</v>
      </c>
      <c r="N396" s="12" t="n">
        <f aca="false">IF(L396=1,1+COUNTIFS($C$2:$C$1090,C396,$L$2:$L$1090,1,$G$2:$G$1090,"&gt;"&amp;G396),"")</f>
        <v>8</v>
      </c>
      <c r="O396" s="12" t="n">
        <f aca="false">IF(L396=1,1+COUNTIFS($C$2:$C$1090,C396,$L$2:$L$1090,1,$H$2:$H$1090,"&gt;"&amp;H396),"")</f>
        <v>9</v>
      </c>
      <c r="P396" s="12" t="n">
        <f aca="false">IF(L396=1,N396-O396,"")</f>
        <v>-1</v>
      </c>
      <c r="Q396" s="12" t="n">
        <f aca="false">INDEX(Directions!$D$2:$D$100,MATCH(C396,Directions!$A$2:$A$100,0))</f>
        <v>0</v>
      </c>
      <c r="R396" s="12" t="n">
        <f aca="false">IF(L396=1,P396*Q396,"")</f>
        <v>-0</v>
      </c>
      <c r="S396" s="12" t="str">
        <f aca="false">IF(L396&lt;&gt;1,"Excluded",IF(Q396=0,"No direction",IF(R396&gt;0,"Better",IF(R396&lt;0,"Worse","No change"))))</f>
        <v>No direction</v>
      </c>
      <c r="T396" s="12"/>
      <c r="U396" s="12" t="str">
        <f aca="false">C396&amp;"|"&amp;E396</f>
        <v>F5_07|JPN</v>
      </c>
    </row>
    <row r="397" customFormat="false" ht="15" hidden="false" customHeight="false" outlineLevel="0" collapsed="false">
      <c r="A397" s="12" t="n">
        <v>5</v>
      </c>
      <c r="B397" s="12" t="s">
        <v>312</v>
      </c>
      <c r="C397" s="12" t="s">
        <v>126</v>
      </c>
      <c r="D397" s="12" t="s">
        <v>127</v>
      </c>
      <c r="E397" s="12" t="s">
        <v>290</v>
      </c>
      <c r="F397" s="12" t="s">
        <v>37</v>
      </c>
      <c r="G397" s="12" t="n">
        <v>64357</v>
      </c>
      <c r="H397" s="12" t="n">
        <v>88764</v>
      </c>
      <c r="I397" s="12" t="s">
        <v>293</v>
      </c>
      <c r="J397" s="12" t="n">
        <v>3</v>
      </c>
      <c r="K397" s="12" t="n">
        <v>3</v>
      </c>
      <c r="L397" s="28" t="n">
        <v>1</v>
      </c>
      <c r="M397" s="12" t="n">
        <f aca="false">IF(L397=1,COUNTIFS($C$2:$C$1090,C397,$L$2:$L$1090,1),"")</f>
        <v>9</v>
      </c>
      <c r="N397" s="12" t="n">
        <f aca="false">IF(L397=1,1+COUNTIFS($C$2:$C$1090,C397,$L$2:$L$1090,1,$G$2:$G$1090,"&gt;"&amp;G397),"")</f>
        <v>3</v>
      </c>
      <c r="O397" s="12" t="n">
        <f aca="false">IF(L397=1,1+COUNTIFS($C$2:$C$1090,C397,$L$2:$L$1090,1,$H$2:$H$1090,"&gt;"&amp;H397),"")</f>
        <v>3</v>
      </c>
      <c r="P397" s="12" t="n">
        <f aca="false">IF(L397=1,N397-O397,"")</f>
        <v>0</v>
      </c>
      <c r="Q397" s="12" t="n">
        <f aca="false">INDEX(Directions!$D$2:$D$100,MATCH(C397,Directions!$A$2:$A$100,0))</f>
        <v>0</v>
      </c>
      <c r="R397" s="12" t="n">
        <f aca="false">IF(L397=1,P397*Q397,"")</f>
        <v>0</v>
      </c>
      <c r="S397" s="12" t="str">
        <f aca="false">IF(L397&lt;&gt;1,"Excluded",IF(Q397=0,"No direction",IF(R397&gt;0,"Better",IF(R397&lt;0,"Worse","No change"))))</f>
        <v>No direction</v>
      </c>
      <c r="T397" s="12"/>
      <c r="U397" s="12" t="str">
        <f aca="false">C397&amp;"|"&amp;E397</f>
        <v>F5_07|AUS</v>
      </c>
    </row>
    <row r="398" customFormat="false" ht="15" hidden="false" customHeight="false" outlineLevel="0" collapsed="false">
      <c r="A398" s="12" t="n">
        <v>5</v>
      </c>
      <c r="B398" s="12" t="s">
        <v>312</v>
      </c>
      <c r="C398" s="12" t="s">
        <v>128</v>
      </c>
      <c r="D398" s="12" t="s">
        <v>129</v>
      </c>
      <c r="E398" s="12" t="s">
        <v>281</v>
      </c>
      <c r="F398" s="12" t="s">
        <v>27</v>
      </c>
      <c r="G398" s="12" t="n">
        <v>60154</v>
      </c>
      <c r="H398" s="12" t="n">
        <v>86977</v>
      </c>
      <c r="I398" s="12" t="s">
        <v>282</v>
      </c>
      <c r="J398" s="12" t="n">
        <v>1</v>
      </c>
      <c r="K398" s="12" t="n">
        <v>2</v>
      </c>
      <c r="L398" s="28" t="n">
        <v>1</v>
      </c>
      <c r="M398" s="12" t="n">
        <f aca="false">IF(L398=1,COUNTIFS($C$2:$C$1090,C398,$L$2:$L$1090,1),"")</f>
        <v>11</v>
      </c>
      <c r="N398" s="12" t="n">
        <f aca="false">IF(L398=1,1+COUNTIFS($C$2:$C$1090,C398,$L$2:$L$1090,1,$G$2:$G$1090,"&gt;"&amp;G398),"")</f>
        <v>1</v>
      </c>
      <c r="O398" s="12" t="n">
        <f aca="false">IF(L398=1,1+COUNTIFS($C$2:$C$1090,C398,$L$2:$L$1090,1,$H$2:$H$1090,"&gt;"&amp;H398),"")</f>
        <v>2</v>
      </c>
      <c r="P398" s="12" t="n">
        <f aca="false">IF(L398=1,N398-O398,"")</f>
        <v>-1</v>
      </c>
      <c r="Q398" s="12" t="n">
        <f aca="false">INDEX(Directions!$D$2:$D$100,MATCH(C398,Directions!$A$2:$A$100,0))</f>
        <v>0</v>
      </c>
      <c r="R398" s="12" t="n">
        <f aca="false">IF(L398=1,P398*Q398,"")</f>
        <v>-0</v>
      </c>
      <c r="S398" s="12" t="str">
        <f aca="false">IF(L398&lt;&gt;1,"Excluded",IF(Q398=0,"No direction",IF(R398&gt;0,"Better",IF(R398&lt;0,"Worse","No change"))))</f>
        <v>No direction</v>
      </c>
      <c r="T398" s="12"/>
      <c r="U398" s="12" t="str">
        <f aca="false">C398&amp;"|"&amp;E398</f>
        <v>F5_08|USA</v>
      </c>
    </row>
    <row r="399" customFormat="false" ht="15" hidden="false" customHeight="false" outlineLevel="0" collapsed="false">
      <c r="A399" s="12" t="n">
        <v>5</v>
      </c>
      <c r="B399" s="12" t="s">
        <v>312</v>
      </c>
      <c r="C399" s="12" t="s">
        <v>128</v>
      </c>
      <c r="D399" s="12" t="s">
        <v>129</v>
      </c>
      <c r="E399" s="12" t="s">
        <v>283</v>
      </c>
      <c r="F399" s="12" t="s">
        <v>28</v>
      </c>
      <c r="G399" s="12" t="n">
        <v>42835</v>
      </c>
      <c r="H399" s="12" t="n">
        <v>66299</v>
      </c>
      <c r="I399" s="12" t="s">
        <v>282</v>
      </c>
      <c r="J399" s="12" t="n">
        <v>9</v>
      </c>
      <c r="K399" s="12" t="n">
        <v>8</v>
      </c>
      <c r="L399" s="28" t="n">
        <v>1</v>
      </c>
      <c r="M399" s="12" t="n">
        <f aca="false">IF(L399=1,COUNTIFS($C$2:$C$1090,C399,$L$2:$L$1090,1),"")</f>
        <v>11</v>
      </c>
      <c r="N399" s="12" t="n">
        <f aca="false">IF(L399=1,1+COUNTIFS($C$2:$C$1090,C399,$L$2:$L$1090,1,$G$2:$G$1090,"&gt;"&amp;G399),"")</f>
        <v>9</v>
      </c>
      <c r="O399" s="12" t="n">
        <f aca="false">IF(L399=1,1+COUNTIFS($C$2:$C$1090,C399,$L$2:$L$1090,1,$H$2:$H$1090,"&gt;"&amp;H399),"")</f>
        <v>8</v>
      </c>
      <c r="P399" s="12" t="n">
        <f aca="false">IF(L399=1,N399-O399,"")</f>
        <v>1</v>
      </c>
      <c r="Q399" s="12" t="n">
        <f aca="false">INDEX(Directions!$D$2:$D$100,MATCH(C399,Directions!$A$2:$A$100,0))</f>
        <v>0</v>
      </c>
      <c r="R399" s="12" t="n">
        <f aca="false">IF(L399=1,P399*Q399,"")</f>
        <v>0</v>
      </c>
      <c r="S399" s="12" t="str">
        <f aca="false">IF(L399&lt;&gt;1,"Excluded",IF(Q399=0,"No direction",IF(R399&gt;0,"Better",IF(R399&lt;0,"Worse","No change"))))</f>
        <v>No direction</v>
      </c>
      <c r="T399" s="12"/>
      <c r="U399" s="12" t="str">
        <f aca="false">C399&amp;"|"&amp;E399</f>
        <v>F5_08|GBR</v>
      </c>
    </row>
    <row r="400" customFormat="false" ht="15" hidden="false" customHeight="false" outlineLevel="0" collapsed="false">
      <c r="A400" s="12" t="n">
        <v>5</v>
      </c>
      <c r="B400" s="12" t="s">
        <v>312</v>
      </c>
      <c r="C400" s="12" t="s">
        <v>128</v>
      </c>
      <c r="D400" s="12" t="s">
        <v>129</v>
      </c>
      <c r="E400" s="12" t="s">
        <v>284</v>
      </c>
      <c r="F400" s="12" t="s">
        <v>29</v>
      </c>
      <c r="G400" s="12" t="n">
        <v>46389</v>
      </c>
      <c r="H400" s="12" t="n">
        <v>76285</v>
      </c>
      <c r="I400" s="12" t="s">
        <v>282</v>
      </c>
      <c r="J400" s="12" t="n">
        <v>7</v>
      </c>
      <c r="K400" s="12" t="n">
        <v>5</v>
      </c>
      <c r="L400" s="28" t="n">
        <v>1</v>
      </c>
      <c r="M400" s="12" t="n">
        <f aca="false">IF(L400=1,COUNTIFS($C$2:$C$1090,C400,$L$2:$L$1090,1),"")</f>
        <v>11</v>
      </c>
      <c r="N400" s="12" t="n">
        <f aca="false">IF(L400=1,1+COUNTIFS($C$2:$C$1090,C400,$L$2:$L$1090,1,$G$2:$G$1090,"&gt;"&amp;G400),"")</f>
        <v>7</v>
      </c>
      <c r="O400" s="12" t="n">
        <f aca="false">IF(L400=1,1+COUNTIFS($C$2:$C$1090,C400,$L$2:$L$1090,1,$H$2:$H$1090,"&gt;"&amp;H400),"")</f>
        <v>5</v>
      </c>
      <c r="P400" s="12" t="n">
        <f aca="false">IF(L400=1,N400-O400,"")</f>
        <v>2</v>
      </c>
      <c r="Q400" s="12" t="n">
        <f aca="false">INDEX(Directions!$D$2:$D$100,MATCH(C400,Directions!$A$2:$A$100,0))</f>
        <v>0</v>
      </c>
      <c r="R400" s="12" t="n">
        <f aca="false">IF(L400=1,P400*Q400,"")</f>
        <v>0</v>
      </c>
      <c r="S400" s="12" t="str">
        <f aca="false">IF(L400&lt;&gt;1,"Excluded",IF(Q400=0,"No direction",IF(R400&gt;0,"Better",IF(R400&lt;0,"Worse","No change"))))</f>
        <v>No direction</v>
      </c>
      <c r="T400" s="12"/>
      <c r="U400" s="12" t="str">
        <f aca="false">C400&amp;"|"&amp;E400</f>
        <v>F5_08|DEU</v>
      </c>
    </row>
    <row r="401" customFormat="false" ht="15" hidden="false" customHeight="false" outlineLevel="0" collapsed="false">
      <c r="A401" s="12" t="n">
        <v>5</v>
      </c>
      <c r="B401" s="12" t="s">
        <v>312</v>
      </c>
      <c r="C401" s="12" t="s">
        <v>128</v>
      </c>
      <c r="D401" s="12" t="s">
        <v>129</v>
      </c>
      <c r="E401" s="12" t="s">
        <v>285</v>
      </c>
      <c r="F401" s="12" t="s">
        <v>30</v>
      </c>
      <c r="G401" s="12" t="n">
        <v>42816</v>
      </c>
      <c r="H401" s="12" t="n">
        <v>61443</v>
      </c>
      <c r="I401" s="12" t="s">
        <v>282</v>
      </c>
      <c r="J401" s="12" t="n">
        <v>10</v>
      </c>
      <c r="K401" s="12" t="n">
        <v>9</v>
      </c>
      <c r="L401" s="28" t="n">
        <v>1</v>
      </c>
      <c r="M401" s="12" t="n">
        <f aca="false">IF(L401=1,COUNTIFS($C$2:$C$1090,C401,$L$2:$L$1090,1),"")</f>
        <v>11</v>
      </c>
      <c r="N401" s="12" t="n">
        <f aca="false">IF(L401=1,1+COUNTIFS($C$2:$C$1090,C401,$L$2:$L$1090,1,$G$2:$G$1090,"&gt;"&amp;G401),"")</f>
        <v>10</v>
      </c>
      <c r="O401" s="12" t="n">
        <f aca="false">IF(L401=1,1+COUNTIFS($C$2:$C$1090,C401,$L$2:$L$1090,1,$H$2:$H$1090,"&gt;"&amp;H401),"")</f>
        <v>9</v>
      </c>
      <c r="P401" s="12" t="n">
        <f aca="false">IF(L401=1,N401-O401,"")</f>
        <v>1</v>
      </c>
      <c r="Q401" s="12" t="n">
        <f aca="false">INDEX(Directions!$D$2:$D$100,MATCH(C401,Directions!$A$2:$A$100,0))</f>
        <v>0</v>
      </c>
      <c r="R401" s="12" t="n">
        <f aca="false">IF(L401=1,P401*Q401,"")</f>
        <v>0</v>
      </c>
      <c r="S401" s="12" t="str">
        <f aca="false">IF(L401&lt;&gt;1,"Excluded",IF(Q401=0,"No direction",IF(R401&gt;0,"Better",IF(R401&lt;0,"Worse","No change"))))</f>
        <v>No direction</v>
      </c>
      <c r="T401" s="12"/>
      <c r="U401" s="12" t="str">
        <f aca="false">C401&amp;"|"&amp;E401</f>
        <v>F5_08|SWE</v>
      </c>
    </row>
    <row r="402" customFormat="false" ht="15" hidden="false" customHeight="false" outlineLevel="0" collapsed="false">
      <c r="A402" s="12" t="n">
        <v>5</v>
      </c>
      <c r="B402" s="12" t="s">
        <v>312</v>
      </c>
      <c r="C402" s="12" t="s">
        <v>128</v>
      </c>
      <c r="D402" s="12" t="s">
        <v>129</v>
      </c>
      <c r="E402" s="12" t="s">
        <v>286</v>
      </c>
      <c r="F402" s="12" t="s">
        <v>31</v>
      </c>
      <c r="G402" s="12" t="n">
        <v>42992</v>
      </c>
      <c r="H402" s="12" t="n">
        <v>60483</v>
      </c>
      <c r="I402" s="12" t="s">
        <v>282</v>
      </c>
      <c r="J402" s="12" t="n">
        <v>8</v>
      </c>
      <c r="K402" s="12" t="n">
        <v>10</v>
      </c>
      <c r="L402" s="28" t="n">
        <v>1</v>
      </c>
      <c r="M402" s="12" t="n">
        <f aca="false">IF(L402=1,COUNTIFS($C$2:$C$1090,C402,$L$2:$L$1090,1),"")</f>
        <v>11</v>
      </c>
      <c r="N402" s="12" t="n">
        <f aca="false">IF(L402=1,1+COUNTIFS($C$2:$C$1090,C402,$L$2:$L$1090,1,$G$2:$G$1090,"&gt;"&amp;G402),"")</f>
        <v>8</v>
      </c>
      <c r="O402" s="12" t="n">
        <f aca="false">IF(L402=1,1+COUNTIFS($C$2:$C$1090,C402,$L$2:$L$1090,1,$H$2:$H$1090,"&gt;"&amp;H402),"")</f>
        <v>10</v>
      </c>
      <c r="P402" s="12" t="n">
        <f aca="false">IF(L402=1,N402-O402,"")</f>
        <v>-2</v>
      </c>
      <c r="Q402" s="12" t="n">
        <f aca="false">INDEX(Directions!$D$2:$D$100,MATCH(C402,Directions!$A$2:$A$100,0))</f>
        <v>0</v>
      </c>
      <c r="R402" s="12" t="n">
        <f aca="false">IF(L402=1,P402*Q402,"")</f>
        <v>-0</v>
      </c>
      <c r="S402" s="12" t="str">
        <f aca="false">IF(L402&lt;&gt;1,"Excluded",IF(Q402=0,"No direction",IF(R402&gt;0,"Better",IF(R402&lt;0,"Worse","No change"))))</f>
        <v>No direction</v>
      </c>
      <c r="T402" s="12"/>
      <c r="U402" s="12" t="str">
        <f aca="false">C402&amp;"|"&amp;E402</f>
        <v>F5_08|FRA</v>
      </c>
    </row>
    <row r="403" customFormat="false" ht="15" hidden="false" customHeight="false" outlineLevel="0" collapsed="false">
      <c r="A403" s="12" t="n">
        <v>5</v>
      </c>
      <c r="B403" s="12" t="s">
        <v>312</v>
      </c>
      <c r="C403" s="12" t="s">
        <v>128</v>
      </c>
      <c r="D403" s="12" t="s">
        <v>129</v>
      </c>
      <c r="E403" s="12" t="s">
        <v>32</v>
      </c>
      <c r="F403" s="12" t="s">
        <v>32</v>
      </c>
      <c r="G403" s="12" t="n">
        <v>52833</v>
      </c>
      <c r="H403" s="12" t="n">
        <v>80136</v>
      </c>
      <c r="I403" s="12" t="s">
        <v>282</v>
      </c>
      <c r="J403" s="12" t="n">
        <v>3</v>
      </c>
      <c r="K403" s="12" t="n">
        <v>3</v>
      </c>
      <c r="L403" s="28" t="n">
        <v>1</v>
      </c>
      <c r="M403" s="12" t="n">
        <f aca="false">IF(L403=1,COUNTIFS($C$2:$C$1090,C403,$L$2:$L$1090,1),"")</f>
        <v>11</v>
      </c>
      <c r="N403" s="12" t="n">
        <f aca="false">IF(L403=1,1+COUNTIFS($C$2:$C$1090,C403,$L$2:$L$1090,1,$G$2:$G$1090,"&gt;"&amp;G403),"")</f>
        <v>3</v>
      </c>
      <c r="O403" s="12" t="n">
        <f aca="false">IF(L403=1,1+COUNTIFS($C$2:$C$1090,C403,$L$2:$L$1090,1,$H$2:$H$1090,"&gt;"&amp;H403),"")</f>
        <v>3</v>
      </c>
      <c r="P403" s="12" t="n">
        <f aca="false">IF(L403=1,N403-O403,"")</f>
        <v>0</v>
      </c>
      <c r="Q403" s="12" t="n">
        <f aca="false">INDEX(Directions!$D$2:$D$100,MATCH(C403,Directions!$A$2:$A$100,0))</f>
        <v>0</v>
      </c>
      <c r="R403" s="12" t="n">
        <f aca="false">IF(L403=1,P403*Q403,"")</f>
        <v>0</v>
      </c>
      <c r="S403" s="12" t="str">
        <f aca="false">IF(L403&lt;&gt;1,"Excluded",IF(Q403=0,"No direction",IF(R403&gt;0,"Better",IF(R403&lt;0,"Worse","No change"))))</f>
        <v>No direction</v>
      </c>
      <c r="T403" s="12"/>
      <c r="U403" s="12" t="str">
        <f aca="false">C403&amp;"|"&amp;E403</f>
        <v>F5_08|NLD</v>
      </c>
    </row>
    <row r="404" customFormat="false" ht="15" hidden="false" customHeight="false" outlineLevel="0" collapsed="false">
      <c r="A404" s="12" t="n">
        <v>5</v>
      </c>
      <c r="B404" s="12" t="s">
        <v>312</v>
      </c>
      <c r="C404" s="12" t="s">
        <v>128</v>
      </c>
      <c r="D404" s="12" t="s">
        <v>129</v>
      </c>
      <c r="E404" s="12" t="s">
        <v>33</v>
      </c>
      <c r="F404" s="12" t="s">
        <v>33</v>
      </c>
      <c r="G404" s="12" t="n">
        <v>60124</v>
      </c>
      <c r="H404" s="12" t="n">
        <v>92285</v>
      </c>
      <c r="I404" s="12" t="s">
        <v>282</v>
      </c>
      <c r="J404" s="12" t="n">
        <v>2</v>
      </c>
      <c r="K404" s="12" t="n">
        <v>1</v>
      </c>
      <c r="L404" s="28" t="n">
        <v>1</v>
      </c>
      <c r="M404" s="12" t="n">
        <f aca="false">IF(L404=1,COUNTIFS($C$2:$C$1090,C404,$L$2:$L$1090,1),"")</f>
        <v>11</v>
      </c>
      <c r="N404" s="12" t="n">
        <f aca="false">IF(L404=1,1+COUNTIFS($C$2:$C$1090,C404,$L$2:$L$1090,1,$G$2:$G$1090,"&gt;"&amp;G404),"")</f>
        <v>2</v>
      </c>
      <c r="O404" s="12" t="n">
        <f aca="false">IF(L404=1,1+COUNTIFS($C$2:$C$1090,C404,$L$2:$L$1090,1,$H$2:$H$1090,"&gt;"&amp;H404),"")</f>
        <v>1</v>
      </c>
      <c r="P404" s="12" t="n">
        <f aca="false">IF(L404=1,N404-O404,"")</f>
        <v>1</v>
      </c>
      <c r="Q404" s="12" t="n">
        <f aca="false">INDEX(Directions!$D$2:$D$100,MATCH(C404,Directions!$A$2:$A$100,0))</f>
        <v>0</v>
      </c>
      <c r="R404" s="12" t="n">
        <f aca="false">IF(L404=1,P404*Q404,"")</f>
        <v>0</v>
      </c>
      <c r="S404" s="12" t="str">
        <f aca="false">IF(L404&lt;&gt;1,"Excluded",IF(Q404=0,"No direction",IF(R404&gt;0,"Better",IF(R404&lt;0,"Worse","No change"))))</f>
        <v>No direction</v>
      </c>
      <c r="T404" s="12"/>
      <c r="U404" s="12" t="str">
        <f aca="false">C404&amp;"|"&amp;E404</f>
        <v>F5_08|CHE</v>
      </c>
    </row>
    <row r="405" customFormat="false" ht="15" hidden="false" customHeight="false" outlineLevel="0" collapsed="false">
      <c r="A405" s="12" t="n">
        <v>5</v>
      </c>
      <c r="B405" s="12" t="s">
        <v>312</v>
      </c>
      <c r="C405" s="12" t="s">
        <v>128</v>
      </c>
      <c r="D405" s="12" t="s">
        <v>129</v>
      </c>
      <c r="E405" s="12" t="s">
        <v>287</v>
      </c>
      <c r="F405" s="12" t="s">
        <v>34</v>
      </c>
      <c r="G405" s="12" t="n">
        <v>52580</v>
      </c>
      <c r="H405" s="12" t="n">
        <v>78090</v>
      </c>
      <c r="I405" s="12" t="s">
        <v>282</v>
      </c>
      <c r="J405" s="12" t="n">
        <v>4</v>
      </c>
      <c r="K405" s="12" t="n">
        <v>4</v>
      </c>
      <c r="L405" s="28" t="n">
        <v>1</v>
      </c>
      <c r="M405" s="12" t="n">
        <f aca="false">IF(L405=1,COUNTIFS($C$2:$C$1090,C405,$L$2:$L$1090,1),"")</f>
        <v>11</v>
      </c>
      <c r="N405" s="12" t="n">
        <f aca="false">IF(L405=1,1+COUNTIFS($C$2:$C$1090,C405,$L$2:$L$1090,1,$G$2:$G$1090,"&gt;"&amp;G405),"")</f>
        <v>4</v>
      </c>
      <c r="O405" s="12" t="n">
        <f aca="false">IF(L405=1,1+COUNTIFS($C$2:$C$1090,C405,$L$2:$L$1090,1,$H$2:$H$1090,"&gt;"&amp;H405),"")</f>
        <v>4</v>
      </c>
      <c r="P405" s="12" t="n">
        <f aca="false">IF(L405=1,N405-O405,"")</f>
        <v>0</v>
      </c>
      <c r="Q405" s="12" t="n">
        <f aca="false">INDEX(Directions!$D$2:$D$100,MATCH(C405,Directions!$A$2:$A$100,0))</f>
        <v>0</v>
      </c>
      <c r="R405" s="12" t="n">
        <f aca="false">IF(L405=1,P405*Q405,"")</f>
        <v>0</v>
      </c>
      <c r="S405" s="12" t="str">
        <f aca="false">IF(L405&lt;&gt;1,"Excluded",IF(Q405=0,"No direction",IF(R405&gt;0,"Better",IF(R405&lt;0,"Worse","No change"))))</f>
        <v>No direction</v>
      </c>
      <c r="T405" s="12"/>
      <c r="U405" s="12" t="str">
        <f aca="false">C405&amp;"|"&amp;E405</f>
        <v>F5_08|DNK</v>
      </c>
    </row>
    <row r="406" customFormat="false" ht="15" hidden="false" customHeight="false" outlineLevel="0" collapsed="false">
      <c r="A406" s="12" t="n">
        <v>5</v>
      </c>
      <c r="B406" s="12" t="s">
        <v>312</v>
      </c>
      <c r="C406" s="12" t="s">
        <v>128</v>
      </c>
      <c r="D406" s="12" t="s">
        <v>129</v>
      </c>
      <c r="E406" s="12" t="s">
        <v>288</v>
      </c>
      <c r="F406" s="12" t="s">
        <v>35</v>
      </c>
      <c r="G406" s="12" t="n">
        <v>48403</v>
      </c>
      <c r="H406" s="12" t="n">
        <v>67901</v>
      </c>
      <c r="I406" s="12" t="s">
        <v>282</v>
      </c>
      <c r="J406" s="12" t="n">
        <v>6</v>
      </c>
      <c r="K406" s="12" t="n">
        <v>7</v>
      </c>
      <c r="L406" s="28" t="n">
        <v>1</v>
      </c>
      <c r="M406" s="12" t="n">
        <f aca="false">IF(L406=1,COUNTIFS($C$2:$C$1090,C406,$L$2:$L$1090,1),"")</f>
        <v>11</v>
      </c>
      <c r="N406" s="12" t="n">
        <f aca="false">IF(L406=1,1+COUNTIFS($C$2:$C$1090,C406,$L$2:$L$1090,1,$G$2:$G$1090,"&gt;"&amp;G406),"")</f>
        <v>6</v>
      </c>
      <c r="O406" s="12" t="n">
        <f aca="false">IF(L406=1,1+COUNTIFS($C$2:$C$1090,C406,$L$2:$L$1090,1,$H$2:$H$1090,"&gt;"&amp;H406),"")</f>
        <v>7</v>
      </c>
      <c r="P406" s="12" t="n">
        <f aca="false">IF(L406=1,N406-O406,"")</f>
        <v>-1</v>
      </c>
      <c r="Q406" s="12" t="n">
        <f aca="false">INDEX(Directions!$D$2:$D$100,MATCH(C406,Directions!$A$2:$A$100,0))</f>
        <v>0</v>
      </c>
      <c r="R406" s="12" t="n">
        <f aca="false">IF(L406=1,P406*Q406,"")</f>
        <v>-0</v>
      </c>
      <c r="S406" s="12" t="str">
        <f aca="false">IF(L406&lt;&gt;1,"Excluded",IF(Q406=0,"No direction",IF(R406&gt;0,"Better",IF(R406&lt;0,"Worse","No change"))))</f>
        <v>No direction</v>
      </c>
      <c r="T406" s="12"/>
      <c r="U406" s="12" t="str">
        <f aca="false">C406&amp;"|"&amp;E406</f>
        <v>F5_08|CAN</v>
      </c>
    </row>
    <row r="407" customFormat="false" ht="15" hidden="false" customHeight="false" outlineLevel="0" collapsed="false">
      <c r="A407" s="12" t="n">
        <v>5</v>
      </c>
      <c r="B407" s="12" t="s">
        <v>312</v>
      </c>
      <c r="C407" s="12" t="s">
        <v>128</v>
      </c>
      <c r="D407" s="12" t="s">
        <v>129</v>
      </c>
      <c r="E407" s="12" t="s">
        <v>289</v>
      </c>
      <c r="F407" s="12" t="s">
        <v>36</v>
      </c>
      <c r="G407" s="12" t="n">
        <v>39113</v>
      </c>
      <c r="H407" s="12" t="n">
        <v>50183</v>
      </c>
      <c r="I407" s="12" t="s">
        <v>282</v>
      </c>
      <c r="J407" s="12" t="n">
        <v>11</v>
      </c>
      <c r="K407" s="12" t="n">
        <v>11</v>
      </c>
      <c r="L407" s="28" t="n">
        <v>1</v>
      </c>
      <c r="M407" s="12" t="n">
        <f aca="false">IF(L407=1,COUNTIFS($C$2:$C$1090,C407,$L$2:$L$1090,1),"")</f>
        <v>11</v>
      </c>
      <c r="N407" s="12" t="n">
        <f aca="false">IF(L407=1,1+COUNTIFS($C$2:$C$1090,C407,$L$2:$L$1090,1,$G$2:$G$1090,"&gt;"&amp;G407),"")</f>
        <v>11</v>
      </c>
      <c r="O407" s="12" t="n">
        <f aca="false">IF(L407=1,1+COUNTIFS($C$2:$C$1090,C407,$L$2:$L$1090,1,$H$2:$H$1090,"&gt;"&amp;H407),"")</f>
        <v>11</v>
      </c>
      <c r="P407" s="12" t="n">
        <f aca="false">IF(L407=1,N407-O407,"")</f>
        <v>0</v>
      </c>
      <c r="Q407" s="12" t="n">
        <f aca="false">INDEX(Directions!$D$2:$D$100,MATCH(C407,Directions!$A$2:$A$100,0))</f>
        <v>0</v>
      </c>
      <c r="R407" s="12" t="n">
        <f aca="false">IF(L407=1,P407*Q407,"")</f>
        <v>0</v>
      </c>
      <c r="S407" s="12" t="str">
        <f aca="false">IF(L407&lt;&gt;1,"Excluded",IF(Q407=0,"No direction",IF(R407&gt;0,"Better",IF(R407&lt;0,"Worse","No change"))))</f>
        <v>No direction</v>
      </c>
      <c r="T407" s="12"/>
      <c r="U407" s="12" t="str">
        <f aca="false">C407&amp;"|"&amp;E407</f>
        <v>F5_08|JPN</v>
      </c>
    </row>
    <row r="408" customFormat="false" ht="15" hidden="false" customHeight="false" outlineLevel="0" collapsed="false">
      <c r="A408" s="12" t="n">
        <v>5</v>
      </c>
      <c r="B408" s="12" t="s">
        <v>312</v>
      </c>
      <c r="C408" s="12" t="s">
        <v>128</v>
      </c>
      <c r="D408" s="12" t="s">
        <v>129</v>
      </c>
      <c r="E408" s="12" t="s">
        <v>290</v>
      </c>
      <c r="F408" s="12" t="s">
        <v>37</v>
      </c>
      <c r="G408" s="12" t="n">
        <v>52063</v>
      </c>
      <c r="H408" s="12" t="n">
        <v>72018</v>
      </c>
      <c r="I408" s="12" t="s">
        <v>282</v>
      </c>
      <c r="J408" s="12" t="n">
        <v>5</v>
      </c>
      <c r="K408" s="12" t="n">
        <v>6</v>
      </c>
      <c r="L408" s="28" t="n">
        <v>1</v>
      </c>
      <c r="M408" s="12" t="n">
        <f aca="false">IF(L408=1,COUNTIFS($C$2:$C$1090,C408,$L$2:$L$1090,1),"")</f>
        <v>11</v>
      </c>
      <c r="N408" s="12" t="n">
        <f aca="false">IF(L408=1,1+COUNTIFS($C$2:$C$1090,C408,$L$2:$L$1090,1,$G$2:$G$1090,"&gt;"&amp;G408),"")</f>
        <v>5</v>
      </c>
      <c r="O408" s="12" t="n">
        <f aca="false">IF(L408=1,1+COUNTIFS($C$2:$C$1090,C408,$L$2:$L$1090,1,$H$2:$H$1090,"&gt;"&amp;H408),"")</f>
        <v>6</v>
      </c>
      <c r="P408" s="12" t="n">
        <f aca="false">IF(L408=1,N408-O408,"")</f>
        <v>-1</v>
      </c>
      <c r="Q408" s="12" t="n">
        <f aca="false">INDEX(Directions!$D$2:$D$100,MATCH(C408,Directions!$A$2:$A$100,0))</f>
        <v>0</v>
      </c>
      <c r="R408" s="12" t="n">
        <f aca="false">IF(L408=1,P408*Q408,"")</f>
        <v>-0</v>
      </c>
      <c r="S408" s="12" t="str">
        <f aca="false">IF(L408&lt;&gt;1,"Excluded",IF(Q408=0,"No direction",IF(R408&gt;0,"Better",IF(R408&lt;0,"Worse","No change"))))</f>
        <v>No direction</v>
      </c>
      <c r="T408" s="12"/>
      <c r="U408" s="12" t="str">
        <f aca="false">C408&amp;"|"&amp;E408</f>
        <v>F5_08|AUS</v>
      </c>
    </row>
    <row r="409" customFormat="false" ht="15" hidden="false" customHeight="false" outlineLevel="0" collapsed="false">
      <c r="A409" s="12" t="n">
        <v>5</v>
      </c>
      <c r="B409" s="12" t="s">
        <v>312</v>
      </c>
      <c r="C409" s="12" t="s">
        <v>130</v>
      </c>
      <c r="D409" s="12" t="s">
        <v>131</v>
      </c>
      <c r="E409" s="12" t="s">
        <v>281</v>
      </c>
      <c r="F409" s="12" t="s">
        <v>27</v>
      </c>
      <c r="G409" s="12" t="n">
        <v>3.6</v>
      </c>
      <c r="H409" s="12" t="n">
        <v>3.43</v>
      </c>
      <c r="I409" s="12" t="s">
        <v>282</v>
      </c>
      <c r="J409" s="12" t="n">
        <v>1</v>
      </c>
      <c r="K409" s="12" t="n">
        <v>3</v>
      </c>
      <c r="L409" s="28" t="n">
        <v>1</v>
      </c>
      <c r="M409" s="12" t="n">
        <f aca="false">IF(L409=1,COUNTIFS($C$2:$C$1090,C409,$L$2:$L$1090,1),"")</f>
        <v>8</v>
      </c>
      <c r="N409" s="12" t="n">
        <f aca="false">IF(L409=1,1+COUNTIFS($C$2:$C$1090,C409,$L$2:$L$1090,1,$G$2:$G$1090,"&gt;"&amp;G409),"")</f>
        <v>1</v>
      </c>
      <c r="O409" s="12" t="n">
        <f aca="false">IF(L409=1,1+COUNTIFS($C$2:$C$1090,C409,$L$2:$L$1090,1,$H$2:$H$1090,"&gt;"&amp;H409),"")</f>
        <v>3</v>
      </c>
      <c r="P409" s="12" t="n">
        <f aca="false">IF(L409=1,N409-O409,"")</f>
        <v>-2</v>
      </c>
      <c r="Q409" s="12" t="n">
        <f aca="false">INDEX(Directions!$D$2:$D$100,MATCH(C409,Directions!$A$2:$A$100,0))</f>
        <v>0</v>
      </c>
      <c r="R409" s="12" t="n">
        <f aca="false">IF(L409=1,P409*Q409,"")</f>
        <v>-0</v>
      </c>
      <c r="S409" s="12" t="str">
        <f aca="false">IF(L409&lt;&gt;1,"Excluded",IF(Q409=0,"No direction",IF(R409&gt;0,"Better",IF(R409&lt;0,"Worse","No change"))))</f>
        <v>No direction</v>
      </c>
      <c r="T409" s="12" t="s">
        <v>318</v>
      </c>
      <c r="U409" s="12" t="str">
        <f aca="false">C409&amp;"|"&amp;E409</f>
        <v>F5_09|USA</v>
      </c>
    </row>
    <row r="410" customFormat="false" ht="15" hidden="false" customHeight="false" outlineLevel="0" collapsed="false">
      <c r="A410" s="12" t="n">
        <v>5</v>
      </c>
      <c r="B410" s="12" t="s">
        <v>312</v>
      </c>
      <c r="C410" s="12" t="s">
        <v>130</v>
      </c>
      <c r="D410" s="12" t="s">
        <v>131</v>
      </c>
      <c r="E410" s="12" t="s">
        <v>283</v>
      </c>
      <c r="F410" s="12" t="s">
        <v>28</v>
      </c>
      <c r="G410" s="12" t="n">
        <v>3.1</v>
      </c>
      <c r="H410" s="12" t="n">
        <v>3.73</v>
      </c>
      <c r="I410" s="12" t="s">
        <v>291</v>
      </c>
      <c r="J410" s="12" t="n">
        <v>3</v>
      </c>
      <c r="K410" s="12" t="n">
        <v>2</v>
      </c>
      <c r="L410" s="28" t="n">
        <v>1</v>
      </c>
      <c r="M410" s="12" t="n">
        <f aca="false">IF(L410=1,COUNTIFS($C$2:$C$1090,C410,$L$2:$L$1090,1),"")</f>
        <v>8</v>
      </c>
      <c r="N410" s="12" t="n">
        <f aca="false">IF(L410=1,1+COUNTIFS($C$2:$C$1090,C410,$L$2:$L$1090,1,$G$2:$G$1090,"&gt;"&amp;G410),"")</f>
        <v>3</v>
      </c>
      <c r="O410" s="12" t="n">
        <f aca="false">IF(L410=1,1+COUNTIFS($C$2:$C$1090,C410,$L$2:$L$1090,1,$H$2:$H$1090,"&gt;"&amp;H410),"")</f>
        <v>2</v>
      </c>
      <c r="P410" s="12" t="n">
        <f aca="false">IF(L410=1,N410-O410,"")</f>
        <v>1</v>
      </c>
      <c r="Q410" s="12" t="n">
        <f aca="false">INDEX(Directions!$D$2:$D$100,MATCH(C410,Directions!$A$2:$A$100,0))</f>
        <v>0</v>
      </c>
      <c r="R410" s="12" t="n">
        <f aca="false">IF(L410=1,P410*Q410,"")</f>
        <v>0</v>
      </c>
      <c r="S410" s="12" t="str">
        <f aca="false">IF(L410&lt;&gt;1,"Excluded",IF(Q410=0,"No direction",IF(R410&gt;0,"Better",IF(R410&lt;0,"Worse","No change"))))</f>
        <v>No direction</v>
      </c>
      <c r="T410" s="12" t="s">
        <v>318</v>
      </c>
      <c r="U410" s="12" t="str">
        <f aca="false">C410&amp;"|"&amp;E410</f>
        <v>F5_09|GBR</v>
      </c>
    </row>
    <row r="411" customFormat="false" ht="15" hidden="false" customHeight="false" outlineLevel="0" collapsed="false">
      <c r="A411" s="12" t="n">
        <v>5</v>
      </c>
      <c r="B411" s="12" t="s">
        <v>312</v>
      </c>
      <c r="C411" s="12" t="s">
        <v>130</v>
      </c>
      <c r="D411" s="12" t="s">
        <v>131</v>
      </c>
      <c r="E411" s="12" t="s">
        <v>284</v>
      </c>
      <c r="F411" s="12" t="s">
        <v>29</v>
      </c>
      <c r="G411" s="12" t="n">
        <v>3.3</v>
      </c>
      <c r="H411" s="12" t="n">
        <v>3.86</v>
      </c>
      <c r="I411" s="12" t="s">
        <v>291</v>
      </c>
      <c r="J411" s="12" t="n">
        <v>2</v>
      </c>
      <c r="K411" s="12" t="n">
        <v>1</v>
      </c>
      <c r="L411" s="28" t="n">
        <v>1</v>
      </c>
      <c r="M411" s="12" t="n">
        <f aca="false">IF(L411=1,COUNTIFS($C$2:$C$1090,C411,$L$2:$L$1090,1),"")</f>
        <v>8</v>
      </c>
      <c r="N411" s="12" t="n">
        <f aca="false">IF(L411=1,1+COUNTIFS($C$2:$C$1090,C411,$L$2:$L$1090,1,$G$2:$G$1090,"&gt;"&amp;G411),"")</f>
        <v>2</v>
      </c>
      <c r="O411" s="12" t="n">
        <f aca="false">IF(L411=1,1+COUNTIFS($C$2:$C$1090,C411,$L$2:$L$1090,1,$H$2:$H$1090,"&gt;"&amp;H411),"")</f>
        <v>1</v>
      </c>
      <c r="P411" s="12" t="n">
        <f aca="false">IF(L411=1,N411-O411,"")</f>
        <v>1</v>
      </c>
      <c r="Q411" s="12" t="n">
        <f aca="false">INDEX(Directions!$D$2:$D$100,MATCH(C411,Directions!$A$2:$A$100,0))</f>
        <v>0</v>
      </c>
      <c r="R411" s="12" t="n">
        <f aca="false">IF(L411=1,P411*Q411,"")</f>
        <v>0</v>
      </c>
      <c r="S411" s="12" t="str">
        <f aca="false">IF(L411&lt;&gt;1,"Excluded",IF(Q411=0,"No direction",IF(R411&gt;0,"Better",IF(R411&lt;0,"Worse","No change"))))</f>
        <v>No direction</v>
      </c>
      <c r="T411" s="12" t="s">
        <v>318</v>
      </c>
      <c r="U411" s="12" t="str">
        <f aca="false">C411&amp;"|"&amp;E411</f>
        <v>F5_09|DEU</v>
      </c>
    </row>
    <row r="412" customFormat="false" ht="15" hidden="false" customHeight="false" outlineLevel="0" collapsed="false">
      <c r="A412" s="12" t="n">
        <v>5</v>
      </c>
      <c r="B412" s="12" t="s">
        <v>312</v>
      </c>
      <c r="C412" s="12" t="s">
        <v>130</v>
      </c>
      <c r="D412" s="12" t="s">
        <v>131</v>
      </c>
      <c r="E412" s="12" t="s">
        <v>285</v>
      </c>
      <c r="F412" s="12" t="s">
        <v>30</v>
      </c>
      <c r="G412" s="12" t="n">
        <v>2</v>
      </c>
      <c r="H412" s="12" t="n">
        <v>2.27</v>
      </c>
      <c r="I412" s="12" t="s">
        <v>293</v>
      </c>
      <c r="J412" s="12" t="n">
        <v>8</v>
      </c>
      <c r="K412" s="12" t="n">
        <v>8</v>
      </c>
      <c r="L412" s="28" t="n">
        <v>1</v>
      </c>
      <c r="M412" s="12" t="n">
        <f aca="false">IF(L412=1,COUNTIFS($C$2:$C$1090,C412,$L$2:$L$1090,1),"")</f>
        <v>8</v>
      </c>
      <c r="N412" s="12" t="n">
        <f aca="false">IF(L412=1,1+COUNTIFS($C$2:$C$1090,C412,$L$2:$L$1090,1,$G$2:$G$1090,"&gt;"&amp;G412),"")</f>
        <v>8</v>
      </c>
      <c r="O412" s="12" t="n">
        <f aca="false">IF(L412=1,1+COUNTIFS($C$2:$C$1090,C412,$L$2:$L$1090,1,$H$2:$H$1090,"&gt;"&amp;H412),"")</f>
        <v>7</v>
      </c>
      <c r="P412" s="12" t="n">
        <f aca="false">IF(L412=1,N412-O412,"")</f>
        <v>1</v>
      </c>
      <c r="Q412" s="12" t="n">
        <f aca="false">INDEX(Directions!$D$2:$D$100,MATCH(C412,Directions!$A$2:$A$100,0))</f>
        <v>0</v>
      </c>
      <c r="R412" s="12" t="n">
        <f aca="false">IF(L412=1,P412*Q412,"")</f>
        <v>0</v>
      </c>
      <c r="S412" s="12" t="str">
        <f aca="false">IF(L412&lt;&gt;1,"Excluded",IF(Q412=0,"No direction",IF(R412&gt;0,"Better",IF(R412&lt;0,"Worse","No change"))))</f>
        <v>No direction</v>
      </c>
      <c r="T412" s="12" t="s">
        <v>318</v>
      </c>
      <c r="U412" s="12" t="str">
        <f aca="false">C412&amp;"|"&amp;E412</f>
        <v>F5_09|SWE</v>
      </c>
    </row>
    <row r="413" customFormat="false" ht="15" hidden="false" customHeight="false" outlineLevel="0" collapsed="false">
      <c r="A413" s="12" t="n">
        <v>5</v>
      </c>
      <c r="B413" s="12" t="s">
        <v>312</v>
      </c>
      <c r="C413" s="12" t="s">
        <v>130</v>
      </c>
      <c r="D413" s="12" t="s">
        <v>131</v>
      </c>
      <c r="E413" s="12" t="s">
        <v>286</v>
      </c>
      <c r="F413" s="12" t="s">
        <v>31</v>
      </c>
      <c r="G413" s="12" t="n">
        <v>2.6</v>
      </c>
      <c r="H413" s="12" t="n">
        <v>3.35</v>
      </c>
      <c r="I413" s="12" t="s">
        <v>295</v>
      </c>
      <c r="J413" s="12" t="n">
        <v>5</v>
      </c>
      <c r="K413" s="12" t="n">
        <v>4</v>
      </c>
      <c r="L413" s="28" t="n">
        <v>1</v>
      </c>
      <c r="M413" s="12" t="n">
        <f aca="false">IF(L413=1,COUNTIFS($C$2:$C$1090,C413,$L$2:$L$1090,1),"")</f>
        <v>8</v>
      </c>
      <c r="N413" s="12" t="n">
        <f aca="false">IF(L413=1,1+COUNTIFS($C$2:$C$1090,C413,$L$2:$L$1090,1,$G$2:$G$1090,"&gt;"&amp;G413),"")</f>
        <v>5</v>
      </c>
      <c r="O413" s="12" t="n">
        <f aca="false">IF(L413=1,1+COUNTIFS($C$2:$C$1090,C413,$L$2:$L$1090,1,$H$2:$H$1090,"&gt;"&amp;H413),"")</f>
        <v>4</v>
      </c>
      <c r="P413" s="12" t="n">
        <f aca="false">IF(L413=1,N413-O413,"")</f>
        <v>1</v>
      </c>
      <c r="Q413" s="12" t="n">
        <f aca="false">INDEX(Directions!$D$2:$D$100,MATCH(C413,Directions!$A$2:$A$100,0))</f>
        <v>0</v>
      </c>
      <c r="R413" s="12" t="n">
        <f aca="false">IF(L413=1,P413*Q413,"")</f>
        <v>0</v>
      </c>
      <c r="S413" s="12" t="str">
        <f aca="false">IF(L413&lt;&gt;1,"Excluded",IF(Q413=0,"No direction",IF(R413&gt;0,"Better",IF(R413&lt;0,"Worse","No change"))))</f>
        <v>No direction</v>
      </c>
      <c r="T413" s="12" t="s">
        <v>318</v>
      </c>
      <c r="U413" s="12" t="str">
        <f aca="false">C413&amp;"|"&amp;E413</f>
        <v>F5_09|FRA</v>
      </c>
    </row>
    <row r="414" customFormat="false" ht="15" hidden="false" customHeight="false" outlineLevel="0" collapsed="false">
      <c r="A414" s="12" t="n">
        <v>5</v>
      </c>
      <c r="B414" s="12" t="s">
        <v>312</v>
      </c>
      <c r="C414" s="12" t="s">
        <v>130</v>
      </c>
      <c r="D414" s="12" t="s">
        <v>131</v>
      </c>
      <c r="E414" s="12" t="s">
        <v>32</v>
      </c>
      <c r="F414" s="12" t="s">
        <v>32</v>
      </c>
      <c r="G414" s="12" t="n">
        <v>2.1</v>
      </c>
      <c r="H414" s="12" t="n">
        <v>2.29</v>
      </c>
      <c r="I414" s="12" t="s">
        <v>293</v>
      </c>
      <c r="J414" s="12" t="n">
        <v>6</v>
      </c>
      <c r="K414" s="12" t="n">
        <v>7</v>
      </c>
      <c r="L414" s="28" t="n">
        <v>1</v>
      </c>
      <c r="M414" s="12" t="n">
        <f aca="false">IF(L414=1,COUNTIFS($C$2:$C$1090,C414,$L$2:$L$1090,1),"")</f>
        <v>8</v>
      </c>
      <c r="N414" s="12" t="n">
        <f aca="false">IF(L414=1,1+COUNTIFS($C$2:$C$1090,C414,$L$2:$L$1090,1,$G$2:$G$1090,"&gt;"&amp;G414),"")</f>
        <v>6</v>
      </c>
      <c r="O414" s="12" t="n">
        <f aca="false">IF(L414=1,1+COUNTIFS($C$2:$C$1090,C414,$L$2:$L$1090,1,$H$2:$H$1090,"&gt;"&amp;H414),"")</f>
        <v>6</v>
      </c>
      <c r="P414" s="12" t="n">
        <f aca="false">IF(L414=1,N414-O414,"")</f>
        <v>0</v>
      </c>
      <c r="Q414" s="12" t="n">
        <f aca="false">INDEX(Directions!$D$2:$D$100,MATCH(C414,Directions!$A$2:$A$100,0))</f>
        <v>0</v>
      </c>
      <c r="R414" s="12" t="n">
        <f aca="false">IF(L414=1,P414*Q414,"")</f>
        <v>0</v>
      </c>
      <c r="S414" s="12" t="str">
        <f aca="false">IF(L414&lt;&gt;1,"Excluded",IF(Q414=0,"No direction",IF(R414&gt;0,"Better",IF(R414&lt;0,"Worse","No change"))))</f>
        <v>No direction</v>
      </c>
      <c r="T414" s="12" t="s">
        <v>318</v>
      </c>
      <c r="U414" s="12" t="str">
        <f aca="false">C414&amp;"|"&amp;E414</f>
        <v>F5_09|NLD</v>
      </c>
    </row>
    <row r="415" customFormat="false" ht="15" hidden="false" customHeight="false" outlineLevel="0" collapsed="false">
      <c r="A415" s="12" t="n">
        <v>5</v>
      </c>
      <c r="B415" s="12" t="s">
        <v>312</v>
      </c>
      <c r="C415" s="12" t="s">
        <v>130</v>
      </c>
      <c r="D415" s="12" t="s">
        <v>131</v>
      </c>
      <c r="E415" s="12" t="s">
        <v>33</v>
      </c>
      <c r="F415" s="12" t="s">
        <v>33</v>
      </c>
      <c r="G415" s="12" t="s">
        <v>302</v>
      </c>
      <c r="H415" s="12" t="n">
        <v>2.65</v>
      </c>
      <c r="I415" s="12" t="s">
        <v>293</v>
      </c>
      <c r="J415" s="12" t="s">
        <v>302</v>
      </c>
      <c r="K415" s="12" t="n">
        <v>6</v>
      </c>
      <c r="L415" s="28" t="n">
        <v>0</v>
      </c>
      <c r="M415" s="12" t="str">
        <f aca="false">IF(L415=1,COUNTIFS($C$2:$C$1090,C415,$L$2:$L$1090,1),"")</f>
        <v/>
      </c>
      <c r="N415" s="12" t="str">
        <f aca="false">IF(L415=1,1+COUNTIFS($C$2:$C$1090,C415,$L$2:$L$1090,1,$G$2:$G$1090,"&gt;"&amp;G415),"")</f>
        <v/>
      </c>
      <c r="O415" s="12" t="str">
        <f aca="false">IF(L415=1,1+COUNTIFS($C$2:$C$1090,C415,$L$2:$L$1090,1,$H$2:$H$1090,"&gt;"&amp;H415),"")</f>
        <v/>
      </c>
      <c r="P415" s="12" t="str">
        <f aca="false">IF(L415=1,N415-O415,"")</f>
        <v/>
      </c>
      <c r="Q415" s="12" t="n">
        <f aca="false">INDEX(Directions!$D$2:$D$100,MATCH(C415,Directions!$A$2:$A$100,0))</f>
        <v>0</v>
      </c>
      <c r="R415" s="12" t="str">
        <f aca="false">IF(L415=1,P415*Q415,"")</f>
        <v/>
      </c>
      <c r="S415" s="12" t="str">
        <f aca="false">IF(L415&lt;&gt;1,"Excluded",IF(Q415=0,"No direction",IF(R415&gt;0,"Better",IF(R415&lt;0,"Worse","No change"))))</f>
        <v>Excluded</v>
      </c>
      <c r="T415" s="12" t="s">
        <v>311</v>
      </c>
      <c r="U415" s="12" t="str">
        <f aca="false">C415&amp;"|"&amp;E415</f>
        <v>F5_09|CHE</v>
      </c>
    </row>
    <row r="416" customFormat="false" ht="15" hidden="false" customHeight="false" outlineLevel="0" collapsed="false">
      <c r="A416" s="12" t="n">
        <v>5</v>
      </c>
      <c r="B416" s="12" t="s">
        <v>312</v>
      </c>
      <c r="C416" s="12" t="s">
        <v>130</v>
      </c>
      <c r="D416" s="12" t="s">
        <v>131</v>
      </c>
      <c r="E416" s="12" t="s">
        <v>287</v>
      </c>
      <c r="F416" s="12" t="s">
        <v>34</v>
      </c>
      <c r="G416" s="12" t="s">
        <v>302</v>
      </c>
      <c r="H416" s="12" t="n">
        <v>1.76</v>
      </c>
      <c r="I416" s="12" t="s">
        <v>293</v>
      </c>
      <c r="J416" s="12" t="s">
        <v>302</v>
      </c>
      <c r="K416" s="12" t="n">
        <v>10</v>
      </c>
      <c r="L416" s="28" t="n">
        <v>0</v>
      </c>
      <c r="M416" s="12" t="str">
        <f aca="false">IF(L416=1,COUNTIFS($C$2:$C$1090,C416,$L$2:$L$1090,1),"")</f>
        <v/>
      </c>
      <c r="N416" s="12" t="str">
        <f aca="false">IF(L416=1,1+COUNTIFS($C$2:$C$1090,C416,$L$2:$L$1090,1,$G$2:$G$1090,"&gt;"&amp;G416),"")</f>
        <v/>
      </c>
      <c r="O416" s="12" t="str">
        <f aca="false">IF(L416=1,1+COUNTIFS($C$2:$C$1090,C416,$L$2:$L$1090,1,$H$2:$H$1090,"&gt;"&amp;H416),"")</f>
        <v/>
      </c>
      <c r="P416" s="12" t="str">
        <f aca="false">IF(L416=1,N416-O416,"")</f>
        <v/>
      </c>
      <c r="Q416" s="12" t="n">
        <f aca="false">INDEX(Directions!$D$2:$D$100,MATCH(C416,Directions!$A$2:$A$100,0))</f>
        <v>0</v>
      </c>
      <c r="R416" s="12" t="str">
        <f aca="false">IF(L416=1,P416*Q416,"")</f>
        <v/>
      </c>
      <c r="S416" s="12" t="str">
        <f aca="false">IF(L416&lt;&gt;1,"Excluded",IF(Q416=0,"No direction",IF(R416&gt;0,"Better",IF(R416&lt;0,"Worse","No change"))))</f>
        <v>Excluded</v>
      </c>
      <c r="T416" s="12" t="s">
        <v>311</v>
      </c>
      <c r="U416" s="12" t="str">
        <f aca="false">C416&amp;"|"&amp;E416</f>
        <v>F5_09|DNK</v>
      </c>
    </row>
    <row r="417" customFormat="false" ht="15" hidden="false" customHeight="false" outlineLevel="0" collapsed="false">
      <c r="A417" s="12" t="n">
        <v>5</v>
      </c>
      <c r="B417" s="12" t="s">
        <v>312</v>
      </c>
      <c r="C417" s="12" t="s">
        <v>130</v>
      </c>
      <c r="D417" s="12" t="s">
        <v>131</v>
      </c>
      <c r="E417" s="12" t="s">
        <v>288</v>
      </c>
      <c r="F417" s="12" t="s">
        <v>35</v>
      </c>
      <c r="G417" s="12" t="n">
        <v>3</v>
      </c>
      <c r="H417" s="12" t="n">
        <v>2.81</v>
      </c>
      <c r="I417" s="12" t="s">
        <v>291</v>
      </c>
      <c r="J417" s="12" t="n">
        <v>4</v>
      </c>
      <c r="K417" s="12" t="n">
        <v>5</v>
      </c>
      <c r="L417" s="28" t="n">
        <v>1</v>
      </c>
      <c r="M417" s="12" t="n">
        <f aca="false">IF(L417=1,COUNTIFS($C$2:$C$1090,C417,$L$2:$L$1090,1),"")</f>
        <v>8</v>
      </c>
      <c r="N417" s="12" t="n">
        <f aca="false">IF(L417=1,1+COUNTIFS($C$2:$C$1090,C417,$L$2:$L$1090,1,$G$2:$G$1090,"&gt;"&amp;G417),"")</f>
        <v>4</v>
      </c>
      <c r="O417" s="12" t="n">
        <f aca="false">IF(L417=1,1+COUNTIFS($C$2:$C$1090,C417,$L$2:$L$1090,1,$H$2:$H$1090,"&gt;"&amp;H417),"")</f>
        <v>5</v>
      </c>
      <c r="P417" s="12" t="n">
        <f aca="false">IF(L417=1,N417-O417,"")</f>
        <v>-1</v>
      </c>
      <c r="Q417" s="12" t="n">
        <f aca="false">INDEX(Directions!$D$2:$D$100,MATCH(C417,Directions!$A$2:$A$100,0))</f>
        <v>0</v>
      </c>
      <c r="R417" s="12" t="n">
        <f aca="false">IF(L417=1,P417*Q417,"")</f>
        <v>-0</v>
      </c>
      <c r="S417" s="12" t="str">
        <f aca="false">IF(L417&lt;&gt;1,"Excluded",IF(Q417=0,"No direction",IF(R417&gt;0,"Better",IF(R417&lt;0,"Worse","No change"))))</f>
        <v>No direction</v>
      </c>
      <c r="T417" s="12" t="s">
        <v>318</v>
      </c>
      <c r="U417" s="12" t="str">
        <f aca="false">C417&amp;"|"&amp;E417</f>
        <v>F5_09|CAN</v>
      </c>
    </row>
    <row r="418" customFormat="false" ht="15" hidden="false" customHeight="false" outlineLevel="0" collapsed="false">
      <c r="A418" s="12" t="n">
        <v>5</v>
      </c>
      <c r="B418" s="12" t="s">
        <v>312</v>
      </c>
      <c r="C418" s="12" t="s">
        <v>130</v>
      </c>
      <c r="D418" s="12" t="s">
        <v>131</v>
      </c>
      <c r="E418" s="12" t="s">
        <v>289</v>
      </c>
      <c r="F418" s="12" t="s">
        <v>36</v>
      </c>
      <c r="G418" s="12" t="s">
        <v>302</v>
      </c>
      <c r="H418" s="12" t="s">
        <v>302</v>
      </c>
      <c r="I418" s="12"/>
      <c r="J418" s="12" t="s">
        <v>302</v>
      </c>
      <c r="K418" s="12" t="s">
        <v>302</v>
      </c>
      <c r="L418" s="28" t="n">
        <v>0</v>
      </c>
      <c r="M418" s="12" t="str">
        <f aca="false">IF(L418=1,COUNTIFS($C$2:$C$1090,C418,$L$2:$L$1090,1),"")</f>
        <v/>
      </c>
      <c r="N418" s="12" t="str">
        <f aca="false">IF(L418=1,1+COUNTIFS($C$2:$C$1090,C418,$L$2:$L$1090,1,$G$2:$G$1090,"&gt;"&amp;G418),"")</f>
        <v/>
      </c>
      <c r="O418" s="12" t="str">
        <f aca="false">IF(L418=1,1+COUNTIFS($C$2:$C$1090,C418,$L$2:$L$1090,1,$H$2:$H$1090,"&gt;"&amp;H418),"")</f>
        <v/>
      </c>
      <c r="P418" s="12" t="str">
        <f aca="false">IF(L418=1,N418-O418,"")</f>
        <v/>
      </c>
      <c r="Q418" s="12" t="n">
        <f aca="false">INDEX(Directions!$D$2:$D$100,MATCH(C418,Directions!$A$2:$A$100,0))</f>
        <v>0</v>
      </c>
      <c r="R418" s="12" t="str">
        <f aca="false">IF(L418=1,P418*Q418,"")</f>
        <v/>
      </c>
      <c r="S418" s="12" t="str">
        <f aca="false">IF(L418&lt;&gt;1,"Excluded",IF(Q418=0,"No direction",IF(R418&gt;0,"Better",IF(R418&lt;0,"Worse","No change"))))</f>
        <v>Excluded</v>
      </c>
      <c r="T418" s="12" t="s">
        <v>304</v>
      </c>
      <c r="U418" s="12" t="str">
        <f aca="false">C418&amp;"|"&amp;E418</f>
        <v>F5_09|JPN</v>
      </c>
    </row>
    <row r="419" customFormat="false" ht="15" hidden="false" customHeight="false" outlineLevel="0" collapsed="false">
      <c r="A419" s="12" t="n">
        <v>5</v>
      </c>
      <c r="B419" s="12" t="s">
        <v>312</v>
      </c>
      <c r="C419" s="12" t="s">
        <v>130</v>
      </c>
      <c r="D419" s="12" t="s">
        <v>131</v>
      </c>
      <c r="E419" s="12" t="s">
        <v>290</v>
      </c>
      <c r="F419" s="12" t="s">
        <v>37</v>
      </c>
      <c r="G419" s="12" t="n">
        <v>2.1</v>
      </c>
      <c r="H419" s="12" t="n">
        <v>1.92</v>
      </c>
      <c r="I419" s="12" t="s">
        <v>293</v>
      </c>
      <c r="J419" s="12" t="n">
        <v>7</v>
      </c>
      <c r="K419" s="12" t="n">
        <v>9</v>
      </c>
      <c r="L419" s="28" t="n">
        <v>1</v>
      </c>
      <c r="M419" s="12" t="n">
        <f aca="false">IF(L419=1,COUNTIFS($C$2:$C$1090,C419,$L$2:$L$1090,1),"")</f>
        <v>8</v>
      </c>
      <c r="N419" s="12" t="n">
        <f aca="false">IF(L419=1,1+COUNTIFS($C$2:$C$1090,C419,$L$2:$L$1090,1,$G$2:$G$1090,"&gt;"&amp;G419),"")</f>
        <v>6</v>
      </c>
      <c r="O419" s="12" t="n">
        <f aca="false">IF(L419=1,1+COUNTIFS($C$2:$C$1090,C419,$L$2:$L$1090,1,$H$2:$H$1090,"&gt;"&amp;H419),"")</f>
        <v>8</v>
      </c>
      <c r="P419" s="12" t="n">
        <f aca="false">IF(L419=1,N419-O419,"")</f>
        <v>-2</v>
      </c>
      <c r="Q419" s="12" t="n">
        <f aca="false">INDEX(Directions!$D$2:$D$100,MATCH(C419,Directions!$A$2:$A$100,0))</f>
        <v>0</v>
      </c>
      <c r="R419" s="12" t="n">
        <f aca="false">IF(L419=1,P419*Q419,"")</f>
        <v>-0</v>
      </c>
      <c r="S419" s="12" t="str">
        <f aca="false">IF(L419&lt;&gt;1,"Excluded",IF(Q419=0,"No direction",IF(R419&gt;0,"Better",IF(R419&lt;0,"Worse","No change"))))</f>
        <v>No direction</v>
      </c>
      <c r="T419" s="12" t="s">
        <v>318</v>
      </c>
      <c r="U419" s="12" t="str">
        <f aca="false">C419&amp;"|"&amp;E419</f>
        <v>F5_09|AUS</v>
      </c>
    </row>
    <row r="420" customFormat="false" ht="15" hidden="false" customHeight="false" outlineLevel="0" collapsed="false">
      <c r="A420" s="12" t="n">
        <v>5</v>
      </c>
      <c r="B420" s="12" t="s">
        <v>312</v>
      </c>
      <c r="C420" s="12" t="s">
        <v>132</v>
      </c>
      <c r="D420" s="12" t="s">
        <v>133</v>
      </c>
      <c r="E420" s="12" t="s">
        <v>281</v>
      </c>
      <c r="F420" s="12" t="s">
        <v>27</v>
      </c>
      <c r="G420" s="12" t="n">
        <v>5.3</v>
      </c>
      <c r="H420" s="12" t="n">
        <v>4.79</v>
      </c>
      <c r="I420" s="12" t="s">
        <v>282</v>
      </c>
      <c r="J420" s="12" t="n">
        <v>1</v>
      </c>
      <c r="K420" s="12" t="n">
        <v>1</v>
      </c>
      <c r="L420" s="28" t="n">
        <v>1</v>
      </c>
      <c r="M420" s="12" t="n">
        <f aca="false">IF(L420=1,COUNTIFS($C$2:$C$1090,C420,$L$2:$L$1090,1),"")</f>
        <v>9</v>
      </c>
      <c r="N420" s="12" t="n">
        <f aca="false">IF(L420=1,1+COUNTIFS($C$2:$C$1090,C420,$L$2:$L$1090,1,$G$2:$G$1090,"&gt;"&amp;G420),"")</f>
        <v>1</v>
      </c>
      <c r="O420" s="12" t="n">
        <f aca="false">IF(L420=1,1+COUNTIFS($C$2:$C$1090,C420,$L$2:$L$1090,1,$H$2:$H$1090,"&gt;"&amp;H420),"")</f>
        <v>1</v>
      </c>
      <c r="P420" s="12" t="n">
        <f aca="false">IF(L420=1,N420-O420,"")</f>
        <v>0</v>
      </c>
      <c r="Q420" s="12" t="n">
        <f aca="false">INDEX(Directions!$D$2:$D$100,MATCH(C420,Directions!$A$2:$A$100,0))</f>
        <v>0</v>
      </c>
      <c r="R420" s="12" t="n">
        <f aca="false">IF(L420=1,P420*Q420,"")</f>
        <v>0</v>
      </c>
      <c r="S420" s="12" t="str">
        <f aca="false">IF(L420&lt;&gt;1,"Excluded",IF(Q420=0,"No direction",IF(R420&gt;0,"Better",IF(R420&lt;0,"Worse","No change"))))</f>
        <v>No direction</v>
      </c>
      <c r="T420" s="12" t="s">
        <v>318</v>
      </c>
      <c r="U420" s="12" t="str">
        <f aca="false">C420&amp;"|"&amp;E420</f>
        <v>F5_10|USA</v>
      </c>
    </row>
    <row r="421" customFormat="false" ht="15" hidden="false" customHeight="false" outlineLevel="0" collapsed="false">
      <c r="A421" s="12" t="n">
        <v>5</v>
      </c>
      <c r="B421" s="12" t="s">
        <v>312</v>
      </c>
      <c r="C421" s="12" t="s">
        <v>132</v>
      </c>
      <c r="D421" s="12" t="s">
        <v>133</v>
      </c>
      <c r="E421" s="12" t="s">
        <v>283</v>
      </c>
      <c r="F421" s="12" t="s">
        <v>28</v>
      </c>
      <c r="G421" s="12" t="n">
        <v>3.4</v>
      </c>
      <c r="H421" s="12" t="n">
        <v>3.36</v>
      </c>
      <c r="I421" s="12" t="s">
        <v>296</v>
      </c>
      <c r="J421" s="12" t="n">
        <v>7</v>
      </c>
      <c r="K421" s="12" t="n">
        <v>3</v>
      </c>
      <c r="L421" s="28" t="n">
        <v>1</v>
      </c>
      <c r="M421" s="12" t="n">
        <f aca="false">IF(L421=1,COUNTIFS($C$2:$C$1090,C421,$L$2:$L$1090,1),"")</f>
        <v>9</v>
      </c>
      <c r="N421" s="12" t="n">
        <f aca="false">IF(L421=1,1+COUNTIFS($C$2:$C$1090,C421,$L$2:$L$1090,1,$G$2:$G$1090,"&gt;"&amp;G421),"")</f>
        <v>7</v>
      </c>
      <c r="O421" s="12" t="n">
        <f aca="false">IF(L421=1,1+COUNTIFS($C$2:$C$1090,C421,$L$2:$L$1090,1,$H$2:$H$1090,"&gt;"&amp;H421),"")</f>
        <v>3</v>
      </c>
      <c r="P421" s="12" t="n">
        <f aca="false">IF(L421=1,N421-O421,"")</f>
        <v>4</v>
      </c>
      <c r="Q421" s="12" t="n">
        <f aca="false">INDEX(Directions!$D$2:$D$100,MATCH(C421,Directions!$A$2:$A$100,0))</f>
        <v>0</v>
      </c>
      <c r="R421" s="12" t="n">
        <f aca="false">IF(L421=1,P421*Q421,"")</f>
        <v>0</v>
      </c>
      <c r="S421" s="12" t="str">
        <f aca="false">IF(L421&lt;&gt;1,"Excluded",IF(Q421=0,"No direction",IF(R421&gt;0,"Better",IF(R421&lt;0,"Worse","No change"))))</f>
        <v>No direction</v>
      </c>
      <c r="T421" s="12" t="s">
        <v>318</v>
      </c>
      <c r="U421" s="12" t="str">
        <f aca="false">C421&amp;"|"&amp;E421</f>
        <v>F5_10|GBR</v>
      </c>
    </row>
    <row r="422" customFormat="false" ht="15" hidden="false" customHeight="false" outlineLevel="0" collapsed="false">
      <c r="A422" s="12" t="n">
        <v>5</v>
      </c>
      <c r="B422" s="12" t="s">
        <v>312</v>
      </c>
      <c r="C422" s="12" t="s">
        <v>132</v>
      </c>
      <c r="D422" s="12" t="s">
        <v>133</v>
      </c>
      <c r="E422" s="12" t="s">
        <v>284</v>
      </c>
      <c r="F422" s="12" t="s">
        <v>29</v>
      </c>
      <c r="G422" s="12" t="n">
        <v>3.9</v>
      </c>
      <c r="H422" s="12" t="n">
        <v>2.99</v>
      </c>
      <c r="I422" s="12" t="s">
        <v>293</v>
      </c>
      <c r="J422" s="12" t="n">
        <v>2</v>
      </c>
      <c r="K422" s="12" t="n">
        <v>6</v>
      </c>
      <c r="L422" s="28" t="n">
        <v>1</v>
      </c>
      <c r="M422" s="12" t="n">
        <f aca="false">IF(L422=1,COUNTIFS($C$2:$C$1090,C422,$L$2:$L$1090,1),"")</f>
        <v>9</v>
      </c>
      <c r="N422" s="12" t="n">
        <f aca="false">IF(L422=1,1+COUNTIFS($C$2:$C$1090,C422,$L$2:$L$1090,1,$G$2:$G$1090,"&gt;"&amp;G422),"")</f>
        <v>2</v>
      </c>
      <c r="O422" s="12" t="n">
        <f aca="false">IF(L422=1,1+COUNTIFS($C$2:$C$1090,C422,$L$2:$L$1090,1,$H$2:$H$1090,"&gt;"&amp;H422),"")</f>
        <v>6</v>
      </c>
      <c r="P422" s="12" t="n">
        <f aca="false">IF(L422=1,N422-O422,"")</f>
        <v>-4</v>
      </c>
      <c r="Q422" s="12" t="n">
        <f aca="false">INDEX(Directions!$D$2:$D$100,MATCH(C422,Directions!$A$2:$A$100,0))</f>
        <v>0</v>
      </c>
      <c r="R422" s="12" t="n">
        <f aca="false">IF(L422=1,P422*Q422,"")</f>
        <v>-0</v>
      </c>
      <c r="S422" s="12" t="str">
        <f aca="false">IF(L422&lt;&gt;1,"Excluded",IF(Q422=0,"No direction",IF(R422&gt;0,"Better",IF(R422&lt;0,"Worse","No change"))))</f>
        <v>No direction</v>
      </c>
      <c r="T422" s="12" t="s">
        <v>318</v>
      </c>
      <c r="U422" s="12" t="str">
        <f aca="false">C422&amp;"|"&amp;E422</f>
        <v>F5_10|DEU</v>
      </c>
    </row>
    <row r="423" customFormat="false" ht="15" hidden="false" customHeight="false" outlineLevel="0" collapsed="false">
      <c r="A423" s="12" t="n">
        <v>5</v>
      </c>
      <c r="B423" s="12" t="s">
        <v>312</v>
      </c>
      <c r="C423" s="12" t="s">
        <v>132</v>
      </c>
      <c r="D423" s="12" t="s">
        <v>133</v>
      </c>
      <c r="E423" s="12" t="s">
        <v>285</v>
      </c>
      <c r="F423" s="12" t="s">
        <v>30</v>
      </c>
      <c r="G423" s="12" t="n">
        <v>2.3</v>
      </c>
      <c r="H423" s="12" t="n">
        <v>2.18</v>
      </c>
      <c r="I423" s="12" t="s">
        <v>293</v>
      </c>
      <c r="J423" s="12" t="n">
        <v>9</v>
      </c>
      <c r="K423" s="12" t="n">
        <v>10</v>
      </c>
      <c r="L423" s="28" t="n">
        <v>1</v>
      </c>
      <c r="M423" s="12" t="n">
        <f aca="false">IF(L423=1,COUNTIFS($C$2:$C$1090,C423,$L$2:$L$1090,1),"")</f>
        <v>9</v>
      </c>
      <c r="N423" s="12" t="n">
        <f aca="false">IF(L423=1,1+COUNTIFS($C$2:$C$1090,C423,$L$2:$L$1090,1,$G$2:$G$1090,"&gt;"&amp;G423),"")</f>
        <v>9</v>
      </c>
      <c r="O423" s="12" t="n">
        <f aca="false">IF(L423=1,1+COUNTIFS($C$2:$C$1090,C423,$L$2:$L$1090,1,$H$2:$H$1090,"&gt;"&amp;H423),"")</f>
        <v>9</v>
      </c>
      <c r="P423" s="12" t="n">
        <f aca="false">IF(L423=1,N423-O423,"")</f>
        <v>0</v>
      </c>
      <c r="Q423" s="12" t="n">
        <f aca="false">INDEX(Directions!$D$2:$D$100,MATCH(C423,Directions!$A$2:$A$100,0))</f>
        <v>0</v>
      </c>
      <c r="R423" s="12" t="n">
        <f aca="false">IF(L423=1,P423*Q423,"")</f>
        <v>0</v>
      </c>
      <c r="S423" s="12" t="str">
        <f aca="false">IF(L423&lt;&gt;1,"Excluded",IF(Q423=0,"No direction",IF(R423&gt;0,"Better",IF(R423&lt;0,"Worse","No change"))))</f>
        <v>No direction</v>
      </c>
      <c r="T423" s="12" t="s">
        <v>318</v>
      </c>
      <c r="U423" s="12" t="str">
        <f aca="false">C423&amp;"|"&amp;E423</f>
        <v>F5_10|SWE</v>
      </c>
    </row>
    <row r="424" customFormat="false" ht="15" hidden="false" customHeight="false" outlineLevel="0" collapsed="false">
      <c r="A424" s="12" t="n">
        <v>5</v>
      </c>
      <c r="B424" s="12" t="s">
        <v>312</v>
      </c>
      <c r="C424" s="12" t="s">
        <v>132</v>
      </c>
      <c r="D424" s="12" t="s">
        <v>133</v>
      </c>
      <c r="E424" s="12" t="s">
        <v>286</v>
      </c>
      <c r="F424" s="12" t="s">
        <v>31</v>
      </c>
      <c r="G424" s="12" t="n">
        <v>3.6</v>
      </c>
      <c r="H424" s="12" t="n">
        <v>2.36</v>
      </c>
      <c r="I424" s="12" t="s">
        <v>291</v>
      </c>
      <c r="J424" s="12" t="n">
        <v>5</v>
      </c>
      <c r="K424" s="12" t="n">
        <v>9</v>
      </c>
      <c r="L424" s="28" t="n">
        <v>1</v>
      </c>
      <c r="M424" s="12" t="n">
        <f aca="false">IF(L424=1,COUNTIFS($C$2:$C$1090,C424,$L$2:$L$1090,1),"")</f>
        <v>9</v>
      </c>
      <c r="N424" s="12" t="n">
        <f aca="false">IF(L424=1,1+COUNTIFS($C$2:$C$1090,C424,$L$2:$L$1090,1,$G$2:$G$1090,"&gt;"&amp;G424),"")</f>
        <v>5</v>
      </c>
      <c r="O424" s="12" t="n">
        <f aca="false">IF(L424=1,1+COUNTIFS($C$2:$C$1090,C424,$L$2:$L$1090,1,$H$2:$H$1090,"&gt;"&amp;H424),"")</f>
        <v>8</v>
      </c>
      <c r="P424" s="12" t="n">
        <f aca="false">IF(L424=1,N424-O424,"")</f>
        <v>-3</v>
      </c>
      <c r="Q424" s="12" t="n">
        <f aca="false">INDEX(Directions!$D$2:$D$100,MATCH(C424,Directions!$A$2:$A$100,0))</f>
        <v>0</v>
      </c>
      <c r="R424" s="12" t="n">
        <f aca="false">IF(L424=1,P424*Q424,"")</f>
        <v>-0</v>
      </c>
      <c r="S424" s="12" t="str">
        <f aca="false">IF(L424&lt;&gt;1,"Excluded",IF(Q424=0,"No direction",IF(R424&gt;0,"Better",IF(R424&lt;0,"Worse","No change"))))</f>
        <v>No direction</v>
      </c>
      <c r="T424" s="12" t="s">
        <v>318</v>
      </c>
      <c r="U424" s="12" t="str">
        <f aca="false">C424&amp;"|"&amp;E424</f>
        <v>F5_10|FRA</v>
      </c>
    </row>
    <row r="425" customFormat="false" ht="15" hidden="false" customHeight="false" outlineLevel="0" collapsed="false">
      <c r="A425" s="12" t="n">
        <v>5</v>
      </c>
      <c r="B425" s="12" t="s">
        <v>312</v>
      </c>
      <c r="C425" s="12" t="s">
        <v>132</v>
      </c>
      <c r="D425" s="12" t="s">
        <v>133</v>
      </c>
      <c r="E425" s="12" t="s">
        <v>32</v>
      </c>
      <c r="F425" s="12" t="s">
        <v>32</v>
      </c>
      <c r="G425" s="12" t="n">
        <v>3.6</v>
      </c>
      <c r="H425" s="12" t="n">
        <v>3.1</v>
      </c>
      <c r="I425" s="12" t="s">
        <v>291</v>
      </c>
      <c r="J425" s="12" t="n">
        <v>6</v>
      </c>
      <c r="K425" s="12" t="n">
        <v>5</v>
      </c>
      <c r="L425" s="28" t="n">
        <v>1</v>
      </c>
      <c r="M425" s="12" t="n">
        <f aca="false">IF(L425=1,COUNTIFS($C$2:$C$1090,C425,$L$2:$L$1090,1),"")</f>
        <v>9</v>
      </c>
      <c r="N425" s="12" t="n">
        <f aca="false">IF(L425=1,1+COUNTIFS($C$2:$C$1090,C425,$L$2:$L$1090,1,$G$2:$G$1090,"&gt;"&amp;G425),"")</f>
        <v>5</v>
      </c>
      <c r="O425" s="12" t="n">
        <f aca="false">IF(L425=1,1+COUNTIFS($C$2:$C$1090,C425,$L$2:$L$1090,1,$H$2:$H$1090,"&gt;"&amp;H425),"")</f>
        <v>5</v>
      </c>
      <c r="P425" s="12" t="n">
        <f aca="false">IF(L425=1,N425-O425,"")</f>
        <v>0</v>
      </c>
      <c r="Q425" s="12" t="n">
        <f aca="false">INDEX(Directions!$D$2:$D$100,MATCH(C425,Directions!$A$2:$A$100,0))</f>
        <v>0</v>
      </c>
      <c r="R425" s="12" t="n">
        <f aca="false">IF(L425=1,P425*Q425,"")</f>
        <v>0</v>
      </c>
      <c r="S425" s="12" t="str">
        <f aca="false">IF(L425&lt;&gt;1,"Excluded",IF(Q425=0,"No direction",IF(R425&gt;0,"Better",IF(R425&lt;0,"Worse","No change"))))</f>
        <v>No direction</v>
      </c>
      <c r="T425" s="12" t="s">
        <v>318</v>
      </c>
      <c r="U425" s="12" t="str">
        <f aca="false">C425&amp;"|"&amp;E425</f>
        <v>F5_10|NLD</v>
      </c>
    </row>
    <row r="426" customFormat="false" ht="15" hidden="false" customHeight="false" outlineLevel="0" collapsed="false">
      <c r="A426" s="12" t="n">
        <v>5</v>
      </c>
      <c r="B426" s="12" t="s">
        <v>312</v>
      </c>
      <c r="C426" s="12" t="s">
        <v>132</v>
      </c>
      <c r="D426" s="12" t="s">
        <v>133</v>
      </c>
      <c r="E426" s="12" t="s">
        <v>33</v>
      </c>
      <c r="F426" s="12" t="s">
        <v>33</v>
      </c>
      <c r="G426" s="12" t="s">
        <v>302</v>
      </c>
      <c r="H426" s="12" t="n">
        <v>2.94</v>
      </c>
      <c r="I426" s="12" t="s">
        <v>293</v>
      </c>
      <c r="J426" s="12" t="s">
        <v>302</v>
      </c>
      <c r="K426" s="12" t="n">
        <v>7</v>
      </c>
      <c r="L426" s="28" t="n">
        <v>0</v>
      </c>
      <c r="M426" s="12" t="str">
        <f aca="false">IF(L426=1,COUNTIFS($C$2:$C$1090,C426,$L$2:$L$1090,1),"")</f>
        <v/>
      </c>
      <c r="N426" s="12" t="str">
        <f aca="false">IF(L426=1,1+COUNTIFS($C$2:$C$1090,C426,$L$2:$L$1090,1,$G$2:$G$1090,"&gt;"&amp;G426),"")</f>
        <v/>
      </c>
      <c r="O426" s="12" t="str">
        <f aca="false">IF(L426=1,1+COUNTIFS($C$2:$C$1090,C426,$L$2:$L$1090,1,$H$2:$H$1090,"&gt;"&amp;H426),"")</f>
        <v/>
      </c>
      <c r="P426" s="12" t="str">
        <f aca="false">IF(L426=1,N426-O426,"")</f>
        <v/>
      </c>
      <c r="Q426" s="12" t="n">
        <f aca="false">INDEX(Directions!$D$2:$D$100,MATCH(C426,Directions!$A$2:$A$100,0))</f>
        <v>0</v>
      </c>
      <c r="R426" s="12" t="str">
        <f aca="false">IF(L426=1,P426*Q426,"")</f>
        <v/>
      </c>
      <c r="S426" s="12" t="str">
        <f aca="false">IF(L426&lt;&gt;1,"Excluded",IF(Q426=0,"No direction",IF(R426&gt;0,"Better",IF(R426&lt;0,"Worse","No change"))))</f>
        <v>Excluded</v>
      </c>
      <c r="T426" s="12" t="s">
        <v>311</v>
      </c>
      <c r="U426" s="12" t="str">
        <f aca="false">C426&amp;"|"&amp;E426</f>
        <v>F5_10|CHE</v>
      </c>
    </row>
    <row r="427" customFormat="false" ht="15" hidden="false" customHeight="false" outlineLevel="0" collapsed="false">
      <c r="A427" s="12" t="n">
        <v>5</v>
      </c>
      <c r="B427" s="12" t="s">
        <v>312</v>
      </c>
      <c r="C427" s="12" t="s">
        <v>132</v>
      </c>
      <c r="D427" s="12" t="s">
        <v>133</v>
      </c>
      <c r="E427" s="12" t="s">
        <v>287</v>
      </c>
      <c r="F427" s="12" t="s">
        <v>34</v>
      </c>
      <c r="G427" s="12" t="n">
        <v>2.6</v>
      </c>
      <c r="H427" s="12" t="n">
        <v>2.39</v>
      </c>
      <c r="I427" s="12" t="s">
        <v>293</v>
      </c>
      <c r="J427" s="12" t="n">
        <v>8</v>
      </c>
      <c r="K427" s="12" t="n">
        <v>8</v>
      </c>
      <c r="L427" s="28" t="n">
        <v>1</v>
      </c>
      <c r="M427" s="12" t="n">
        <f aca="false">IF(L427=1,COUNTIFS($C$2:$C$1090,C427,$L$2:$L$1090,1),"")</f>
        <v>9</v>
      </c>
      <c r="N427" s="12" t="n">
        <f aca="false">IF(L427=1,1+COUNTIFS($C$2:$C$1090,C427,$L$2:$L$1090,1,$G$2:$G$1090,"&gt;"&amp;G427),"")</f>
        <v>8</v>
      </c>
      <c r="O427" s="12" t="n">
        <f aca="false">IF(L427=1,1+COUNTIFS($C$2:$C$1090,C427,$L$2:$L$1090,1,$H$2:$H$1090,"&gt;"&amp;H427),"")</f>
        <v>7</v>
      </c>
      <c r="P427" s="12" t="n">
        <f aca="false">IF(L427=1,N427-O427,"")</f>
        <v>1</v>
      </c>
      <c r="Q427" s="12" t="n">
        <f aca="false">INDEX(Directions!$D$2:$D$100,MATCH(C427,Directions!$A$2:$A$100,0))</f>
        <v>0</v>
      </c>
      <c r="R427" s="12" t="n">
        <f aca="false">IF(L427=1,P427*Q427,"")</f>
        <v>0</v>
      </c>
      <c r="S427" s="12" t="str">
        <f aca="false">IF(L427&lt;&gt;1,"Excluded",IF(Q427=0,"No direction",IF(R427&gt;0,"Better",IF(R427&lt;0,"Worse","No change"))))</f>
        <v>No direction</v>
      </c>
      <c r="T427" s="12" t="s">
        <v>318</v>
      </c>
      <c r="U427" s="12" t="str">
        <f aca="false">C427&amp;"|"&amp;E427</f>
        <v>F5_10|DNK</v>
      </c>
    </row>
    <row r="428" customFormat="false" ht="15" hidden="false" customHeight="false" outlineLevel="0" collapsed="false">
      <c r="A428" s="12" t="n">
        <v>5</v>
      </c>
      <c r="B428" s="12" t="s">
        <v>312</v>
      </c>
      <c r="C428" s="12" t="s">
        <v>132</v>
      </c>
      <c r="D428" s="12" t="s">
        <v>133</v>
      </c>
      <c r="E428" s="12" t="s">
        <v>288</v>
      </c>
      <c r="F428" s="12" t="s">
        <v>35</v>
      </c>
      <c r="G428" s="12" t="n">
        <v>3.9</v>
      </c>
      <c r="H428" s="12" t="n">
        <v>4.39</v>
      </c>
      <c r="I428" s="12" t="s">
        <v>291</v>
      </c>
      <c r="J428" s="12" t="n">
        <v>3</v>
      </c>
      <c r="K428" s="12" t="n">
        <v>2</v>
      </c>
      <c r="L428" s="28" t="n">
        <v>1</v>
      </c>
      <c r="M428" s="12" t="n">
        <f aca="false">IF(L428=1,COUNTIFS($C$2:$C$1090,C428,$L$2:$L$1090,1),"")</f>
        <v>9</v>
      </c>
      <c r="N428" s="12" t="n">
        <f aca="false">IF(L428=1,1+COUNTIFS($C$2:$C$1090,C428,$L$2:$L$1090,1,$G$2:$G$1090,"&gt;"&amp;G428),"")</f>
        <v>2</v>
      </c>
      <c r="O428" s="12" t="n">
        <f aca="false">IF(L428=1,1+COUNTIFS($C$2:$C$1090,C428,$L$2:$L$1090,1,$H$2:$H$1090,"&gt;"&amp;H428),"")</f>
        <v>2</v>
      </c>
      <c r="P428" s="12" t="n">
        <f aca="false">IF(L428=1,N428-O428,"")</f>
        <v>0</v>
      </c>
      <c r="Q428" s="12" t="n">
        <f aca="false">INDEX(Directions!$D$2:$D$100,MATCH(C428,Directions!$A$2:$A$100,0))</f>
        <v>0</v>
      </c>
      <c r="R428" s="12" t="n">
        <f aca="false">IF(L428=1,P428*Q428,"")</f>
        <v>0</v>
      </c>
      <c r="S428" s="12" t="str">
        <f aca="false">IF(L428&lt;&gt;1,"Excluded",IF(Q428=0,"No direction",IF(R428&gt;0,"Better",IF(R428&lt;0,"Worse","No change"))))</f>
        <v>No direction</v>
      </c>
      <c r="T428" s="12" t="s">
        <v>318</v>
      </c>
      <c r="U428" s="12" t="str">
        <f aca="false">C428&amp;"|"&amp;E428</f>
        <v>F5_10|CAN</v>
      </c>
    </row>
    <row r="429" customFormat="false" ht="15" hidden="false" customHeight="false" outlineLevel="0" collapsed="false">
      <c r="A429" s="12" t="n">
        <v>5</v>
      </c>
      <c r="B429" s="12" t="s">
        <v>312</v>
      </c>
      <c r="C429" s="12" t="s">
        <v>132</v>
      </c>
      <c r="D429" s="12" t="s">
        <v>133</v>
      </c>
      <c r="E429" s="12" t="s">
        <v>289</v>
      </c>
      <c r="F429" s="12" t="s">
        <v>36</v>
      </c>
      <c r="G429" s="12" t="s">
        <v>302</v>
      </c>
      <c r="H429" s="12" t="s">
        <v>302</v>
      </c>
      <c r="I429" s="12"/>
      <c r="J429" s="12" t="s">
        <v>302</v>
      </c>
      <c r="K429" s="12" t="s">
        <v>302</v>
      </c>
      <c r="L429" s="28" t="n">
        <v>0</v>
      </c>
      <c r="M429" s="12" t="str">
        <f aca="false">IF(L429=1,COUNTIFS($C$2:$C$1090,C429,$L$2:$L$1090,1),"")</f>
        <v/>
      </c>
      <c r="N429" s="12" t="str">
        <f aca="false">IF(L429=1,1+COUNTIFS($C$2:$C$1090,C429,$L$2:$L$1090,1,$G$2:$G$1090,"&gt;"&amp;G429),"")</f>
        <v/>
      </c>
      <c r="O429" s="12" t="str">
        <f aca="false">IF(L429=1,1+COUNTIFS($C$2:$C$1090,C429,$L$2:$L$1090,1,$H$2:$H$1090,"&gt;"&amp;H429),"")</f>
        <v/>
      </c>
      <c r="P429" s="12" t="str">
        <f aca="false">IF(L429=1,N429-O429,"")</f>
        <v/>
      </c>
      <c r="Q429" s="12" t="n">
        <f aca="false">INDEX(Directions!$D$2:$D$100,MATCH(C429,Directions!$A$2:$A$100,0))</f>
        <v>0</v>
      </c>
      <c r="R429" s="12" t="str">
        <f aca="false">IF(L429=1,P429*Q429,"")</f>
        <v/>
      </c>
      <c r="S429" s="12" t="str">
        <f aca="false">IF(L429&lt;&gt;1,"Excluded",IF(Q429=0,"No direction",IF(R429&gt;0,"Better",IF(R429&lt;0,"Worse","No change"))))</f>
        <v>Excluded</v>
      </c>
      <c r="T429" s="12" t="s">
        <v>304</v>
      </c>
      <c r="U429" s="12" t="str">
        <f aca="false">C429&amp;"|"&amp;E429</f>
        <v>F5_10|JPN</v>
      </c>
    </row>
    <row r="430" customFormat="false" ht="15" hidden="false" customHeight="false" outlineLevel="0" collapsed="false">
      <c r="A430" s="12" t="n">
        <v>5</v>
      </c>
      <c r="B430" s="12" t="s">
        <v>312</v>
      </c>
      <c r="C430" s="12" t="s">
        <v>132</v>
      </c>
      <c r="D430" s="12" t="s">
        <v>133</v>
      </c>
      <c r="E430" s="12" t="s">
        <v>290</v>
      </c>
      <c r="F430" s="12" t="s">
        <v>37</v>
      </c>
      <c r="G430" s="12" t="n">
        <v>3.8</v>
      </c>
      <c r="H430" s="12" t="n">
        <v>3.27</v>
      </c>
      <c r="I430" s="12" t="s">
        <v>293</v>
      </c>
      <c r="J430" s="12" t="n">
        <v>4</v>
      </c>
      <c r="K430" s="12" t="n">
        <v>4</v>
      </c>
      <c r="L430" s="28" t="n">
        <v>1</v>
      </c>
      <c r="M430" s="12" t="n">
        <f aca="false">IF(L430=1,COUNTIFS($C$2:$C$1090,C430,$L$2:$L$1090,1),"")</f>
        <v>9</v>
      </c>
      <c r="N430" s="12" t="n">
        <f aca="false">IF(L430=1,1+COUNTIFS($C$2:$C$1090,C430,$L$2:$L$1090,1,$G$2:$G$1090,"&gt;"&amp;G430),"")</f>
        <v>4</v>
      </c>
      <c r="O430" s="12" t="n">
        <f aca="false">IF(L430=1,1+COUNTIFS($C$2:$C$1090,C430,$L$2:$L$1090,1,$H$2:$H$1090,"&gt;"&amp;H430),"")</f>
        <v>4</v>
      </c>
      <c r="P430" s="12" t="n">
        <f aca="false">IF(L430=1,N430-O430,"")</f>
        <v>0</v>
      </c>
      <c r="Q430" s="12" t="n">
        <f aca="false">INDEX(Directions!$D$2:$D$100,MATCH(C430,Directions!$A$2:$A$100,0))</f>
        <v>0</v>
      </c>
      <c r="R430" s="12" t="n">
        <f aca="false">IF(L430=1,P430*Q430,"")</f>
        <v>0</v>
      </c>
      <c r="S430" s="12" t="str">
        <f aca="false">IF(L430&lt;&gt;1,"Excluded",IF(Q430=0,"No direction",IF(R430&gt;0,"Better",IF(R430&lt;0,"Worse","No change"))))</f>
        <v>No direction</v>
      </c>
      <c r="T430" s="12" t="s">
        <v>318</v>
      </c>
      <c r="U430" s="12" t="str">
        <f aca="false">C430&amp;"|"&amp;E430</f>
        <v>F5_10|AUS</v>
      </c>
    </row>
    <row r="431" customFormat="false" ht="15" hidden="false" customHeight="false" outlineLevel="0" collapsed="false">
      <c r="A431" s="12" t="n">
        <v>5</v>
      </c>
      <c r="B431" s="12" t="s">
        <v>312</v>
      </c>
      <c r="C431" s="12" t="s">
        <v>134</v>
      </c>
      <c r="D431" s="12" t="s">
        <v>135</v>
      </c>
      <c r="E431" s="12" t="s">
        <v>281</v>
      </c>
      <c r="F431" s="12" t="s">
        <v>27</v>
      </c>
      <c r="G431" s="12" t="n">
        <v>1.23</v>
      </c>
      <c r="H431" s="12" t="n">
        <v>1.21</v>
      </c>
      <c r="I431" s="12" t="s">
        <v>293</v>
      </c>
      <c r="J431" s="12" t="n">
        <v>2</v>
      </c>
      <c r="K431" s="12" t="n">
        <v>3</v>
      </c>
      <c r="L431" s="28" t="n">
        <v>1</v>
      </c>
      <c r="M431" s="12" t="n">
        <f aca="false">IF(L431=1,COUNTIFS($C$2:$C$1090,C431,$L$2:$L$1090,1),"")</f>
        <v>9</v>
      </c>
      <c r="N431" s="12" t="n">
        <f aca="false">IF(L431=1,1+COUNTIFS($C$2:$C$1090,C431,$L$2:$L$1090,1,$G$2:$G$1090,"&gt;"&amp;G431),"")</f>
        <v>2</v>
      </c>
      <c r="O431" s="12" t="n">
        <f aca="false">IF(L431=1,1+COUNTIFS($C$2:$C$1090,C431,$L$2:$L$1090,1,$H$2:$H$1090,"&gt;"&amp;H431),"")</f>
        <v>3</v>
      </c>
      <c r="P431" s="12" t="n">
        <f aca="false">IF(L431=1,N431-O431,"")</f>
        <v>-1</v>
      </c>
      <c r="Q431" s="12" t="n">
        <f aca="false">INDEX(Directions!$D$2:$D$100,MATCH(C431,Directions!$A$2:$A$100,0))</f>
        <v>0</v>
      </c>
      <c r="R431" s="12" t="n">
        <f aca="false">IF(L431=1,P431*Q431,"")</f>
        <v>-0</v>
      </c>
      <c r="S431" s="12" t="str">
        <f aca="false">IF(L431&lt;&gt;1,"Excluded",IF(Q431=0,"No direction",IF(R431&gt;0,"Better",IF(R431&lt;0,"Worse","No change"))))</f>
        <v>No direction</v>
      </c>
      <c r="T431" s="12" t="s">
        <v>318</v>
      </c>
      <c r="U431" s="12" t="str">
        <f aca="false">C431&amp;"|"&amp;E431</f>
        <v>F5_11|USA</v>
      </c>
    </row>
    <row r="432" customFormat="false" ht="15" hidden="false" customHeight="false" outlineLevel="0" collapsed="false">
      <c r="A432" s="12" t="n">
        <v>5</v>
      </c>
      <c r="B432" s="12" t="s">
        <v>312</v>
      </c>
      <c r="C432" s="12" t="s">
        <v>134</v>
      </c>
      <c r="D432" s="12" t="s">
        <v>135</v>
      </c>
      <c r="E432" s="12" t="s">
        <v>283</v>
      </c>
      <c r="F432" s="12" t="s">
        <v>28</v>
      </c>
      <c r="G432" s="12" t="n">
        <v>1.16</v>
      </c>
      <c r="H432" s="12" t="n">
        <v>0.87</v>
      </c>
      <c r="I432" s="12" t="s">
        <v>293</v>
      </c>
      <c r="J432" s="12" t="n">
        <v>4</v>
      </c>
      <c r="K432" s="12" t="n">
        <v>10</v>
      </c>
      <c r="L432" s="28" t="n">
        <v>1</v>
      </c>
      <c r="M432" s="12" t="n">
        <f aca="false">IF(L432=1,COUNTIFS($C$2:$C$1090,C432,$L$2:$L$1090,1),"")</f>
        <v>9</v>
      </c>
      <c r="N432" s="12" t="n">
        <f aca="false">IF(L432=1,1+COUNTIFS($C$2:$C$1090,C432,$L$2:$L$1090,1,$G$2:$G$1090,"&gt;"&amp;G432),"")</f>
        <v>4</v>
      </c>
      <c r="O432" s="12" t="n">
        <f aca="false">IF(L432=1,1+COUNTIFS($C$2:$C$1090,C432,$L$2:$L$1090,1,$H$2:$H$1090,"&gt;"&amp;H432),"")</f>
        <v>9</v>
      </c>
      <c r="P432" s="12" t="n">
        <f aca="false">IF(L432=1,N432-O432,"")</f>
        <v>-5</v>
      </c>
      <c r="Q432" s="12" t="n">
        <f aca="false">INDEX(Directions!$D$2:$D$100,MATCH(C432,Directions!$A$2:$A$100,0))</f>
        <v>0</v>
      </c>
      <c r="R432" s="12" t="n">
        <f aca="false">IF(L432=1,P432*Q432,"")</f>
        <v>-0</v>
      </c>
      <c r="S432" s="12" t="str">
        <f aca="false">IF(L432&lt;&gt;1,"Excluded",IF(Q432=0,"No direction",IF(R432&gt;0,"Better",IF(R432&lt;0,"Worse","No change"))))</f>
        <v>No direction</v>
      </c>
      <c r="T432" s="12" t="s">
        <v>318</v>
      </c>
      <c r="U432" s="12" t="str">
        <f aca="false">C432&amp;"|"&amp;E432</f>
        <v>F5_11|GBR</v>
      </c>
    </row>
    <row r="433" customFormat="false" ht="15" hidden="false" customHeight="false" outlineLevel="0" collapsed="false">
      <c r="A433" s="12" t="n">
        <v>5</v>
      </c>
      <c r="B433" s="12" t="s">
        <v>312</v>
      </c>
      <c r="C433" s="12" t="s">
        <v>134</v>
      </c>
      <c r="D433" s="12" t="s">
        <v>135</v>
      </c>
      <c r="E433" s="12" t="s">
        <v>284</v>
      </c>
      <c r="F433" s="12" t="s">
        <v>29</v>
      </c>
      <c r="G433" s="12" t="n">
        <v>1.16</v>
      </c>
      <c r="H433" s="12" t="n">
        <v>1.14</v>
      </c>
      <c r="I433" s="12" t="s">
        <v>294</v>
      </c>
      <c r="J433" s="12" t="n">
        <v>5</v>
      </c>
      <c r="K433" s="12" t="n">
        <v>4</v>
      </c>
      <c r="L433" s="28" t="n">
        <v>1</v>
      </c>
      <c r="M433" s="12" t="n">
        <f aca="false">IF(L433=1,COUNTIFS($C$2:$C$1090,C433,$L$2:$L$1090,1),"")</f>
        <v>9</v>
      </c>
      <c r="N433" s="12" t="n">
        <f aca="false">IF(L433=1,1+COUNTIFS($C$2:$C$1090,C433,$L$2:$L$1090,1,$G$2:$G$1090,"&gt;"&amp;G433),"")</f>
        <v>4</v>
      </c>
      <c r="O433" s="12" t="n">
        <f aca="false">IF(L433=1,1+COUNTIFS($C$2:$C$1090,C433,$L$2:$L$1090,1,$H$2:$H$1090,"&gt;"&amp;H433),"")</f>
        <v>4</v>
      </c>
      <c r="P433" s="12" t="n">
        <f aca="false">IF(L433=1,N433-O433,"")</f>
        <v>0</v>
      </c>
      <c r="Q433" s="12" t="n">
        <f aca="false">INDEX(Directions!$D$2:$D$100,MATCH(C433,Directions!$A$2:$A$100,0))</f>
        <v>0</v>
      </c>
      <c r="R433" s="12" t="n">
        <f aca="false">IF(L433=1,P433*Q433,"")</f>
        <v>0</v>
      </c>
      <c r="S433" s="12" t="str">
        <f aca="false">IF(L433&lt;&gt;1,"Excluded",IF(Q433=0,"No direction",IF(R433&gt;0,"Better",IF(R433&lt;0,"Worse","No change"))))</f>
        <v>No direction</v>
      </c>
      <c r="T433" s="12" t="s">
        <v>318</v>
      </c>
      <c r="U433" s="12" t="str">
        <f aca="false">C433&amp;"|"&amp;E433</f>
        <v>F5_11|DEU</v>
      </c>
    </row>
    <row r="434" customFormat="false" ht="15" hidden="false" customHeight="false" outlineLevel="0" collapsed="false">
      <c r="A434" s="12" t="n">
        <v>5</v>
      </c>
      <c r="B434" s="12" t="s">
        <v>312</v>
      </c>
      <c r="C434" s="12" t="s">
        <v>134</v>
      </c>
      <c r="D434" s="12" t="s">
        <v>135</v>
      </c>
      <c r="E434" s="12" t="s">
        <v>285</v>
      </c>
      <c r="F434" s="12" t="s">
        <v>30</v>
      </c>
      <c r="G434" s="12" t="s">
        <v>302</v>
      </c>
      <c r="H434" s="12" t="n">
        <v>1</v>
      </c>
      <c r="I434" s="12" t="s">
        <v>293</v>
      </c>
      <c r="J434" s="12" t="s">
        <v>302</v>
      </c>
      <c r="K434" s="12" t="n">
        <v>8</v>
      </c>
      <c r="L434" s="28" t="n">
        <v>0</v>
      </c>
      <c r="M434" s="12" t="str">
        <f aca="false">IF(L434=1,COUNTIFS($C$2:$C$1090,C434,$L$2:$L$1090,1),"")</f>
        <v/>
      </c>
      <c r="N434" s="12" t="str">
        <f aca="false">IF(L434=1,1+COUNTIFS($C$2:$C$1090,C434,$L$2:$L$1090,1,$G$2:$G$1090,"&gt;"&amp;G434),"")</f>
        <v/>
      </c>
      <c r="O434" s="12" t="str">
        <f aca="false">IF(L434=1,1+COUNTIFS($C$2:$C$1090,C434,$L$2:$L$1090,1,$H$2:$H$1090,"&gt;"&amp;H434),"")</f>
        <v/>
      </c>
      <c r="P434" s="12" t="str">
        <f aca="false">IF(L434=1,N434-O434,"")</f>
        <v/>
      </c>
      <c r="Q434" s="12" t="n">
        <f aca="false">INDEX(Directions!$D$2:$D$100,MATCH(C434,Directions!$A$2:$A$100,0))</f>
        <v>0</v>
      </c>
      <c r="R434" s="12" t="str">
        <f aca="false">IF(L434=1,P434*Q434,"")</f>
        <v/>
      </c>
      <c r="S434" s="12" t="str">
        <f aca="false">IF(L434&lt;&gt;1,"Excluded",IF(Q434=0,"No direction",IF(R434&gt;0,"Better",IF(R434&lt;0,"Worse","No change"))))</f>
        <v>Excluded</v>
      </c>
      <c r="T434" s="12" t="s">
        <v>311</v>
      </c>
      <c r="U434" s="12" t="str">
        <f aca="false">C434&amp;"|"&amp;E434</f>
        <v>F5_11|SWE</v>
      </c>
    </row>
    <row r="435" customFormat="false" ht="15" hidden="false" customHeight="false" outlineLevel="0" collapsed="false">
      <c r="A435" s="12" t="n">
        <v>5</v>
      </c>
      <c r="B435" s="12" t="s">
        <v>312</v>
      </c>
      <c r="C435" s="12" t="s">
        <v>134</v>
      </c>
      <c r="D435" s="12" t="s">
        <v>135</v>
      </c>
      <c r="E435" s="12" t="s">
        <v>286</v>
      </c>
      <c r="F435" s="12" t="s">
        <v>31</v>
      </c>
      <c r="G435" s="12" t="n">
        <v>0.99</v>
      </c>
      <c r="H435" s="12" t="n">
        <v>0.99</v>
      </c>
      <c r="I435" s="12" t="s">
        <v>291</v>
      </c>
      <c r="J435" s="12" t="n">
        <v>9</v>
      </c>
      <c r="K435" s="12" t="n">
        <v>9</v>
      </c>
      <c r="L435" s="28" t="n">
        <v>1</v>
      </c>
      <c r="M435" s="12" t="n">
        <f aca="false">IF(L435=1,COUNTIFS($C$2:$C$1090,C435,$L$2:$L$1090,1),"")</f>
        <v>9</v>
      </c>
      <c r="N435" s="12" t="n">
        <f aca="false">IF(L435=1,1+COUNTIFS($C$2:$C$1090,C435,$L$2:$L$1090,1,$G$2:$G$1090,"&gt;"&amp;G435),"")</f>
        <v>9</v>
      </c>
      <c r="O435" s="12" t="n">
        <f aca="false">IF(L435=1,1+COUNTIFS($C$2:$C$1090,C435,$L$2:$L$1090,1,$H$2:$H$1090,"&gt;"&amp;H435),"")</f>
        <v>8</v>
      </c>
      <c r="P435" s="12" t="n">
        <f aca="false">IF(L435=1,N435-O435,"")</f>
        <v>1</v>
      </c>
      <c r="Q435" s="12" t="n">
        <f aca="false">INDEX(Directions!$D$2:$D$100,MATCH(C435,Directions!$A$2:$A$100,0))</f>
        <v>0</v>
      </c>
      <c r="R435" s="12" t="n">
        <f aca="false">IF(L435=1,P435*Q435,"")</f>
        <v>0</v>
      </c>
      <c r="S435" s="12" t="str">
        <f aca="false">IF(L435&lt;&gt;1,"Excluded",IF(Q435=0,"No direction",IF(R435&gt;0,"Better",IF(R435&lt;0,"Worse","No change"))))</f>
        <v>No direction</v>
      </c>
      <c r="T435" s="12" t="s">
        <v>318</v>
      </c>
      <c r="U435" s="12" t="str">
        <f aca="false">C435&amp;"|"&amp;E435</f>
        <v>F5_11|FRA</v>
      </c>
    </row>
    <row r="436" customFormat="false" ht="15" hidden="false" customHeight="false" outlineLevel="0" collapsed="false">
      <c r="A436" s="12" t="n">
        <v>5</v>
      </c>
      <c r="B436" s="12" t="s">
        <v>312</v>
      </c>
      <c r="C436" s="12" t="s">
        <v>134</v>
      </c>
      <c r="D436" s="12" t="s">
        <v>135</v>
      </c>
      <c r="E436" s="12" t="s">
        <v>32</v>
      </c>
      <c r="F436" s="12" t="s">
        <v>32</v>
      </c>
      <c r="G436" s="12" t="n">
        <v>1.23</v>
      </c>
      <c r="H436" s="12" t="n">
        <v>1.22</v>
      </c>
      <c r="I436" s="12" t="s">
        <v>293</v>
      </c>
      <c r="J436" s="12" t="n">
        <v>3</v>
      </c>
      <c r="K436" s="12" t="n">
        <v>1</v>
      </c>
      <c r="L436" s="28" t="n">
        <v>1</v>
      </c>
      <c r="M436" s="12" t="n">
        <f aca="false">IF(L436=1,COUNTIFS($C$2:$C$1090,C436,$L$2:$L$1090,1),"")</f>
        <v>9</v>
      </c>
      <c r="N436" s="12" t="n">
        <f aca="false">IF(L436=1,1+COUNTIFS($C$2:$C$1090,C436,$L$2:$L$1090,1,$G$2:$G$1090,"&gt;"&amp;G436),"")</f>
        <v>2</v>
      </c>
      <c r="O436" s="12" t="n">
        <f aca="false">IF(L436=1,1+COUNTIFS($C$2:$C$1090,C436,$L$2:$L$1090,1,$H$2:$H$1090,"&gt;"&amp;H436),"")</f>
        <v>1</v>
      </c>
      <c r="P436" s="12" t="n">
        <f aca="false">IF(L436=1,N436-O436,"")</f>
        <v>1</v>
      </c>
      <c r="Q436" s="12" t="n">
        <f aca="false">INDEX(Directions!$D$2:$D$100,MATCH(C436,Directions!$A$2:$A$100,0))</f>
        <v>0</v>
      </c>
      <c r="R436" s="12" t="n">
        <f aca="false">IF(L436=1,P436*Q436,"")</f>
        <v>0</v>
      </c>
      <c r="S436" s="12" t="str">
        <f aca="false">IF(L436&lt;&gt;1,"Excluded",IF(Q436=0,"No direction",IF(R436&gt;0,"Better",IF(R436&lt;0,"Worse","No change"))))</f>
        <v>No direction</v>
      </c>
      <c r="T436" s="12" t="s">
        <v>318</v>
      </c>
      <c r="U436" s="12" t="str">
        <f aca="false">C436&amp;"|"&amp;E436</f>
        <v>F5_11|NLD</v>
      </c>
    </row>
    <row r="437" customFormat="false" ht="15" hidden="false" customHeight="false" outlineLevel="0" collapsed="false">
      <c r="A437" s="12" t="n">
        <v>5</v>
      </c>
      <c r="B437" s="12" t="s">
        <v>312</v>
      </c>
      <c r="C437" s="12" t="s">
        <v>134</v>
      </c>
      <c r="D437" s="12" t="s">
        <v>135</v>
      </c>
      <c r="E437" s="12" t="s">
        <v>33</v>
      </c>
      <c r="F437" s="12" t="s">
        <v>33</v>
      </c>
      <c r="G437" s="12" t="s">
        <v>302</v>
      </c>
      <c r="H437" s="12" t="n">
        <v>0.84</v>
      </c>
      <c r="I437" s="12" t="s">
        <v>293</v>
      </c>
      <c r="J437" s="12" t="s">
        <v>302</v>
      </c>
      <c r="K437" s="12" t="n">
        <v>11</v>
      </c>
      <c r="L437" s="28" t="n">
        <v>0</v>
      </c>
      <c r="M437" s="12" t="str">
        <f aca="false">IF(L437=1,COUNTIFS($C$2:$C$1090,C437,$L$2:$L$1090,1),"")</f>
        <v/>
      </c>
      <c r="N437" s="12" t="str">
        <f aca="false">IF(L437=1,1+COUNTIFS($C$2:$C$1090,C437,$L$2:$L$1090,1,$G$2:$G$1090,"&gt;"&amp;G437),"")</f>
        <v/>
      </c>
      <c r="O437" s="12" t="str">
        <f aca="false">IF(L437=1,1+COUNTIFS($C$2:$C$1090,C437,$L$2:$L$1090,1,$H$2:$H$1090,"&gt;"&amp;H437),"")</f>
        <v/>
      </c>
      <c r="P437" s="12" t="str">
        <f aca="false">IF(L437=1,N437-O437,"")</f>
        <v/>
      </c>
      <c r="Q437" s="12" t="n">
        <f aca="false">INDEX(Directions!$D$2:$D$100,MATCH(C437,Directions!$A$2:$A$100,0))</f>
        <v>0</v>
      </c>
      <c r="R437" s="12" t="str">
        <f aca="false">IF(L437=1,P437*Q437,"")</f>
        <v/>
      </c>
      <c r="S437" s="12" t="str">
        <f aca="false">IF(L437&lt;&gt;1,"Excluded",IF(Q437=0,"No direction",IF(R437&gt;0,"Better",IF(R437&lt;0,"Worse","No change"))))</f>
        <v>Excluded</v>
      </c>
      <c r="T437" s="12" t="s">
        <v>311</v>
      </c>
      <c r="U437" s="12" t="str">
        <f aca="false">C437&amp;"|"&amp;E437</f>
        <v>F5_11|CHE</v>
      </c>
    </row>
    <row r="438" customFormat="false" ht="15" hidden="false" customHeight="false" outlineLevel="0" collapsed="false">
      <c r="A438" s="12" t="n">
        <v>5</v>
      </c>
      <c r="B438" s="12" t="s">
        <v>312</v>
      </c>
      <c r="C438" s="12" t="s">
        <v>134</v>
      </c>
      <c r="D438" s="12" t="s">
        <v>135</v>
      </c>
      <c r="E438" s="12" t="s">
        <v>287</v>
      </c>
      <c r="F438" s="12" t="s">
        <v>34</v>
      </c>
      <c r="G438" s="12" t="n">
        <v>1.12</v>
      </c>
      <c r="H438" s="12" t="n">
        <v>1.04</v>
      </c>
      <c r="I438" s="12" t="s">
        <v>293</v>
      </c>
      <c r="J438" s="12" t="n">
        <v>8</v>
      </c>
      <c r="K438" s="12" t="n">
        <v>6</v>
      </c>
      <c r="L438" s="28" t="n">
        <v>1</v>
      </c>
      <c r="M438" s="12" t="n">
        <f aca="false">IF(L438=1,COUNTIFS($C$2:$C$1090,C438,$L$2:$L$1090,1),"")</f>
        <v>9</v>
      </c>
      <c r="N438" s="12" t="n">
        <f aca="false">IF(L438=1,1+COUNTIFS($C$2:$C$1090,C438,$L$2:$L$1090,1,$G$2:$G$1090,"&gt;"&amp;G438),"")</f>
        <v>8</v>
      </c>
      <c r="O438" s="12" t="n">
        <f aca="false">IF(L438=1,1+COUNTIFS($C$2:$C$1090,C438,$L$2:$L$1090,1,$H$2:$H$1090,"&gt;"&amp;H438),"")</f>
        <v>6</v>
      </c>
      <c r="P438" s="12" t="n">
        <f aca="false">IF(L438=1,N438-O438,"")</f>
        <v>2</v>
      </c>
      <c r="Q438" s="12" t="n">
        <f aca="false">INDEX(Directions!$D$2:$D$100,MATCH(C438,Directions!$A$2:$A$100,0))</f>
        <v>0</v>
      </c>
      <c r="R438" s="12" t="n">
        <f aca="false">IF(L438=1,P438*Q438,"")</f>
        <v>0</v>
      </c>
      <c r="S438" s="12" t="str">
        <f aca="false">IF(L438&lt;&gt;1,"Excluded",IF(Q438=0,"No direction",IF(R438&gt;0,"Better",IF(R438&lt;0,"Worse","No change"))))</f>
        <v>No direction</v>
      </c>
      <c r="T438" s="12" t="s">
        <v>318</v>
      </c>
      <c r="U438" s="12" t="str">
        <f aca="false">C438&amp;"|"&amp;E438</f>
        <v>F5_11|DNK</v>
      </c>
    </row>
    <row r="439" customFormat="false" ht="15" hidden="false" customHeight="false" outlineLevel="0" collapsed="false">
      <c r="A439" s="12" t="n">
        <v>5</v>
      </c>
      <c r="B439" s="12" t="s">
        <v>312</v>
      </c>
      <c r="C439" s="12" t="s">
        <v>134</v>
      </c>
      <c r="D439" s="12" t="s">
        <v>135</v>
      </c>
      <c r="E439" s="12" t="s">
        <v>288</v>
      </c>
      <c r="F439" s="12" t="s">
        <v>35</v>
      </c>
      <c r="G439" s="12" t="n">
        <v>1.14</v>
      </c>
      <c r="H439" s="12" t="n">
        <v>1.06</v>
      </c>
      <c r="I439" s="12" t="s">
        <v>293</v>
      </c>
      <c r="J439" s="12" t="n">
        <v>6</v>
      </c>
      <c r="K439" s="12" t="n">
        <v>5</v>
      </c>
      <c r="L439" s="28" t="n">
        <v>1</v>
      </c>
      <c r="M439" s="12" t="n">
        <f aca="false">IF(L439=1,COUNTIFS($C$2:$C$1090,C439,$L$2:$L$1090,1),"")</f>
        <v>9</v>
      </c>
      <c r="N439" s="12" t="n">
        <f aca="false">IF(L439=1,1+COUNTIFS($C$2:$C$1090,C439,$L$2:$L$1090,1,$G$2:$G$1090,"&gt;"&amp;G439),"")</f>
        <v>6</v>
      </c>
      <c r="O439" s="12" t="n">
        <f aca="false">IF(L439=1,1+COUNTIFS($C$2:$C$1090,C439,$L$2:$L$1090,1,$H$2:$H$1090,"&gt;"&amp;H439),"")</f>
        <v>5</v>
      </c>
      <c r="P439" s="12" t="n">
        <f aca="false">IF(L439=1,N439-O439,"")</f>
        <v>1</v>
      </c>
      <c r="Q439" s="12" t="n">
        <f aca="false">INDEX(Directions!$D$2:$D$100,MATCH(C439,Directions!$A$2:$A$100,0))</f>
        <v>0</v>
      </c>
      <c r="R439" s="12" t="n">
        <f aca="false">IF(L439=1,P439*Q439,"")</f>
        <v>0</v>
      </c>
      <c r="S439" s="12" t="str">
        <f aca="false">IF(L439&lt;&gt;1,"Excluded",IF(Q439=0,"No direction",IF(R439&gt;0,"Better",IF(R439&lt;0,"Worse","No change"))))</f>
        <v>No direction</v>
      </c>
      <c r="T439" s="12" t="s">
        <v>318</v>
      </c>
      <c r="U439" s="12" t="str">
        <f aca="false">C439&amp;"|"&amp;E439</f>
        <v>F5_11|CAN</v>
      </c>
    </row>
    <row r="440" customFormat="false" ht="15" hidden="false" customHeight="false" outlineLevel="0" collapsed="false">
      <c r="A440" s="12" t="n">
        <v>5</v>
      </c>
      <c r="B440" s="12" t="s">
        <v>312</v>
      </c>
      <c r="C440" s="12" t="s">
        <v>134</v>
      </c>
      <c r="D440" s="12" t="s">
        <v>135</v>
      </c>
      <c r="E440" s="12" t="s">
        <v>289</v>
      </c>
      <c r="F440" s="12" t="s">
        <v>36</v>
      </c>
      <c r="G440" s="12" t="n">
        <v>1.14</v>
      </c>
      <c r="H440" s="12" t="n">
        <v>1.03</v>
      </c>
      <c r="I440" s="12" t="s">
        <v>293</v>
      </c>
      <c r="J440" s="12" t="n">
        <v>7</v>
      </c>
      <c r="K440" s="12" t="n">
        <v>7</v>
      </c>
      <c r="L440" s="28" t="n">
        <v>1</v>
      </c>
      <c r="M440" s="12" t="n">
        <f aca="false">IF(L440=1,COUNTIFS($C$2:$C$1090,C440,$L$2:$L$1090,1),"")</f>
        <v>9</v>
      </c>
      <c r="N440" s="12" t="n">
        <f aca="false">IF(L440=1,1+COUNTIFS($C$2:$C$1090,C440,$L$2:$L$1090,1,$G$2:$G$1090,"&gt;"&amp;G440),"")</f>
        <v>6</v>
      </c>
      <c r="O440" s="12" t="n">
        <f aca="false">IF(L440=1,1+COUNTIFS($C$2:$C$1090,C440,$L$2:$L$1090,1,$H$2:$H$1090,"&gt;"&amp;H440),"")</f>
        <v>7</v>
      </c>
      <c r="P440" s="12" t="n">
        <f aca="false">IF(L440=1,N440-O440,"")</f>
        <v>-1</v>
      </c>
      <c r="Q440" s="12" t="n">
        <f aca="false">INDEX(Directions!$D$2:$D$100,MATCH(C440,Directions!$A$2:$A$100,0))</f>
        <v>0</v>
      </c>
      <c r="R440" s="12" t="n">
        <f aca="false">IF(L440=1,P440*Q440,"")</f>
        <v>-0</v>
      </c>
      <c r="S440" s="12" t="str">
        <f aca="false">IF(L440&lt;&gt;1,"Excluded",IF(Q440=0,"No direction",IF(R440&gt;0,"Better",IF(R440&lt;0,"Worse","No change"))))</f>
        <v>No direction</v>
      </c>
      <c r="T440" s="12" t="s">
        <v>318</v>
      </c>
      <c r="U440" s="12" t="str">
        <f aca="false">C440&amp;"|"&amp;E440</f>
        <v>F5_11|JPN</v>
      </c>
    </row>
    <row r="441" customFormat="false" ht="15" hidden="false" customHeight="false" outlineLevel="0" collapsed="false">
      <c r="A441" s="12" t="n">
        <v>5</v>
      </c>
      <c r="B441" s="12" t="s">
        <v>312</v>
      </c>
      <c r="C441" s="12" t="s">
        <v>134</v>
      </c>
      <c r="D441" s="12" t="s">
        <v>135</v>
      </c>
      <c r="E441" s="12" t="s">
        <v>290</v>
      </c>
      <c r="F441" s="12" t="s">
        <v>37</v>
      </c>
      <c r="G441" s="12" t="n">
        <v>1.24</v>
      </c>
      <c r="H441" s="12" t="n">
        <v>1.22</v>
      </c>
      <c r="I441" s="12" t="s">
        <v>293</v>
      </c>
      <c r="J441" s="12" t="n">
        <v>1</v>
      </c>
      <c r="K441" s="12" t="n">
        <v>2</v>
      </c>
      <c r="L441" s="28" t="n">
        <v>1</v>
      </c>
      <c r="M441" s="12" t="n">
        <f aca="false">IF(L441=1,COUNTIFS($C$2:$C$1090,C441,$L$2:$L$1090,1),"")</f>
        <v>9</v>
      </c>
      <c r="N441" s="12" t="n">
        <f aca="false">IF(L441=1,1+COUNTIFS($C$2:$C$1090,C441,$L$2:$L$1090,1,$G$2:$G$1090,"&gt;"&amp;G441),"")</f>
        <v>1</v>
      </c>
      <c r="O441" s="12" t="n">
        <f aca="false">IF(L441=1,1+COUNTIFS($C$2:$C$1090,C441,$L$2:$L$1090,1,$H$2:$H$1090,"&gt;"&amp;H441),"")</f>
        <v>1</v>
      </c>
      <c r="P441" s="12" t="n">
        <f aca="false">IF(L441=1,N441-O441,"")</f>
        <v>0</v>
      </c>
      <c r="Q441" s="12" t="n">
        <f aca="false">INDEX(Directions!$D$2:$D$100,MATCH(C441,Directions!$A$2:$A$100,0))</f>
        <v>0</v>
      </c>
      <c r="R441" s="12" t="n">
        <f aca="false">IF(L441=1,P441*Q441,"")</f>
        <v>0</v>
      </c>
      <c r="S441" s="12" t="str">
        <f aca="false">IF(L441&lt;&gt;1,"Excluded",IF(Q441=0,"No direction",IF(R441&gt;0,"Better",IF(R441&lt;0,"Worse","No change"))))</f>
        <v>No direction</v>
      </c>
      <c r="T441" s="12" t="s">
        <v>318</v>
      </c>
      <c r="U441" s="12" t="str">
        <f aca="false">C441&amp;"|"&amp;E441</f>
        <v>F5_11|AUS</v>
      </c>
    </row>
    <row r="442" customFormat="false" ht="15" hidden="false" customHeight="false" outlineLevel="0" collapsed="false">
      <c r="A442" s="12" t="n">
        <v>5</v>
      </c>
      <c r="B442" s="12" t="s">
        <v>312</v>
      </c>
      <c r="C442" s="12" t="s">
        <v>136</v>
      </c>
      <c r="D442" s="12" t="s">
        <v>137</v>
      </c>
      <c r="E442" s="12" t="s">
        <v>281</v>
      </c>
      <c r="F442" s="12" t="s">
        <v>27</v>
      </c>
      <c r="G442" s="12" t="n">
        <v>38.1</v>
      </c>
      <c r="H442" s="12" t="n">
        <v>37.97</v>
      </c>
      <c r="I442" s="12" t="s">
        <v>295</v>
      </c>
      <c r="J442" s="12" t="n">
        <v>2</v>
      </c>
      <c r="K442" s="12" t="n">
        <v>2</v>
      </c>
      <c r="L442" s="28" t="n">
        <v>1</v>
      </c>
      <c r="M442" s="12" t="n">
        <f aca="false">IF(L442=1,COUNTIFS($C$2:$C$1090,C442,$L$2:$L$1090,1),"")</f>
        <v>8</v>
      </c>
      <c r="N442" s="12" t="n">
        <f aca="false">IF(L442=1,1+COUNTIFS($C$2:$C$1090,C442,$L$2:$L$1090,1,$G$2:$G$1090,"&gt;"&amp;G442),"")</f>
        <v>2</v>
      </c>
      <c r="O442" s="12" t="n">
        <f aca="false">IF(L442=1,1+COUNTIFS($C$2:$C$1090,C442,$L$2:$L$1090,1,$H$2:$H$1090,"&gt;"&amp;H442),"")</f>
        <v>2</v>
      </c>
      <c r="P442" s="12" t="n">
        <f aca="false">IF(L442=1,N442-O442,"")</f>
        <v>0</v>
      </c>
      <c r="Q442" s="12" t="n">
        <f aca="false">INDEX(Directions!$D$2:$D$100,MATCH(C442,Directions!$A$2:$A$100,0))</f>
        <v>0</v>
      </c>
      <c r="R442" s="12" t="n">
        <f aca="false">IF(L442=1,P442*Q442,"")</f>
        <v>0</v>
      </c>
      <c r="S442" s="12" t="str">
        <f aca="false">IF(L442&lt;&gt;1,"Excluded",IF(Q442=0,"No direction",IF(R442&gt;0,"Better",IF(R442&lt;0,"Worse","No change"))))</f>
        <v>No direction</v>
      </c>
      <c r="T442" s="12"/>
      <c r="U442" s="12" t="str">
        <f aca="false">C442&amp;"|"&amp;E442</f>
        <v>F5_12|USA</v>
      </c>
    </row>
    <row r="443" customFormat="false" ht="15" hidden="false" customHeight="false" outlineLevel="0" collapsed="false">
      <c r="A443" s="12" t="n">
        <v>5</v>
      </c>
      <c r="B443" s="12" t="s">
        <v>312</v>
      </c>
      <c r="C443" s="12" t="s">
        <v>136</v>
      </c>
      <c r="D443" s="12" t="s">
        <v>137</v>
      </c>
      <c r="E443" s="12" t="s">
        <v>283</v>
      </c>
      <c r="F443" s="12" t="s">
        <v>28</v>
      </c>
      <c r="G443" s="12" t="n">
        <v>7.2</v>
      </c>
      <c r="H443" s="12" t="n">
        <v>9.44</v>
      </c>
      <c r="I443" s="12" t="s">
        <v>282</v>
      </c>
      <c r="J443" s="12" t="n">
        <v>8</v>
      </c>
      <c r="K443" s="12" t="n">
        <v>10</v>
      </c>
      <c r="L443" s="28" t="n">
        <v>1</v>
      </c>
      <c r="M443" s="12" t="n">
        <f aca="false">IF(L443=1,COUNTIFS($C$2:$C$1090,C443,$L$2:$L$1090,1),"")</f>
        <v>8</v>
      </c>
      <c r="N443" s="12" t="n">
        <f aca="false">IF(L443=1,1+COUNTIFS($C$2:$C$1090,C443,$L$2:$L$1090,1,$G$2:$G$1090,"&gt;"&amp;G443),"")</f>
        <v>8</v>
      </c>
      <c r="O443" s="12" t="n">
        <f aca="false">IF(L443=1,1+COUNTIFS($C$2:$C$1090,C443,$L$2:$L$1090,1,$H$2:$H$1090,"&gt;"&amp;H443),"")</f>
        <v>8</v>
      </c>
      <c r="P443" s="12" t="n">
        <f aca="false">IF(L443=1,N443-O443,"")</f>
        <v>0</v>
      </c>
      <c r="Q443" s="12" t="n">
        <f aca="false">INDEX(Directions!$D$2:$D$100,MATCH(C443,Directions!$A$2:$A$100,0))</f>
        <v>0</v>
      </c>
      <c r="R443" s="12" t="n">
        <f aca="false">IF(L443=1,P443*Q443,"")</f>
        <v>0</v>
      </c>
      <c r="S443" s="12" t="str">
        <f aca="false">IF(L443&lt;&gt;1,"Excluded",IF(Q443=0,"No direction",IF(R443&gt;0,"Better",IF(R443&lt;0,"Worse","No change"))))</f>
        <v>No direction</v>
      </c>
      <c r="T443" s="12"/>
      <c r="U443" s="12" t="str">
        <f aca="false">C443&amp;"|"&amp;E443</f>
        <v>F5_12|GBR</v>
      </c>
    </row>
    <row r="444" customFormat="false" ht="15" hidden="false" customHeight="false" outlineLevel="0" collapsed="false">
      <c r="A444" s="12" t="n">
        <v>5</v>
      </c>
      <c r="B444" s="12" t="s">
        <v>312</v>
      </c>
      <c r="C444" s="12" t="s">
        <v>136</v>
      </c>
      <c r="D444" s="12" t="s">
        <v>137</v>
      </c>
      <c r="E444" s="12" t="s">
        <v>284</v>
      </c>
      <c r="F444" s="12" t="s">
        <v>29</v>
      </c>
      <c r="G444" s="12" t="n">
        <v>30.5</v>
      </c>
      <c r="H444" s="12" t="n">
        <v>37.93</v>
      </c>
      <c r="I444" s="12" t="s">
        <v>293</v>
      </c>
      <c r="J444" s="12" t="n">
        <v>3</v>
      </c>
      <c r="K444" s="12" t="n">
        <v>3</v>
      </c>
      <c r="L444" s="28" t="n">
        <v>1</v>
      </c>
      <c r="M444" s="12" t="n">
        <f aca="false">IF(L444=1,COUNTIFS($C$2:$C$1090,C444,$L$2:$L$1090,1),"")</f>
        <v>8</v>
      </c>
      <c r="N444" s="12" t="n">
        <f aca="false">IF(L444=1,1+COUNTIFS($C$2:$C$1090,C444,$L$2:$L$1090,1,$G$2:$G$1090,"&gt;"&amp;G444),"")</f>
        <v>3</v>
      </c>
      <c r="O444" s="12" t="n">
        <f aca="false">IF(L444=1,1+COUNTIFS($C$2:$C$1090,C444,$L$2:$L$1090,1,$H$2:$H$1090,"&gt;"&amp;H444),"")</f>
        <v>3</v>
      </c>
      <c r="P444" s="12" t="n">
        <f aca="false">IF(L444=1,N444-O444,"")</f>
        <v>0</v>
      </c>
      <c r="Q444" s="12" t="n">
        <f aca="false">INDEX(Directions!$D$2:$D$100,MATCH(C444,Directions!$A$2:$A$100,0))</f>
        <v>0</v>
      </c>
      <c r="R444" s="12" t="n">
        <f aca="false">IF(L444=1,P444*Q444,"")</f>
        <v>0</v>
      </c>
      <c r="S444" s="12" t="str">
        <f aca="false">IF(L444&lt;&gt;1,"Excluded",IF(Q444=0,"No direction",IF(R444&gt;0,"Better",IF(R444&lt;0,"Worse","No change"))))</f>
        <v>No direction</v>
      </c>
      <c r="T444" s="12"/>
      <c r="U444" s="12" t="str">
        <f aca="false">C444&amp;"|"&amp;E444</f>
        <v>F5_12|DEU</v>
      </c>
    </row>
    <row r="445" customFormat="false" ht="15" hidden="false" customHeight="false" outlineLevel="0" collapsed="false">
      <c r="A445" s="12" t="n">
        <v>5</v>
      </c>
      <c r="B445" s="12" t="s">
        <v>312</v>
      </c>
      <c r="C445" s="12" t="s">
        <v>136</v>
      </c>
      <c r="D445" s="12" t="s">
        <v>137</v>
      </c>
      <c r="E445" s="12" t="s">
        <v>285</v>
      </c>
      <c r="F445" s="12" t="s">
        <v>30</v>
      </c>
      <c r="G445" s="12" t="s">
        <v>302</v>
      </c>
      <c r="H445" s="12" t="n">
        <v>17.85</v>
      </c>
      <c r="I445" s="12" t="s">
        <v>282</v>
      </c>
      <c r="J445" s="12" t="s">
        <v>302</v>
      </c>
      <c r="K445" s="12" t="n">
        <v>6</v>
      </c>
      <c r="L445" s="28" t="n">
        <v>0</v>
      </c>
      <c r="M445" s="12" t="str">
        <f aca="false">IF(L445=1,COUNTIFS($C$2:$C$1090,C445,$L$2:$L$1090,1),"")</f>
        <v/>
      </c>
      <c r="N445" s="12" t="str">
        <f aca="false">IF(L445=1,1+COUNTIFS($C$2:$C$1090,C445,$L$2:$L$1090,1,$G$2:$G$1090,"&gt;"&amp;G445),"")</f>
        <v/>
      </c>
      <c r="O445" s="12" t="str">
        <f aca="false">IF(L445=1,1+COUNTIFS($C$2:$C$1090,C445,$L$2:$L$1090,1,$H$2:$H$1090,"&gt;"&amp;H445),"")</f>
        <v/>
      </c>
      <c r="P445" s="12" t="str">
        <f aca="false">IF(L445=1,N445-O445,"")</f>
        <v/>
      </c>
      <c r="Q445" s="12" t="n">
        <f aca="false">INDEX(Directions!$D$2:$D$100,MATCH(C445,Directions!$A$2:$A$100,0))</f>
        <v>0</v>
      </c>
      <c r="R445" s="12" t="str">
        <f aca="false">IF(L445=1,P445*Q445,"")</f>
        <v/>
      </c>
      <c r="S445" s="12" t="str">
        <f aca="false">IF(L445&lt;&gt;1,"Excluded",IF(Q445=0,"No direction",IF(R445&gt;0,"Better",IF(R445&lt;0,"Worse","No change"))))</f>
        <v>Excluded</v>
      </c>
      <c r="T445" s="12" t="s">
        <v>311</v>
      </c>
      <c r="U445" s="12" t="str">
        <f aca="false">C445&amp;"|"&amp;E445</f>
        <v>F5_12|SWE</v>
      </c>
    </row>
    <row r="446" customFormat="false" ht="15" hidden="false" customHeight="false" outlineLevel="0" collapsed="false">
      <c r="A446" s="12" t="n">
        <v>5</v>
      </c>
      <c r="B446" s="12" t="s">
        <v>312</v>
      </c>
      <c r="C446" s="12" t="s">
        <v>136</v>
      </c>
      <c r="D446" s="12" t="s">
        <v>137</v>
      </c>
      <c r="E446" s="12" t="s">
        <v>286</v>
      </c>
      <c r="F446" s="12" t="s">
        <v>31</v>
      </c>
      <c r="G446" s="12" t="n">
        <v>12.6</v>
      </c>
      <c r="H446" s="12" t="n">
        <v>20.63</v>
      </c>
      <c r="I446" s="12" t="s">
        <v>293</v>
      </c>
      <c r="J446" s="12" t="n">
        <v>6</v>
      </c>
      <c r="K446" s="12" t="n">
        <v>4</v>
      </c>
      <c r="L446" s="28" t="n">
        <v>1</v>
      </c>
      <c r="M446" s="12" t="n">
        <f aca="false">IF(L446=1,COUNTIFS($C$2:$C$1090,C446,$L$2:$L$1090,1),"")</f>
        <v>8</v>
      </c>
      <c r="N446" s="12" t="n">
        <f aca="false">IF(L446=1,1+COUNTIFS($C$2:$C$1090,C446,$L$2:$L$1090,1,$G$2:$G$1090,"&gt;"&amp;G446),"")</f>
        <v>6</v>
      </c>
      <c r="O446" s="12" t="n">
        <f aca="false">IF(L446=1,1+COUNTIFS($C$2:$C$1090,C446,$L$2:$L$1090,1,$H$2:$H$1090,"&gt;"&amp;H446),"")</f>
        <v>4</v>
      </c>
      <c r="P446" s="12" t="n">
        <f aca="false">IF(L446=1,N446-O446,"")</f>
        <v>2</v>
      </c>
      <c r="Q446" s="12" t="n">
        <f aca="false">INDEX(Directions!$D$2:$D$100,MATCH(C446,Directions!$A$2:$A$100,0))</f>
        <v>0</v>
      </c>
      <c r="R446" s="12" t="n">
        <f aca="false">IF(L446=1,P446*Q446,"")</f>
        <v>0</v>
      </c>
      <c r="S446" s="12" t="str">
        <f aca="false">IF(L446&lt;&gt;1,"Excluded",IF(Q446=0,"No direction",IF(R446&gt;0,"Better",IF(R446&lt;0,"Worse","No change"))))</f>
        <v>No direction</v>
      </c>
      <c r="T446" s="12"/>
      <c r="U446" s="12" t="str">
        <f aca="false">C446&amp;"|"&amp;E446</f>
        <v>F5_12|FRA</v>
      </c>
    </row>
    <row r="447" customFormat="false" ht="15" hidden="false" customHeight="false" outlineLevel="0" collapsed="false">
      <c r="A447" s="12" t="n">
        <v>5</v>
      </c>
      <c r="B447" s="12" t="s">
        <v>312</v>
      </c>
      <c r="C447" s="12" t="s">
        <v>136</v>
      </c>
      <c r="D447" s="12" t="s">
        <v>137</v>
      </c>
      <c r="E447" s="12" t="s">
        <v>32</v>
      </c>
      <c r="F447" s="12" t="s">
        <v>32</v>
      </c>
      <c r="G447" s="12" t="n">
        <v>12.9</v>
      </c>
      <c r="H447" s="12" t="n">
        <v>15.39</v>
      </c>
      <c r="I447" s="12" t="s">
        <v>293</v>
      </c>
      <c r="J447" s="12" t="n">
        <v>5</v>
      </c>
      <c r="K447" s="12" t="n">
        <v>8</v>
      </c>
      <c r="L447" s="28" t="n">
        <v>1</v>
      </c>
      <c r="M447" s="12" t="n">
        <f aca="false">IF(L447=1,COUNTIFS($C$2:$C$1090,C447,$L$2:$L$1090,1),"")</f>
        <v>8</v>
      </c>
      <c r="N447" s="12" t="n">
        <f aca="false">IF(L447=1,1+COUNTIFS($C$2:$C$1090,C447,$L$2:$L$1090,1,$G$2:$G$1090,"&gt;"&amp;G447),"")</f>
        <v>5</v>
      </c>
      <c r="O447" s="12" t="n">
        <f aca="false">IF(L447=1,1+COUNTIFS($C$2:$C$1090,C447,$L$2:$L$1090,1,$H$2:$H$1090,"&gt;"&amp;H447),"")</f>
        <v>6</v>
      </c>
      <c r="P447" s="12" t="n">
        <f aca="false">IF(L447=1,N447-O447,"")</f>
        <v>-1</v>
      </c>
      <c r="Q447" s="12" t="n">
        <f aca="false">INDEX(Directions!$D$2:$D$100,MATCH(C447,Directions!$A$2:$A$100,0))</f>
        <v>0</v>
      </c>
      <c r="R447" s="12" t="n">
        <f aca="false">IF(L447=1,P447*Q447,"")</f>
        <v>-0</v>
      </c>
      <c r="S447" s="12" t="str">
        <f aca="false">IF(L447&lt;&gt;1,"Excluded",IF(Q447=0,"No direction",IF(R447&gt;0,"Better",IF(R447&lt;0,"Worse","No change"))))</f>
        <v>No direction</v>
      </c>
      <c r="T447" s="12"/>
      <c r="U447" s="12" t="str">
        <f aca="false">C447&amp;"|"&amp;E447</f>
        <v>F5_12|NLD</v>
      </c>
    </row>
    <row r="448" customFormat="false" ht="15" hidden="false" customHeight="false" outlineLevel="0" collapsed="false">
      <c r="A448" s="12" t="n">
        <v>5</v>
      </c>
      <c r="B448" s="12" t="s">
        <v>312</v>
      </c>
      <c r="C448" s="12" t="s">
        <v>136</v>
      </c>
      <c r="D448" s="12" t="s">
        <v>137</v>
      </c>
      <c r="E448" s="12" t="s">
        <v>33</v>
      </c>
      <c r="F448" s="12" t="s">
        <v>33</v>
      </c>
      <c r="G448" s="12" t="s">
        <v>302</v>
      </c>
      <c r="H448" s="12" t="s">
        <v>302</v>
      </c>
      <c r="I448" s="12"/>
      <c r="J448" s="12" t="s">
        <v>302</v>
      </c>
      <c r="K448" s="12" t="s">
        <v>302</v>
      </c>
      <c r="L448" s="28" t="n">
        <v>0</v>
      </c>
      <c r="M448" s="12" t="str">
        <f aca="false">IF(L448=1,COUNTIFS($C$2:$C$1090,C448,$L$2:$L$1090,1),"")</f>
        <v/>
      </c>
      <c r="N448" s="12" t="str">
        <f aca="false">IF(L448=1,1+COUNTIFS($C$2:$C$1090,C448,$L$2:$L$1090,1,$G$2:$G$1090,"&gt;"&amp;G448),"")</f>
        <v/>
      </c>
      <c r="O448" s="12" t="str">
        <f aca="false">IF(L448=1,1+COUNTIFS($C$2:$C$1090,C448,$L$2:$L$1090,1,$H$2:$H$1090,"&gt;"&amp;H448),"")</f>
        <v/>
      </c>
      <c r="P448" s="12" t="str">
        <f aca="false">IF(L448=1,N448-O448,"")</f>
        <v/>
      </c>
      <c r="Q448" s="12" t="n">
        <f aca="false">INDEX(Directions!$D$2:$D$100,MATCH(C448,Directions!$A$2:$A$100,0))</f>
        <v>0</v>
      </c>
      <c r="R448" s="12" t="str">
        <f aca="false">IF(L448=1,P448*Q448,"")</f>
        <v/>
      </c>
      <c r="S448" s="12" t="str">
        <f aca="false">IF(L448&lt;&gt;1,"Excluded",IF(Q448=0,"No direction",IF(R448&gt;0,"Better",IF(R448&lt;0,"Worse","No change"))))</f>
        <v>Excluded</v>
      </c>
      <c r="T448" s="12" t="s">
        <v>304</v>
      </c>
      <c r="U448" s="12" t="str">
        <f aca="false">C448&amp;"|"&amp;E448</f>
        <v>F5_12|CHE</v>
      </c>
    </row>
    <row r="449" customFormat="false" ht="15" hidden="false" customHeight="false" outlineLevel="0" collapsed="false">
      <c r="A449" s="12" t="n">
        <v>5</v>
      </c>
      <c r="B449" s="12" t="s">
        <v>312</v>
      </c>
      <c r="C449" s="12" t="s">
        <v>136</v>
      </c>
      <c r="D449" s="12" t="s">
        <v>137</v>
      </c>
      <c r="E449" s="12" t="s">
        <v>287</v>
      </c>
      <c r="F449" s="12" t="s">
        <v>34</v>
      </c>
      <c r="G449" s="12" t="s">
        <v>302</v>
      </c>
      <c r="H449" s="12" t="n">
        <v>16.06</v>
      </c>
      <c r="I449" s="12" t="s">
        <v>293</v>
      </c>
      <c r="J449" s="12" t="s">
        <v>302</v>
      </c>
      <c r="K449" s="12" t="n">
        <v>7</v>
      </c>
      <c r="L449" s="28" t="n">
        <v>0</v>
      </c>
      <c r="M449" s="12" t="str">
        <f aca="false">IF(L449=1,COUNTIFS($C$2:$C$1090,C449,$L$2:$L$1090,1),"")</f>
        <v/>
      </c>
      <c r="N449" s="12" t="str">
        <f aca="false">IF(L449=1,1+COUNTIFS($C$2:$C$1090,C449,$L$2:$L$1090,1,$G$2:$G$1090,"&gt;"&amp;G449),"")</f>
        <v/>
      </c>
      <c r="O449" s="12" t="str">
        <f aca="false">IF(L449=1,1+COUNTIFS($C$2:$C$1090,C449,$L$2:$L$1090,1,$H$2:$H$1090,"&gt;"&amp;H449),"")</f>
        <v/>
      </c>
      <c r="P449" s="12" t="str">
        <f aca="false">IF(L449=1,N449-O449,"")</f>
        <v/>
      </c>
      <c r="Q449" s="12" t="n">
        <f aca="false">INDEX(Directions!$D$2:$D$100,MATCH(C449,Directions!$A$2:$A$100,0))</f>
        <v>0</v>
      </c>
      <c r="R449" s="12" t="str">
        <f aca="false">IF(L449=1,P449*Q449,"")</f>
        <v/>
      </c>
      <c r="S449" s="12" t="str">
        <f aca="false">IF(L449&lt;&gt;1,"Excluded",IF(Q449=0,"No direction",IF(R449&gt;0,"Better",IF(R449&lt;0,"Worse","No change"))))</f>
        <v>Excluded</v>
      </c>
      <c r="T449" s="12" t="s">
        <v>311</v>
      </c>
      <c r="U449" s="12" t="str">
        <f aca="false">C449&amp;"|"&amp;E449</f>
        <v>F5_12|DNK</v>
      </c>
    </row>
    <row r="450" customFormat="false" ht="15" hidden="false" customHeight="false" outlineLevel="0" collapsed="false">
      <c r="A450" s="12" t="n">
        <v>5</v>
      </c>
      <c r="B450" s="12" t="s">
        <v>312</v>
      </c>
      <c r="C450" s="12" t="s">
        <v>136</v>
      </c>
      <c r="D450" s="12" t="s">
        <v>137</v>
      </c>
      <c r="E450" s="12" t="s">
        <v>288</v>
      </c>
      <c r="F450" s="12" t="s">
        <v>35</v>
      </c>
      <c r="G450" s="12" t="n">
        <v>8.9</v>
      </c>
      <c r="H450" s="12" t="n">
        <v>10.35</v>
      </c>
      <c r="I450" s="12" t="s">
        <v>294</v>
      </c>
      <c r="J450" s="12" t="n">
        <v>7</v>
      </c>
      <c r="K450" s="12" t="n">
        <v>9</v>
      </c>
      <c r="L450" s="28" t="n">
        <v>1</v>
      </c>
      <c r="M450" s="12" t="n">
        <f aca="false">IF(L450=1,COUNTIFS($C$2:$C$1090,C450,$L$2:$L$1090,1),"")</f>
        <v>8</v>
      </c>
      <c r="N450" s="12" t="n">
        <f aca="false">IF(L450=1,1+COUNTIFS($C$2:$C$1090,C450,$L$2:$L$1090,1,$G$2:$G$1090,"&gt;"&amp;G450),"")</f>
        <v>7</v>
      </c>
      <c r="O450" s="12" t="n">
        <f aca="false">IF(L450=1,1+COUNTIFS($C$2:$C$1090,C450,$L$2:$L$1090,1,$H$2:$H$1090,"&gt;"&amp;H450),"")</f>
        <v>7</v>
      </c>
      <c r="P450" s="12" t="n">
        <f aca="false">IF(L450=1,N450-O450,"")</f>
        <v>0</v>
      </c>
      <c r="Q450" s="12" t="n">
        <f aca="false">INDEX(Directions!$D$2:$D$100,MATCH(C450,Directions!$A$2:$A$100,0))</f>
        <v>0</v>
      </c>
      <c r="R450" s="12" t="n">
        <f aca="false">IF(L450=1,P450*Q450,"")</f>
        <v>0</v>
      </c>
      <c r="S450" s="12" t="str">
        <f aca="false">IF(L450&lt;&gt;1,"Excluded",IF(Q450=0,"No direction",IF(R450&gt;0,"Better",IF(R450&lt;0,"Worse","No change"))))</f>
        <v>No direction</v>
      </c>
      <c r="T450" s="12"/>
      <c r="U450" s="12" t="str">
        <f aca="false">C450&amp;"|"&amp;E450</f>
        <v>F5_12|CAN</v>
      </c>
    </row>
    <row r="451" customFormat="false" ht="15" hidden="false" customHeight="false" outlineLevel="0" collapsed="false">
      <c r="A451" s="12" t="n">
        <v>5</v>
      </c>
      <c r="B451" s="12" t="s">
        <v>312</v>
      </c>
      <c r="C451" s="12" t="s">
        <v>136</v>
      </c>
      <c r="D451" s="12" t="s">
        <v>137</v>
      </c>
      <c r="E451" s="12" t="s">
        <v>289</v>
      </c>
      <c r="F451" s="12" t="s">
        <v>36</v>
      </c>
      <c r="G451" s="12" t="n">
        <v>51.7</v>
      </c>
      <c r="H451" s="12" t="n">
        <v>59.81</v>
      </c>
      <c r="I451" s="12" t="s">
        <v>291</v>
      </c>
      <c r="J451" s="12" t="n">
        <v>1</v>
      </c>
      <c r="K451" s="12" t="n">
        <v>1</v>
      </c>
      <c r="L451" s="28" t="n">
        <v>1</v>
      </c>
      <c r="M451" s="12" t="n">
        <f aca="false">IF(L451=1,COUNTIFS($C$2:$C$1090,C451,$L$2:$L$1090,1),"")</f>
        <v>8</v>
      </c>
      <c r="N451" s="12" t="n">
        <f aca="false">IF(L451=1,1+COUNTIFS($C$2:$C$1090,C451,$L$2:$L$1090,1,$G$2:$G$1090,"&gt;"&amp;G451),"")</f>
        <v>1</v>
      </c>
      <c r="O451" s="12" t="n">
        <f aca="false">IF(L451=1,1+COUNTIFS($C$2:$C$1090,C451,$L$2:$L$1090,1,$H$2:$H$1090,"&gt;"&amp;H451),"")</f>
        <v>1</v>
      </c>
      <c r="P451" s="12" t="n">
        <f aca="false">IF(L451=1,N451-O451,"")</f>
        <v>0</v>
      </c>
      <c r="Q451" s="12" t="n">
        <f aca="false">INDEX(Directions!$D$2:$D$100,MATCH(C451,Directions!$A$2:$A$100,0))</f>
        <v>0</v>
      </c>
      <c r="R451" s="12" t="n">
        <f aca="false">IF(L451=1,P451*Q451,"")</f>
        <v>0</v>
      </c>
      <c r="S451" s="12" t="str">
        <f aca="false">IF(L451&lt;&gt;1,"Excluded",IF(Q451=0,"No direction",IF(R451&gt;0,"Better",IF(R451&lt;0,"Worse","No change"))))</f>
        <v>No direction</v>
      </c>
      <c r="T451" s="12"/>
      <c r="U451" s="12" t="str">
        <f aca="false">C451&amp;"|"&amp;E451</f>
        <v>F5_12|JPN</v>
      </c>
    </row>
    <row r="452" customFormat="false" ht="15" hidden="false" customHeight="false" outlineLevel="0" collapsed="false">
      <c r="A452" s="12" t="n">
        <v>5</v>
      </c>
      <c r="B452" s="12" t="s">
        <v>312</v>
      </c>
      <c r="C452" s="12" t="s">
        <v>136</v>
      </c>
      <c r="D452" s="12" t="s">
        <v>137</v>
      </c>
      <c r="E452" s="12" t="s">
        <v>290</v>
      </c>
      <c r="F452" s="12" t="s">
        <v>37</v>
      </c>
      <c r="G452" s="12" t="n">
        <v>14.7</v>
      </c>
      <c r="H452" s="12" t="n">
        <v>19.95</v>
      </c>
      <c r="I452" s="12" t="s">
        <v>282</v>
      </c>
      <c r="J452" s="12" t="n">
        <v>4</v>
      </c>
      <c r="K452" s="12" t="n">
        <v>5</v>
      </c>
      <c r="L452" s="28" t="n">
        <v>1</v>
      </c>
      <c r="M452" s="12" t="n">
        <f aca="false">IF(L452=1,COUNTIFS($C$2:$C$1090,C452,$L$2:$L$1090,1),"")</f>
        <v>8</v>
      </c>
      <c r="N452" s="12" t="n">
        <f aca="false">IF(L452=1,1+COUNTIFS($C$2:$C$1090,C452,$L$2:$L$1090,1,$G$2:$G$1090,"&gt;"&amp;G452),"")</f>
        <v>4</v>
      </c>
      <c r="O452" s="12" t="n">
        <f aca="false">IF(L452=1,1+COUNTIFS($C$2:$C$1090,C452,$L$2:$L$1090,1,$H$2:$H$1090,"&gt;"&amp;H452),"")</f>
        <v>5</v>
      </c>
      <c r="P452" s="12" t="n">
        <f aca="false">IF(L452=1,N452-O452,"")</f>
        <v>-1</v>
      </c>
      <c r="Q452" s="12" t="n">
        <f aca="false">INDEX(Directions!$D$2:$D$100,MATCH(C452,Directions!$A$2:$A$100,0))</f>
        <v>0</v>
      </c>
      <c r="R452" s="12" t="n">
        <f aca="false">IF(L452=1,P452*Q452,"")</f>
        <v>-0</v>
      </c>
      <c r="S452" s="12" t="str">
        <f aca="false">IF(L452&lt;&gt;1,"Excluded",IF(Q452=0,"No direction",IF(R452&gt;0,"Better",IF(R452&lt;0,"Worse","No change"))))</f>
        <v>No direction</v>
      </c>
      <c r="T452" s="12"/>
      <c r="U452" s="12" t="str">
        <f aca="false">C452&amp;"|"&amp;E452</f>
        <v>F5_12|AUS</v>
      </c>
    </row>
    <row r="453" customFormat="false" ht="15" hidden="false" customHeight="false" outlineLevel="0" collapsed="false">
      <c r="A453" s="12" t="n">
        <v>5</v>
      </c>
      <c r="B453" s="12" t="s">
        <v>312</v>
      </c>
      <c r="C453" s="12" t="s">
        <v>138</v>
      </c>
      <c r="D453" s="12" t="s">
        <v>139</v>
      </c>
      <c r="E453" s="12" t="s">
        <v>281</v>
      </c>
      <c r="F453" s="12" t="s">
        <v>27</v>
      </c>
      <c r="G453" s="12" t="n">
        <v>41</v>
      </c>
      <c r="H453" s="12" t="n">
        <v>42.61</v>
      </c>
      <c r="I453" s="12" t="s">
        <v>295</v>
      </c>
      <c r="J453" s="12" t="n">
        <v>3</v>
      </c>
      <c r="K453" s="12" t="n">
        <v>3</v>
      </c>
      <c r="L453" s="28" t="n">
        <v>1</v>
      </c>
      <c r="M453" s="12" t="n">
        <f aca="false">IF(L453=1,COUNTIFS($C$2:$C$1090,C453,$L$2:$L$1090,1),"")</f>
        <v>10</v>
      </c>
      <c r="N453" s="12" t="n">
        <f aca="false">IF(L453=1,1+COUNTIFS($C$2:$C$1090,C453,$L$2:$L$1090,1,$G$2:$G$1090,"&gt;"&amp;G453),"")</f>
        <v>3</v>
      </c>
      <c r="O453" s="12" t="n">
        <f aca="false">IF(L453=1,1+COUNTIFS($C$2:$C$1090,C453,$L$2:$L$1090,1,$H$2:$H$1090,"&gt;"&amp;H453),"")</f>
        <v>3</v>
      </c>
      <c r="P453" s="12" t="n">
        <f aca="false">IF(L453=1,N453-O453,"")</f>
        <v>0</v>
      </c>
      <c r="Q453" s="12" t="n">
        <f aca="false">INDEX(Directions!$D$2:$D$100,MATCH(C453,Directions!$A$2:$A$100,0))</f>
        <v>0</v>
      </c>
      <c r="R453" s="12" t="n">
        <f aca="false">IF(L453=1,P453*Q453,"")</f>
        <v>0</v>
      </c>
      <c r="S453" s="12" t="str">
        <f aca="false">IF(L453&lt;&gt;1,"Excluded",IF(Q453=0,"No direction",IF(R453&gt;0,"Better",IF(R453&lt;0,"Worse","No change"))))</f>
        <v>No direction</v>
      </c>
      <c r="T453" s="12"/>
      <c r="U453" s="12" t="str">
        <f aca="false">C453&amp;"|"&amp;E453</f>
        <v>F5_13|USA</v>
      </c>
    </row>
    <row r="454" customFormat="false" ht="15" hidden="false" customHeight="false" outlineLevel="0" collapsed="false">
      <c r="A454" s="12" t="n">
        <v>5</v>
      </c>
      <c r="B454" s="12" t="s">
        <v>312</v>
      </c>
      <c r="C454" s="12" t="s">
        <v>138</v>
      </c>
      <c r="D454" s="12" t="s">
        <v>139</v>
      </c>
      <c r="E454" s="12" t="s">
        <v>283</v>
      </c>
      <c r="F454" s="12" t="s">
        <v>28</v>
      </c>
      <c r="G454" s="12" t="n">
        <v>9.5</v>
      </c>
      <c r="H454" s="12" t="n">
        <v>10.89</v>
      </c>
      <c r="I454" s="12" t="s">
        <v>282</v>
      </c>
      <c r="J454" s="12" t="n">
        <v>10</v>
      </c>
      <c r="K454" s="12" t="n">
        <v>11</v>
      </c>
      <c r="L454" s="28" t="n">
        <v>1</v>
      </c>
      <c r="M454" s="12" t="n">
        <f aca="false">IF(L454=1,COUNTIFS($C$2:$C$1090,C454,$L$2:$L$1090,1),"")</f>
        <v>10</v>
      </c>
      <c r="N454" s="12" t="n">
        <f aca="false">IF(L454=1,1+COUNTIFS($C$2:$C$1090,C454,$L$2:$L$1090,1,$G$2:$G$1090,"&gt;"&amp;G454),"")</f>
        <v>10</v>
      </c>
      <c r="O454" s="12" t="n">
        <f aca="false">IF(L454=1,1+COUNTIFS($C$2:$C$1090,C454,$L$2:$L$1090,1,$H$2:$H$1090,"&gt;"&amp;H454),"")</f>
        <v>10</v>
      </c>
      <c r="P454" s="12" t="n">
        <f aca="false">IF(L454=1,N454-O454,"")</f>
        <v>0</v>
      </c>
      <c r="Q454" s="12" t="n">
        <f aca="false">INDEX(Directions!$D$2:$D$100,MATCH(C454,Directions!$A$2:$A$100,0))</f>
        <v>0</v>
      </c>
      <c r="R454" s="12" t="n">
        <f aca="false">IF(L454=1,P454*Q454,"")</f>
        <v>0</v>
      </c>
      <c r="S454" s="12" t="str">
        <f aca="false">IF(L454&lt;&gt;1,"Excluded",IF(Q454=0,"No direction",IF(R454&gt;0,"Better",IF(R454&lt;0,"Worse","No change"))))</f>
        <v>No direction</v>
      </c>
      <c r="T454" s="12"/>
      <c r="U454" s="12" t="str">
        <f aca="false">C454&amp;"|"&amp;E454</f>
        <v>F5_13|GBR</v>
      </c>
    </row>
    <row r="455" customFormat="false" ht="15" hidden="false" customHeight="false" outlineLevel="0" collapsed="false">
      <c r="A455" s="12" t="n">
        <v>5</v>
      </c>
      <c r="B455" s="12" t="s">
        <v>312</v>
      </c>
      <c r="C455" s="12" t="s">
        <v>138</v>
      </c>
      <c r="D455" s="12" t="s">
        <v>139</v>
      </c>
      <c r="E455" s="12" t="s">
        <v>284</v>
      </c>
      <c r="F455" s="12" t="s">
        <v>29</v>
      </c>
      <c r="G455" s="12" t="n">
        <v>35.3</v>
      </c>
      <c r="H455" s="12" t="n">
        <v>37.96</v>
      </c>
      <c r="I455" s="12" t="s">
        <v>293</v>
      </c>
      <c r="J455" s="12" t="n">
        <v>6</v>
      </c>
      <c r="K455" s="12" t="n">
        <v>5</v>
      </c>
      <c r="L455" s="28" t="n">
        <v>1</v>
      </c>
      <c r="M455" s="12" t="n">
        <f aca="false">IF(L455=1,COUNTIFS($C$2:$C$1090,C455,$L$2:$L$1090,1),"")</f>
        <v>10</v>
      </c>
      <c r="N455" s="12" t="n">
        <f aca="false">IF(L455=1,1+COUNTIFS($C$2:$C$1090,C455,$L$2:$L$1090,1,$G$2:$G$1090,"&gt;"&amp;G455),"")</f>
        <v>6</v>
      </c>
      <c r="O455" s="12" t="n">
        <f aca="false">IF(L455=1,1+COUNTIFS($C$2:$C$1090,C455,$L$2:$L$1090,1,$H$2:$H$1090,"&gt;"&amp;H455),"")</f>
        <v>5</v>
      </c>
      <c r="P455" s="12" t="n">
        <f aca="false">IF(L455=1,N455-O455,"")</f>
        <v>1</v>
      </c>
      <c r="Q455" s="12" t="n">
        <f aca="false">INDEX(Directions!$D$2:$D$100,MATCH(C455,Directions!$A$2:$A$100,0))</f>
        <v>0</v>
      </c>
      <c r="R455" s="12" t="n">
        <f aca="false">IF(L455=1,P455*Q455,"")</f>
        <v>0</v>
      </c>
      <c r="S455" s="12" t="str">
        <f aca="false">IF(L455&lt;&gt;1,"Excluded",IF(Q455=0,"No direction",IF(R455&gt;0,"Better",IF(R455&lt;0,"Worse","No change"))))</f>
        <v>No direction</v>
      </c>
      <c r="T455" s="12"/>
      <c r="U455" s="12" t="str">
        <f aca="false">C455&amp;"|"&amp;E455</f>
        <v>F5_13|DEU</v>
      </c>
    </row>
    <row r="456" customFormat="false" ht="15" hidden="false" customHeight="false" outlineLevel="0" collapsed="false">
      <c r="A456" s="12" t="n">
        <v>5</v>
      </c>
      <c r="B456" s="12" t="s">
        <v>312</v>
      </c>
      <c r="C456" s="12" t="s">
        <v>138</v>
      </c>
      <c r="D456" s="12" t="s">
        <v>139</v>
      </c>
      <c r="E456" s="12" t="s">
        <v>285</v>
      </c>
      <c r="F456" s="12" t="s">
        <v>30</v>
      </c>
      <c r="G456" s="12" t="s">
        <v>302</v>
      </c>
      <c r="H456" s="12" t="n">
        <v>23.61</v>
      </c>
      <c r="I456" s="12" t="s">
        <v>282</v>
      </c>
      <c r="J456" s="12" t="s">
        <v>302</v>
      </c>
      <c r="K456" s="12" t="n">
        <v>7</v>
      </c>
      <c r="L456" s="28" t="n">
        <v>0</v>
      </c>
      <c r="M456" s="12" t="str">
        <f aca="false">IF(L456=1,COUNTIFS($C$2:$C$1090,C456,$L$2:$L$1090,1),"")</f>
        <v/>
      </c>
      <c r="N456" s="12" t="str">
        <f aca="false">IF(L456=1,1+COUNTIFS($C$2:$C$1090,C456,$L$2:$L$1090,1,$G$2:$G$1090,"&gt;"&amp;G456),"")</f>
        <v/>
      </c>
      <c r="O456" s="12" t="str">
        <f aca="false">IF(L456=1,1+COUNTIFS($C$2:$C$1090,C456,$L$2:$L$1090,1,$H$2:$H$1090,"&gt;"&amp;H456),"")</f>
        <v/>
      </c>
      <c r="P456" s="12" t="str">
        <f aca="false">IF(L456=1,N456-O456,"")</f>
        <v/>
      </c>
      <c r="Q456" s="12" t="n">
        <f aca="false">INDEX(Directions!$D$2:$D$100,MATCH(C456,Directions!$A$2:$A$100,0))</f>
        <v>0</v>
      </c>
      <c r="R456" s="12" t="str">
        <f aca="false">IF(L456=1,P456*Q456,"")</f>
        <v/>
      </c>
      <c r="S456" s="12" t="str">
        <f aca="false">IF(L456&lt;&gt;1,"Excluded",IF(Q456=0,"No direction",IF(R456&gt;0,"Better",IF(R456&lt;0,"Worse","No change"))))</f>
        <v>Excluded</v>
      </c>
      <c r="T456" s="12" t="s">
        <v>311</v>
      </c>
      <c r="U456" s="12" t="str">
        <f aca="false">C456&amp;"|"&amp;E456</f>
        <v>F5_13|SWE</v>
      </c>
    </row>
    <row r="457" customFormat="false" ht="15" hidden="false" customHeight="false" outlineLevel="0" collapsed="false">
      <c r="A457" s="12" t="n">
        <v>5</v>
      </c>
      <c r="B457" s="12" t="s">
        <v>312</v>
      </c>
      <c r="C457" s="12" t="s">
        <v>138</v>
      </c>
      <c r="D457" s="12" t="s">
        <v>139</v>
      </c>
      <c r="E457" s="12" t="s">
        <v>286</v>
      </c>
      <c r="F457" s="12" t="s">
        <v>31</v>
      </c>
      <c r="G457" s="12" t="n">
        <v>16.6</v>
      </c>
      <c r="H457" s="12" t="n">
        <v>21.85</v>
      </c>
      <c r="I457" s="12" t="s">
        <v>293</v>
      </c>
      <c r="J457" s="12" t="n">
        <v>7</v>
      </c>
      <c r="K457" s="12" t="n">
        <v>8</v>
      </c>
      <c r="L457" s="28" t="n">
        <v>1</v>
      </c>
      <c r="M457" s="12" t="n">
        <f aca="false">IF(L457=1,COUNTIFS($C$2:$C$1090,C457,$L$2:$L$1090,1),"")</f>
        <v>10</v>
      </c>
      <c r="N457" s="12" t="n">
        <f aca="false">IF(L457=1,1+COUNTIFS($C$2:$C$1090,C457,$L$2:$L$1090,1,$G$2:$G$1090,"&gt;"&amp;G457),"")</f>
        <v>7</v>
      </c>
      <c r="O457" s="12" t="n">
        <f aca="false">IF(L457=1,1+COUNTIFS($C$2:$C$1090,C457,$L$2:$L$1090,1,$H$2:$H$1090,"&gt;"&amp;H457),"")</f>
        <v>7</v>
      </c>
      <c r="P457" s="12" t="n">
        <f aca="false">IF(L457=1,N457-O457,"")</f>
        <v>0</v>
      </c>
      <c r="Q457" s="12" t="n">
        <f aca="false">INDEX(Directions!$D$2:$D$100,MATCH(C457,Directions!$A$2:$A$100,0))</f>
        <v>0</v>
      </c>
      <c r="R457" s="12" t="n">
        <f aca="false">IF(L457=1,P457*Q457,"")</f>
        <v>0</v>
      </c>
      <c r="S457" s="12" t="str">
        <f aca="false">IF(L457&lt;&gt;1,"Excluded",IF(Q457=0,"No direction",IF(R457&gt;0,"Better",IF(R457&lt;0,"Worse","No change"))))</f>
        <v>No direction</v>
      </c>
      <c r="T457" s="12"/>
      <c r="U457" s="12" t="str">
        <f aca="false">C457&amp;"|"&amp;E457</f>
        <v>F5_13|FRA</v>
      </c>
    </row>
    <row r="458" customFormat="false" ht="15" hidden="false" customHeight="false" outlineLevel="0" collapsed="false">
      <c r="A458" s="12" t="n">
        <v>5</v>
      </c>
      <c r="B458" s="12" t="s">
        <v>312</v>
      </c>
      <c r="C458" s="12" t="s">
        <v>138</v>
      </c>
      <c r="D458" s="12" t="s">
        <v>139</v>
      </c>
      <c r="E458" s="12" t="s">
        <v>32</v>
      </c>
      <c r="F458" s="12" t="s">
        <v>32</v>
      </c>
      <c r="G458" s="12" t="n">
        <v>13.3</v>
      </c>
      <c r="H458" s="12" t="n">
        <v>17.45</v>
      </c>
      <c r="I458" s="12" t="s">
        <v>293</v>
      </c>
      <c r="J458" s="12" t="n">
        <v>8</v>
      </c>
      <c r="K458" s="12" t="n">
        <v>9</v>
      </c>
      <c r="L458" s="28" t="n">
        <v>1</v>
      </c>
      <c r="M458" s="12" t="n">
        <f aca="false">IF(L458=1,COUNTIFS($C$2:$C$1090,C458,$L$2:$L$1090,1),"")</f>
        <v>10</v>
      </c>
      <c r="N458" s="12" t="n">
        <f aca="false">IF(L458=1,1+COUNTIFS($C$2:$C$1090,C458,$L$2:$L$1090,1,$G$2:$G$1090,"&gt;"&amp;G458),"")</f>
        <v>8</v>
      </c>
      <c r="O458" s="12" t="n">
        <f aca="false">IF(L458=1,1+COUNTIFS($C$2:$C$1090,C458,$L$2:$L$1090,1,$H$2:$H$1090,"&gt;"&amp;H458),"")</f>
        <v>8</v>
      </c>
      <c r="P458" s="12" t="n">
        <f aca="false">IF(L458=1,N458-O458,"")</f>
        <v>0</v>
      </c>
      <c r="Q458" s="12" t="n">
        <f aca="false">INDEX(Directions!$D$2:$D$100,MATCH(C458,Directions!$A$2:$A$100,0))</f>
        <v>0</v>
      </c>
      <c r="R458" s="12" t="n">
        <f aca="false">IF(L458=1,P458*Q458,"")</f>
        <v>0</v>
      </c>
      <c r="S458" s="12" t="str">
        <f aca="false">IF(L458&lt;&gt;1,"Excluded",IF(Q458=0,"No direction",IF(R458&gt;0,"Better",IF(R458&lt;0,"Worse","No change"))))</f>
        <v>No direction</v>
      </c>
      <c r="T458" s="12"/>
      <c r="U458" s="12" t="str">
        <f aca="false">C458&amp;"|"&amp;E458</f>
        <v>F5_13|NLD</v>
      </c>
    </row>
    <row r="459" customFormat="false" ht="15" hidden="false" customHeight="false" outlineLevel="0" collapsed="false">
      <c r="A459" s="12" t="n">
        <v>5</v>
      </c>
      <c r="B459" s="12" t="s">
        <v>312</v>
      </c>
      <c r="C459" s="12" t="s">
        <v>138</v>
      </c>
      <c r="D459" s="12" t="s">
        <v>139</v>
      </c>
      <c r="E459" s="12" t="s">
        <v>33</v>
      </c>
      <c r="F459" s="12" t="s">
        <v>33</v>
      </c>
      <c r="G459" s="12" t="n">
        <v>36.1</v>
      </c>
      <c r="H459" s="12" t="n">
        <v>40.64</v>
      </c>
      <c r="I459" s="12" t="s">
        <v>293</v>
      </c>
      <c r="J459" s="12" t="n">
        <v>5</v>
      </c>
      <c r="K459" s="12" t="n">
        <v>4</v>
      </c>
      <c r="L459" s="28" t="n">
        <v>1</v>
      </c>
      <c r="M459" s="12" t="n">
        <f aca="false">IF(L459=1,COUNTIFS($C$2:$C$1090,C459,$L$2:$L$1090,1),"")</f>
        <v>10</v>
      </c>
      <c r="N459" s="12" t="n">
        <f aca="false">IF(L459=1,1+COUNTIFS($C$2:$C$1090,C459,$L$2:$L$1090,1,$G$2:$G$1090,"&gt;"&amp;G459),"")</f>
        <v>5</v>
      </c>
      <c r="O459" s="12" t="n">
        <f aca="false">IF(L459=1,1+COUNTIFS($C$2:$C$1090,C459,$L$2:$L$1090,1,$H$2:$H$1090,"&gt;"&amp;H459),"")</f>
        <v>4</v>
      </c>
      <c r="P459" s="12" t="n">
        <f aca="false">IF(L459=1,N459-O459,"")</f>
        <v>1</v>
      </c>
      <c r="Q459" s="12" t="n">
        <f aca="false">INDEX(Directions!$D$2:$D$100,MATCH(C459,Directions!$A$2:$A$100,0))</f>
        <v>0</v>
      </c>
      <c r="R459" s="12" t="n">
        <f aca="false">IF(L459=1,P459*Q459,"")</f>
        <v>0</v>
      </c>
      <c r="S459" s="12" t="str">
        <f aca="false">IF(L459&lt;&gt;1,"Excluded",IF(Q459=0,"No direction",IF(R459&gt;0,"Better",IF(R459&lt;0,"Worse","No change"))))</f>
        <v>No direction</v>
      </c>
      <c r="T459" s="12"/>
      <c r="U459" s="12" t="str">
        <f aca="false">C459&amp;"|"&amp;E459</f>
        <v>F5_13|CHE</v>
      </c>
    </row>
    <row r="460" customFormat="false" ht="15" hidden="false" customHeight="false" outlineLevel="0" collapsed="false">
      <c r="A460" s="12" t="n">
        <v>5</v>
      </c>
      <c r="B460" s="12" t="s">
        <v>312</v>
      </c>
      <c r="C460" s="12" t="s">
        <v>138</v>
      </c>
      <c r="D460" s="12" t="s">
        <v>139</v>
      </c>
      <c r="E460" s="12" t="s">
        <v>287</v>
      </c>
      <c r="F460" s="12" t="s">
        <v>34</v>
      </c>
      <c r="G460" s="12" t="n">
        <v>37.1</v>
      </c>
      <c r="H460" s="12" t="n">
        <v>29.11</v>
      </c>
      <c r="I460" s="12" t="s">
        <v>293</v>
      </c>
      <c r="J460" s="12" t="n">
        <v>4</v>
      </c>
      <c r="K460" s="12" t="n">
        <v>6</v>
      </c>
      <c r="L460" s="28" t="n">
        <v>1</v>
      </c>
      <c r="M460" s="12" t="n">
        <f aca="false">IF(L460=1,COUNTIFS($C$2:$C$1090,C460,$L$2:$L$1090,1),"")</f>
        <v>10</v>
      </c>
      <c r="N460" s="12" t="n">
        <f aca="false">IF(L460=1,1+COUNTIFS($C$2:$C$1090,C460,$L$2:$L$1090,1,$G$2:$G$1090,"&gt;"&amp;G460),"")</f>
        <v>4</v>
      </c>
      <c r="O460" s="12" t="n">
        <f aca="false">IF(L460=1,1+COUNTIFS($C$2:$C$1090,C460,$L$2:$L$1090,1,$H$2:$H$1090,"&gt;"&amp;H460),"")</f>
        <v>6</v>
      </c>
      <c r="P460" s="12" t="n">
        <f aca="false">IF(L460=1,N460-O460,"")</f>
        <v>-2</v>
      </c>
      <c r="Q460" s="12" t="n">
        <f aca="false">INDEX(Directions!$D$2:$D$100,MATCH(C460,Directions!$A$2:$A$100,0))</f>
        <v>0</v>
      </c>
      <c r="R460" s="12" t="n">
        <f aca="false">IF(L460=1,P460*Q460,"")</f>
        <v>-0</v>
      </c>
      <c r="S460" s="12" t="str">
        <f aca="false">IF(L460&lt;&gt;1,"Excluded",IF(Q460=0,"No direction",IF(R460&gt;0,"Better",IF(R460&lt;0,"Worse","No change"))))</f>
        <v>No direction</v>
      </c>
      <c r="T460" s="12"/>
      <c r="U460" s="12" t="str">
        <f aca="false">C460&amp;"|"&amp;E460</f>
        <v>F5_13|DNK</v>
      </c>
    </row>
    <row r="461" customFormat="false" ht="15" hidden="false" customHeight="false" outlineLevel="0" collapsed="false">
      <c r="A461" s="12" t="n">
        <v>5</v>
      </c>
      <c r="B461" s="12" t="s">
        <v>312</v>
      </c>
      <c r="C461" s="12" t="s">
        <v>138</v>
      </c>
      <c r="D461" s="12" t="s">
        <v>139</v>
      </c>
      <c r="E461" s="12" t="s">
        <v>288</v>
      </c>
      <c r="F461" s="12" t="s">
        <v>35</v>
      </c>
      <c r="G461" s="12" t="n">
        <v>12.7</v>
      </c>
      <c r="H461" s="12" t="n">
        <v>14.22</v>
      </c>
      <c r="I461" s="12" t="s">
        <v>294</v>
      </c>
      <c r="J461" s="12" t="n">
        <v>9</v>
      </c>
      <c r="K461" s="12" t="n">
        <v>10</v>
      </c>
      <c r="L461" s="28" t="n">
        <v>1</v>
      </c>
      <c r="M461" s="12" t="n">
        <f aca="false">IF(L461=1,COUNTIFS($C$2:$C$1090,C461,$L$2:$L$1090,1),"")</f>
        <v>10</v>
      </c>
      <c r="N461" s="12" t="n">
        <f aca="false">IF(L461=1,1+COUNTIFS($C$2:$C$1090,C461,$L$2:$L$1090,1,$G$2:$G$1090,"&gt;"&amp;G461),"")</f>
        <v>9</v>
      </c>
      <c r="O461" s="12" t="n">
        <f aca="false">IF(L461=1,1+COUNTIFS($C$2:$C$1090,C461,$L$2:$L$1090,1,$H$2:$H$1090,"&gt;"&amp;H461),"")</f>
        <v>9</v>
      </c>
      <c r="P461" s="12" t="n">
        <f aca="false">IF(L461=1,N461-O461,"")</f>
        <v>0</v>
      </c>
      <c r="Q461" s="12" t="n">
        <f aca="false">INDEX(Directions!$D$2:$D$100,MATCH(C461,Directions!$A$2:$A$100,0))</f>
        <v>0</v>
      </c>
      <c r="R461" s="12" t="n">
        <f aca="false">IF(L461=1,P461*Q461,"")</f>
        <v>0</v>
      </c>
      <c r="S461" s="12" t="str">
        <f aca="false">IF(L461&lt;&gt;1,"Excluded",IF(Q461=0,"No direction",IF(R461&gt;0,"Better",IF(R461&lt;0,"Worse","No change"))))</f>
        <v>No direction</v>
      </c>
      <c r="T461" s="12"/>
      <c r="U461" s="12" t="str">
        <f aca="false">C461&amp;"|"&amp;E461</f>
        <v>F5_13|CAN</v>
      </c>
    </row>
    <row r="462" customFormat="false" ht="15" hidden="false" customHeight="false" outlineLevel="0" collapsed="false">
      <c r="A462" s="12" t="n">
        <v>5</v>
      </c>
      <c r="B462" s="12" t="s">
        <v>312</v>
      </c>
      <c r="C462" s="12" t="s">
        <v>138</v>
      </c>
      <c r="D462" s="12" t="s">
        <v>139</v>
      </c>
      <c r="E462" s="12" t="s">
        <v>289</v>
      </c>
      <c r="F462" s="12" t="s">
        <v>36</v>
      </c>
      <c r="G462" s="12" t="n">
        <v>107.2</v>
      </c>
      <c r="H462" s="12" t="n">
        <v>119.81</v>
      </c>
      <c r="I462" s="12" t="s">
        <v>291</v>
      </c>
      <c r="J462" s="12" t="n">
        <v>1</v>
      </c>
      <c r="K462" s="12" t="n">
        <v>1</v>
      </c>
      <c r="L462" s="28" t="n">
        <v>1</v>
      </c>
      <c r="M462" s="12" t="n">
        <f aca="false">IF(L462=1,COUNTIFS($C$2:$C$1090,C462,$L$2:$L$1090,1),"")</f>
        <v>10</v>
      </c>
      <c r="N462" s="12" t="n">
        <f aca="false">IF(L462=1,1+COUNTIFS($C$2:$C$1090,C462,$L$2:$L$1090,1,$G$2:$G$1090,"&gt;"&amp;G462),"")</f>
        <v>1</v>
      </c>
      <c r="O462" s="12" t="n">
        <f aca="false">IF(L462=1,1+COUNTIFS($C$2:$C$1090,C462,$L$2:$L$1090,1,$H$2:$H$1090,"&gt;"&amp;H462),"")</f>
        <v>1</v>
      </c>
      <c r="P462" s="12" t="n">
        <f aca="false">IF(L462=1,N462-O462,"")</f>
        <v>0</v>
      </c>
      <c r="Q462" s="12" t="n">
        <f aca="false">INDEX(Directions!$D$2:$D$100,MATCH(C462,Directions!$A$2:$A$100,0))</f>
        <v>0</v>
      </c>
      <c r="R462" s="12" t="n">
        <f aca="false">IF(L462=1,P462*Q462,"")</f>
        <v>0</v>
      </c>
      <c r="S462" s="12" t="str">
        <f aca="false">IF(L462&lt;&gt;1,"Excluded",IF(Q462=0,"No direction",IF(R462&gt;0,"Better",IF(R462&lt;0,"Worse","No change"))))</f>
        <v>No direction</v>
      </c>
      <c r="T462" s="12"/>
      <c r="U462" s="12" t="str">
        <f aca="false">C462&amp;"|"&amp;E462</f>
        <v>F5_13|JPN</v>
      </c>
    </row>
    <row r="463" customFormat="false" ht="15" hidden="false" customHeight="false" outlineLevel="0" collapsed="false">
      <c r="A463" s="12" t="n">
        <v>5</v>
      </c>
      <c r="B463" s="12" t="s">
        <v>312</v>
      </c>
      <c r="C463" s="12" t="s">
        <v>138</v>
      </c>
      <c r="D463" s="12" t="s">
        <v>139</v>
      </c>
      <c r="E463" s="12" t="s">
        <v>290</v>
      </c>
      <c r="F463" s="12" t="s">
        <v>37</v>
      </c>
      <c r="G463" s="12" t="n">
        <v>56.1</v>
      </c>
      <c r="H463" s="12" t="n">
        <v>80.03</v>
      </c>
      <c r="I463" s="12" t="s">
        <v>282</v>
      </c>
      <c r="J463" s="12" t="n">
        <v>2</v>
      </c>
      <c r="K463" s="12" t="n">
        <v>2</v>
      </c>
      <c r="L463" s="28" t="n">
        <v>1</v>
      </c>
      <c r="M463" s="12" t="n">
        <f aca="false">IF(L463=1,COUNTIFS($C$2:$C$1090,C463,$L$2:$L$1090,1),"")</f>
        <v>10</v>
      </c>
      <c r="N463" s="12" t="n">
        <f aca="false">IF(L463=1,1+COUNTIFS($C$2:$C$1090,C463,$L$2:$L$1090,1,$G$2:$G$1090,"&gt;"&amp;G463),"")</f>
        <v>2</v>
      </c>
      <c r="O463" s="12" t="n">
        <f aca="false">IF(L463=1,1+COUNTIFS($C$2:$C$1090,C463,$L$2:$L$1090,1,$H$2:$H$1090,"&gt;"&amp;H463),"")</f>
        <v>2</v>
      </c>
      <c r="P463" s="12" t="n">
        <f aca="false">IF(L463=1,N463-O463,"")</f>
        <v>0</v>
      </c>
      <c r="Q463" s="12" t="n">
        <f aca="false">INDEX(Directions!$D$2:$D$100,MATCH(C463,Directions!$A$2:$A$100,0))</f>
        <v>0</v>
      </c>
      <c r="R463" s="12" t="n">
        <f aca="false">IF(L463=1,P463*Q463,"")</f>
        <v>0</v>
      </c>
      <c r="S463" s="12" t="str">
        <f aca="false">IF(L463&lt;&gt;1,"Excluded",IF(Q463=0,"No direction",IF(R463&gt;0,"Better",IF(R463&lt;0,"Worse","No change"))))</f>
        <v>No direction</v>
      </c>
      <c r="T463" s="12"/>
      <c r="U463" s="12" t="str">
        <f aca="false">C463&amp;"|"&amp;E463</f>
        <v>F5_13|AUS</v>
      </c>
    </row>
    <row r="464" customFormat="false" ht="15" hidden="false" customHeight="false" outlineLevel="0" collapsed="false">
      <c r="A464" s="12" t="n">
        <v>5</v>
      </c>
      <c r="B464" s="12" t="s">
        <v>312</v>
      </c>
      <c r="C464" s="12" t="s">
        <v>140</v>
      </c>
      <c r="D464" s="12" t="s">
        <v>141</v>
      </c>
      <c r="E464" s="12" t="s">
        <v>281</v>
      </c>
      <c r="F464" s="12" t="s">
        <v>27</v>
      </c>
      <c r="G464" s="12" t="n">
        <v>43.3</v>
      </c>
      <c r="H464" s="12" t="n">
        <v>77.65</v>
      </c>
      <c r="I464" s="12" t="s">
        <v>282</v>
      </c>
      <c r="J464" s="12" t="n">
        <v>1</v>
      </c>
      <c r="K464" s="12" t="n">
        <v>1</v>
      </c>
      <c r="L464" s="28" t="n">
        <v>1</v>
      </c>
      <c r="M464" s="12" t="n">
        <f aca="false">IF(L464=1,COUNTIFS($C$2:$C$1090,C464,$L$2:$L$1090,1),"")</f>
        <v>7</v>
      </c>
      <c r="N464" s="12" t="n">
        <f aca="false">IF(L464=1,1+COUNTIFS($C$2:$C$1090,C464,$L$2:$L$1090,1,$G$2:$G$1090,"&gt;"&amp;G464),"")</f>
        <v>1</v>
      </c>
      <c r="O464" s="12" t="n">
        <f aca="false">IF(L464=1,1+COUNTIFS($C$2:$C$1090,C464,$L$2:$L$1090,1,$H$2:$H$1090,"&gt;"&amp;H464),"")</f>
        <v>1</v>
      </c>
      <c r="P464" s="12" t="n">
        <f aca="false">IF(L464=1,N464-O464,"")</f>
        <v>0</v>
      </c>
      <c r="Q464" s="12" t="n">
        <f aca="false">INDEX(Directions!$D$2:$D$100,MATCH(C464,Directions!$A$2:$A$100,0))</f>
        <v>0</v>
      </c>
      <c r="R464" s="12" t="n">
        <f aca="false">IF(L464=1,P464*Q464,"")</f>
        <v>0</v>
      </c>
      <c r="S464" s="12" t="str">
        <f aca="false">IF(L464&lt;&gt;1,"Excluded",IF(Q464=0,"No direction",IF(R464&gt;0,"Better",IF(R464&lt;0,"Worse","No change"))))</f>
        <v>No direction</v>
      </c>
      <c r="T464" s="12"/>
      <c r="U464" s="12" t="str">
        <f aca="false">C464&amp;"|"&amp;E464</f>
        <v>F5_14|USA</v>
      </c>
    </row>
    <row r="465" customFormat="false" ht="15" hidden="false" customHeight="false" outlineLevel="0" collapsed="false">
      <c r="A465" s="12" t="n">
        <v>5</v>
      </c>
      <c r="B465" s="12" t="s">
        <v>312</v>
      </c>
      <c r="C465" s="12" t="s">
        <v>140</v>
      </c>
      <c r="D465" s="12" t="s">
        <v>141</v>
      </c>
      <c r="E465" s="12" t="s">
        <v>283</v>
      </c>
      <c r="F465" s="12" t="s">
        <v>28</v>
      </c>
      <c r="G465" s="12" t="n">
        <v>21</v>
      </c>
      <c r="H465" s="12" t="n">
        <v>7.28</v>
      </c>
      <c r="I465" s="12" t="s">
        <v>282</v>
      </c>
      <c r="J465" s="12" t="n">
        <v>5</v>
      </c>
      <c r="K465" s="12" t="n">
        <v>8</v>
      </c>
      <c r="L465" s="28" t="n">
        <v>1</v>
      </c>
      <c r="M465" s="12" t="n">
        <f aca="false">IF(L465=1,COUNTIFS($C$2:$C$1090,C465,$L$2:$L$1090,1),"")</f>
        <v>7</v>
      </c>
      <c r="N465" s="12" t="n">
        <f aca="false">IF(L465=1,1+COUNTIFS($C$2:$C$1090,C465,$L$2:$L$1090,1,$G$2:$G$1090,"&gt;"&amp;G465),"")</f>
        <v>5</v>
      </c>
      <c r="O465" s="12" t="n">
        <f aca="false">IF(L465=1,1+COUNTIFS($C$2:$C$1090,C465,$L$2:$L$1090,1,$H$2:$H$1090,"&gt;"&amp;H465),"")</f>
        <v>7</v>
      </c>
      <c r="P465" s="12" t="n">
        <f aca="false">IF(L465=1,N465-O465,"")</f>
        <v>-2</v>
      </c>
      <c r="Q465" s="12" t="n">
        <f aca="false">INDEX(Directions!$D$2:$D$100,MATCH(C465,Directions!$A$2:$A$100,0))</f>
        <v>0</v>
      </c>
      <c r="R465" s="12" t="n">
        <f aca="false">IF(L465=1,P465*Q465,"")</f>
        <v>-0</v>
      </c>
      <c r="S465" s="12" t="str">
        <f aca="false">IF(L465&lt;&gt;1,"Excluded",IF(Q465=0,"No direction",IF(R465&gt;0,"Better",IF(R465&lt;0,"Worse","No change"))))</f>
        <v>No direction</v>
      </c>
      <c r="T465" s="12"/>
      <c r="U465" s="12" t="str">
        <f aca="false">C465&amp;"|"&amp;E465</f>
        <v>F5_14|GBR</v>
      </c>
    </row>
    <row r="466" customFormat="false" ht="15" hidden="false" customHeight="false" outlineLevel="0" collapsed="false">
      <c r="A466" s="12" t="n">
        <v>5</v>
      </c>
      <c r="B466" s="12" t="s">
        <v>312</v>
      </c>
      <c r="C466" s="12" t="s">
        <v>140</v>
      </c>
      <c r="D466" s="12" t="s">
        <v>141</v>
      </c>
      <c r="E466" s="12" t="s">
        <v>284</v>
      </c>
      <c r="F466" s="12" t="s">
        <v>29</v>
      </c>
      <c r="G466" s="12" t="s">
        <v>302</v>
      </c>
      <c r="H466" s="12" t="s">
        <v>302</v>
      </c>
      <c r="I466" s="12"/>
      <c r="J466" s="12" t="s">
        <v>302</v>
      </c>
      <c r="K466" s="12" t="s">
        <v>302</v>
      </c>
      <c r="L466" s="28" t="n">
        <v>0</v>
      </c>
      <c r="M466" s="12" t="str">
        <f aca="false">IF(L466=1,COUNTIFS($C$2:$C$1090,C466,$L$2:$L$1090,1),"")</f>
        <v/>
      </c>
      <c r="N466" s="12" t="str">
        <f aca="false">IF(L466=1,1+COUNTIFS($C$2:$C$1090,C466,$L$2:$L$1090,1,$G$2:$G$1090,"&gt;"&amp;G466),"")</f>
        <v/>
      </c>
      <c r="O466" s="12" t="str">
        <f aca="false">IF(L466=1,1+COUNTIFS($C$2:$C$1090,C466,$L$2:$L$1090,1,$H$2:$H$1090,"&gt;"&amp;H466),"")</f>
        <v/>
      </c>
      <c r="P466" s="12" t="str">
        <f aca="false">IF(L466=1,N466-O466,"")</f>
        <v/>
      </c>
      <c r="Q466" s="12" t="n">
        <f aca="false">INDEX(Directions!$D$2:$D$100,MATCH(C466,Directions!$A$2:$A$100,0))</f>
        <v>0</v>
      </c>
      <c r="R466" s="12" t="str">
        <f aca="false">IF(L466=1,P466*Q466,"")</f>
        <v/>
      </c>
      <c r="S466" s="12" t="str">
        <f aca="false">IF(L466&lt;&gt;1,"Excluded",IF(Q466=0,"No direction",IF(R466&gt;0,"Better",IF(R466&lt;0,"Worse","No change"))))</f>
        <v>Excluded</v>
      </c>
      <c r="T466" s="12" t="s">
        <v>304</v>
      </c>
      <c r="U466" s="12" t="str">
        <f aca="false">C466&amp;"|"&amp;E466</f>
        <v>F5_14|DEU</v>
      </c>
    </row>
    <row r="467" customFormat="false" ht="15" hidden="false" customHeight="false" outlineLevel="0" collapsed="false">
      <c r="A467" s="12" t="n">
        <v>5</v>
      </c>
      <c r="B467" s="12" t="s">
        <v>312</v>
      </c>
      <c r="C467" s="12" t="s">
        <v>140</v>
      </c>
      <c r="D467" s="12" t="s">
        <v>141</v>
      </c>
      <c r="E467" s="12" t="s">
        <v>285</v>
      </c>
      <c r="F467" s="12" t="s">
        <v>30</v>
      </c>
      <c r="G467" s="12" t="s">
        <v>302</v>
      </c>
      <c r="H467" s="12" t="n">
        <v>10.96</v>
      </c>
      <c r="I467" s="12" t="s">
        <v>282</v>
      </c>
      <c r="J467" s="12" t="s">
        <v>302</v>
      </c>
      <c r="K467" s="12" t="n">
        <v>7</v>
      </c>
      <c r="L467" s="28" t="n">
        <v>0</v>
      </c>
      <c r="M467" s="12" t="str">
        <f aca="false">IF(L467=1,COUNTIFS($C$2:$C$1090,C467,$L$2:$L$1090,1),"")</f>
        <v/>
      </c>
      <c r="N467" s="12" t="str">
        <f aca="false">IF(L467=1,1+COUNTIFS($C$2:$C$1090,C467,$L$2:$L$1090,1,$G$2:$G$1090,"&gt;"&amp;G467),"")</f>
        <v/>
      </c>
      <c r="O467" s="12" t="str">
        <f aca="false">IF(L467=1,1+COUNTIFS($C$2:$C$1090,C467,$L$2:$L$1090,1,$H$2:$H$1090,"&gt;"&amp;H467),"")</f>
        <v/>
      </c>
      <c r="P467" s="12" t="str">
        <f aca="false">IF(L467=1,N467-O467,"")</f>
        <v/>
      </c>
      <c r="Q467" s="12" t="n">
        <f aca="false">INDEX(Directions!$D$2:$D$100,MATCH(C467,Directions!$A$2:$A$100,0))</f>
        <v>0</v>
      </c>
      <c r="R467" s="12" t="str">
        <f aca="false">IF(L467=1,P467*Q467,"")</f>
        <v/>
      </c>
      <c r="S467" s="12" t="str">
        <f aca="false">IF(L467&lt;&gt;1,"Excluded",IF(Q467=0,"No direction",IF(R467&gt;0,"Better",IF(R467&lt;0,"Worse","No change"))))</f>
        <v>Excluded</v>
      </c>
      <c r="T467" s="12" t="s">
        <v>311</v>
      </c>
      <c r="U467" s="12" t="str">
        <f aca="false">C467&amp;"|"&amp;E467</f>
        <v>F5_14|SWE</v>
      </c>
    </row>
    <row r="468" customFormat="false" ht="15" hidden="false" customHeight="false" outlineLevel="0" collapsed="false">
      <c r="A468" s="12" t="n">
        <v>5</v>
      </c>
      <c r="B468" s="12" t="s">
        <v>312</v>
      </c>
      <c r="C468" s="12" t="s">
        <v>140</v>
      </c>
      <c r="D468" s="12" t="s">
        <v>141</v>
      </c>
      <c r="E468" s="12" t="s">
        <v>286</v>
      </c>
      <c r="F468" s="12" t="s">
        <v>31</v>
      </c>
      <c r="G468" s="12" t="n">
        <v>7.5</v>
      </c>
      <c r="H468" s="12" t="s">
        <v>302</v>
      </c>
      <c r="I468" s="12"/>
      <c r="J468" s="12" t="n">
        <v>8</v>
      </c>
      <c r="K468" s="12" t="s">
        <v>302</v>
      </c>
      <c r="L468" s="28" t="n">
        <v>0</v>
      </c>
      <c r="M468" s="12" t="str">
        <f aca="false">IF(L468=1,COUNTIFS($C$2:$C$1090,C468,$L$2:$L$1090,1),"")</f>
        <v/>
      </c>
      <c r="N468" s="12" t="str">
        <f aca="false">IF(L468=1,1+COUNTIFS($C$2:$C$1090,C468,$L$2:$L$1090,1,$G$2:$G$1090,"&gt;"&amp;G468),"")</f>
        <v/>
      </c>
      <c r="O468" s="12" t="str">
        <f aca="false">IF(L468=1,1+COUNTIFS($C$2:$C$1090,C468,$L$2:$L$1090,1,$H$2:$H$1090,"&gt;"&amp;H468),"")</f>
        <v/>
      </c>
      <c r="P468" s="12" t="str">
        <f aca="false">IF(L468=1,N468-O468,"")</f>
        <v/>
      </c>
      <c r="Q468" s="12" t="n">
        <f aca="false">INDEX(Directions!$D$2:$D$100,MATCH(C468,Directions!$A$2:$A$100,0))</f>
        <v>0</v>
      </c>
      <c r="R468" s="12" t="str">
        <f aca="false">IF(L468=1,P468*Q468,"")</f>
        <v/>
      </c>
      <c r="S468" s="12" t="str">
        <f aca="false">IF(L468&lt;&gt;1,"Excluded",IF(Q468=0,"No direction",IF(R468&gt;0,"Better",IF(R468&lt;0,"Worse","No change"))))</f>
        <v>Excluded</v>
      </c>
      <c r="T468" s="12" t="s">
        <v>303</v>
      </c>
      <c r="U468" s="12" t="str">
        <f aca="false">C468&amp;"|"&amp;E468</f>
        <v>F5_14|FRA</v>
      </c>
    </row>
    <row r="469" customFormat="false" ht="15" hidden="false" customHeight="false" outlineLevel="0" collapsed="false">
      <c r="A469" s="12" t="n">
        <v>5</v>
      </c>
      <c r="B469" s="12" t="s">
        <v>312</v>
      </c>
      <c r="C469" s="12" t="s">
        <v>140</v>
      </c>
      <c r="D469" s="12" t="s">
        <v>141</v>
      </c>
      <c r="E469" s="12" t="s">
        <v>32</v>
      </c>
      <c r="F469" s="12" t="s">
        <v>32</v>
      </c>
      <c r="G469" s="12" t="s">
        <v>302</v>
      </c>
      <c r="H469" s="12" t="s">
        <v>302</v>
      </c>
      <c r="I469" s="12"/>
      <c r="J469" s="12" t="s">
        <v>302</v>
      </c>
      <c r="K469" s="12" t="s">
        <v>302</v>
      </c>
      <c r="L469" s="28" t="n">
        <v>0</v>
      </c>
      <c r="M469" s="12" t="str">
        <f aca="false">IF(L469=1,COUNTIFS($C$2:$C$1090,C469,$L$2:$L$1090,1),"")</f>
        <v/>
      </c>
      <c r="N469" s="12" t="str">
        <f aca="false">IF(L469=1,1+COUNTIFS($C$2:$C$1090,C469,$L$2:$L$1090,1,$G$2:$G$1090,"&gt;"&amp;G469),"")</f>
        <v/>
      </c>
      <c r="O469" s="12" t="str">
        <f aca="false">IF(L469=1,1+COUNTIFS($C$2:$C$1090,C469,$L$2:$L$1090,1,$H$2:$H$1090,"&gt;"&amp;H469),"")</f>
        <v/>
      </c>
      <c r="P469" s="12" t="str">
        <f aca="false">IF(L469=1,N469-O469,"")</f>
        <v/>
      </c>
      <c r="Q469" s="12" t="n">
        <f aca="false">INDEX(Directions!$D$2:$D$100,MATCH(C469,Directions!$A$2:$A$100,0))</f>
        <v>0</v>
      </c>
      <c r="R469" s="12" t="str">
        <f aca="false">IF(L469=1,P469*Q469,"")</f>
        <v/>
      </c>
      <c r="S469" s="12" t="str">
        <f aca="false">IF(L469&lt;&gt;1,"Excluded",IF(Q469=0,"No direction",IF(R469&gt;0,"Better",IF(R469&lt;0,"Worse","No change"))))</f>
        <v>Excluded</v>
      </c>
      <c r="T469" s="12" t="s">
        <v>304</v>
      </c>
      <c r="U469" s="12" t="str">
        <f aca="false">C469&amp;"|"&amp;E469</f>
        <v>F5_14|NLD</v>
      </c>
    </row>
    <row r="470" customFormat="false" ht="15" hidden="false" customHeight="false" outlineLevel="0" collapsed="false">
      <c r="A470" s="12" t="n">
        <v>5</v>
      </c>
      <c r="B470" s="12" t="s">
        <v>312</v>
      </c>
      <c r="C470" s="12" t="s">
        <v>140</v>
      </c>
      <c r="D470" s="12" t="s">
        <v>141</v>
      </c>
      <c r="E470" s="12" t="s">
        <v>33</v>
      </c>
      <c r="F470" s="12" t="s">
        <v>33</v>
      </c>
      <c r="G470" s="12" t="n">
        <v>28.3</v>
      </c>
      <c r="H470" s="12" t="n">
        <v>29.31</v>
      </c>
      <c r="I470" s="12" t="s">
        <v>293</v>
      </c>
      <c r="J470" s="12" t="n">
        <v>3</v>
      </c>
      <c r="K470" s="12" t="n">
        <v>3</v>
      </c>
      <c r="L470" s="28" t="n">
        <v>1</v>
      </c>
      <c r="M470" s="12" t="n">
        <f aca="false">IF(L470=1,COUNTIFS($C$2:$C$1090,C470,$L$2:$L$1090,1),"")</f>
        <v>7</v>
      </c>
      <c r="N470" s="12" t="n">
        <f aca="false">IF(L470=1,1+COUNTIFS($C$2:$C$1090,C470,$L$2:$L$1090,1,$G$2:$G$1090,"&gt;"&amp;G470),"")</f>
        <v>3</v>
      </c>
      <c r="O470" s="12" t="n">
        <f aca="false">IF(L470=1,1+COUNTIFS($C$2:$C$1090,C470,$L$2:$L$1090,1,$H$2:$H$1090,"&gt;"&amp;H470),"")</f>
        <v>3</v>
      </c>
      <c r="P470" s="12" t="n">
        <f aca="false">IF(L470=1,N470-O470,"")</f>
        <v>0</v>
      </c>
      <c r="Q470" s="12" t="n">
        <f aca="false">INDEX(Directions!$D$2:$D$100,MATCH(C470,Directions!$A$2:$A$100,0))</f>
        <v>0</v>
      </c>
      <c r="R470" s="12" t="n">
        <f aca="false">IF(L470=1,P470*Q470,"")</f>
        <v>0</v>
      </c>
      <c r="S470" s="12" t="str">
        <f aca="false">IF(L470&lt;&gt;1,"Excluded",IF(Q470=0,"No direction",IF(R470&gt;0,"Better",IF(R470&lt;0,"Worse","No change"))))</f>
        <v>No direction</v>
      </c>
      <c r="T470" s="12"/>
      <c r="U470" s="12" t="str">
        <f aca="false">C470&amp;"|"&amp;E470</f>
        <v>F5_14|CHE</v>
      </c>
    </row>
    <row r="471" customFormat="false" ht="15" hidden="false" customHeight="false" outlineLevel="0" collapsed="false">
      <c r="A471" s="12" t="n">
        <v>5</v>
      </c>
      <c r="B471" s="12" t="s">
        <v>312</v>
      </c>
      <c r="C471" s="12" t="s">
        <v>140</v>
      </c>
      <c r="D471" s="12" t="s">
        <v>141</v>
      </c>
      <c r="E471" s="12" t="s">
        <v>287</v>
      </c>
      <c r="F471" s="12" t="s">
        <v>34</v>
      </c>
      <c r="G471" s="12" t="n">
        <v>14.2</v>
      </c>
      <c r="H471" s="12" t="n">
        <v>16.4</v>
      </c>
      <c r="I471" s="12" t="s">
        <v>293</v>
      </c>
      <c r="J471" s="12" t="n">
        <v>7</v>
      </c>
      <c r="K471" s="12" t="n">
        <v>6</v>
      </c>
      <c r="L471" s="28" t="n">
        <v>1</v>
      </c>
      <c r="M471" s="12" t="n">
        <f aca="false">IF(L471=1,COUNTIFS($C$2:$C$1090,C471,$L$2:$L$1090,1),"")</f>
        <v>7</v>
      </c>
      <c r="N471" s="12" t="n">
        <f aca="false">IF(L471=1,1+COUNTIFS($C$2:$C$1090,C471,$L$2:$L$1090,1,$G$2:$G$1090,"&gt;"&amp;G471),"")</f>
        <v>7</v>
      </c>
      <c r="O471" s="12" t="n">
        <f aca="false">IF(L471=1,1+COUNTIFS($C$2:$C$1090,C471,$L$2:$L$1090,1,$H$2:$H$1090,"&gt;"&amp;H471),"")</f>
        <v>6</v>
      </c>
      <c r="P471" s="12" t="n">
        <f aca="false">IF(L471=1,N471-O471,"")</f>
        <v>1</v>
      </c>
      <c r="Q471" s="12" t="n">
        <f aca="false">INDEX(Directions!$D$2:$D$100,MATCH(C471,Directions!$A$2:$A$100,0))</f>
        <v>0</v>
      </c>
      <c r="R471" s="12" t="n">
        <f aca="false">IF(L471=1,P471*Q471,"")</f>
        <v>0</v>
      </c>
      <c r="S471" s="12" t="str">
        <f aca="false">IF(L471&lt;&gt;1,"Excluded",IF(Q471=0,"No direction",IF(R471&gt;0,"Better",IF(R471&lt;0,"Worse","No change"))))</f>
        <v>No direction</v>
      </c>
      <c r="T471" s="12"/>
      <c r="U471" s="12" t="str">
        <f aca="false">C471&amp;"|"&amp;E471</f>
        <v>F5_14|DNK</v>
      </c>
    </row>
    <row r="472" customFormat="false" ht="15" hidden="false" customHeight="false" outlineLevel="0" collapsed="false">
      <c r="A472" s="12" t="n">
        <v>5</v>
      </c>
      <c r="B472" s="12" t="s">
        <v>312</v>
      </c>
      <c r="C472" s="12" t="s">
        <v>140</v>
      </c>
      <c r="D472" s="12" t="s">
        <v>141</v>
      </c>
      <c r="E472" s="12" t="s">
        <v>288</v>
      </c>
      <c r="F472" s="12" t="s">
        <v>35</v>
      </c>
      <c r="G472" s="12" t="n">
        <v>17.3</v>
      </c>
      <c r="H472" s="12" t="n">
        <v>16.65</v>
      </c>
      <c r="I472" s="12" t="s">
        <v>293</v>
      </c>
      <c r="J472" s="12" t="n">
        <v>6</v>
      </c>
      <c r="K472" s="12" t="n">
        <v>5</v>
      </c>
      <c r="L472" s="28" t="n">
        <v>1</v>
      </c>
      <c r="M472" s="12" t="n">
        <f aca="false">IF(L472=1,COUNTIFS($C$2:$C$1090,C472,$L$2:$L$1090,1),"")</f>
        <v>7</v>
      </c>
      <c r="N472" s="12" t="n">
        <f aca="false">IF(L472=1,1+COUNTIFS($C$2:$C$1090,C472,$L$2:$L$1090,1,$G$2:$G$1090,"&gt;"&amp;G472),"")</f>
        <v>6</v>
      </c>
      <c r="O472" s="12" t="n">
        <f aca="false">IF(L472=1,1+COUNTIFS($C$2:$C$1090,C472,$L$2:$L$1090,1,$H$2:$H$1090,"&gt;"&amp;H472),"")</f>
        <v>5</v>
      </c>
      <c r="P472" s="12" t="n">
        <f aca="false">IF(L472=1,N472-O472,"")</f>
        <v>1</v>
      </c>
      <c r="Q472" s="12" t="n">
        <f aca="false">INDEX(Directions!$D$2:$D$100,MATCH(C472,Directions!$A$2:$A$100,0))</f>
        <v>0</v>
      </c>
      <c r="R472" s="12" t="n">
        <f aca="false">IF(L472=1,P472*Q472,"")</f>
        <v>0</v>
      </c>
      <c r="S472" s="12" t="str">
        <f aca="false">IF(L472&lt;&gt;1,"Excluded",IF(Q472=0,"No direction",IF(R472&gt;0,"Better",IF(R472&lt;0,"Worse","No change"))))</f>
        <v>No direction</v>
      </c>
      <c r="T472" s="12"/>
      <c r="U472" s="12" t="str">
        <f aca="false">C472&amp;"|"&amp;E472</f>
        <v>F5_14|CAN</v>
      </c>
    </row>
    <row r="473" customFormat="false" ht="15" hidden="false" customHeight="false" outlineLevel="0" collapsed="false">
      <c r="A473" s="12" t="n">
        <v>5</v>
      </c>
      <c r="B473" s="12" t="s">
        <v>312</v>
      </c>
      <c r="C473" s="12" t="s">
        <v>140</v>
      </c>
      <c r="D473" s="12" t="s">
        <v>141</v>
      </c>
      <c r="E473" s="12" t="s">
        <v>289</v>
      </c>
      <c r="F473" s="12" t="s">
        <v>36</v>
      </c>
      <c r="G473" s="12" t="n">
        <v>33</v>
      </c>
      <c r="H473" s="12" t="n">
        <v>33.53</v>
      </c>
      <c r="I473" s="12" t="s">
        <v>291</v>
      </c>
      <c r="J473" s="12" t="n">
        <v>2</v>
      </c>
      <c r="K473" s="12" t="n">
        <v>2</v>
      </c>
      <c r="L473" s="28" t="n">
        <v>1</v>
      </c>
      <c r="M473" s="12" t="n">
        <f aca="false">IF(L473=1,COUNTIFS($C$2:$C$1090,C473,$L$2:$L$1090,1),"")</f>
        <v>7</v>
      </c>
      <c r="N473" s="12" t="n">
        <f aca="false">IF(L473=1,1+COUNTIFS($C$2:$C$1090,C473,$L$2:$L$1090,1,$G$2:$G$1090,"&gt;"&amp;G473),"")</f>
        <v>2</v>
      </c>
      <c r="O473" s="12" t="n">
        <f aca="false">IF(L473=1,1+COUNTIFS($C$2:$C$1090,C473,$L$2:$L$1090,1,$H$2:$H$1090,"&gt;"&amp;H473),"")</f>
        <v>2</v>
      </c>
      <c r="P473" s="12" t="n">
        <f aca="false">IF(L473=1,N473-O473,"")</f>
        <v>0</v>
      </c>
      <c r="Q473" s="12" t="n">
        <f aca="false">INDEX(Directions!$D$2:$D$100,MATCH(C473,Directions!$A$2:$A$100,0))</f>
        <v>0</v>
      </c>
      <c r="R473" s="12" t="n">
        <f aca="false">IF(L473=1,P473*Q473,"")</f>
        <v>0</v>
      </c>
      <c r="S473" s="12" t="str">
        <f aca="false">IF(L473&lt;&gt;1,"Excluded",IF(Q473=0,"No direction",IF(R473&gt;0,"Better",IF(R473&lt;0,"Worse","No change"))))</f>
        <v>No direction</v>
      </c>
      <c r="T473" s="12"/>
      <c r="U473" s="12" t="str">
        <f aca="false">C473&amp;"|"&amp;E473</f>
        <v>F5_14|JPN</v>
      </c>
    </row>
    <row r="474" customFormat="false" ht="15" hidden="false" customHeight="false" outlineLevel="0" collapsed="false">
      <c r="A474" s="12" t="n">
        <v>5</v>
      </c>
      <c r="B474" s="12" t="s">
        <v>312</v>
      </c>
      <c r="C474" s="12" t="s">
        <v>140</v>
      </c>
      <c r="D474" s="12" t="s">
        <v>141</v>
      </c>
      <c r="E474" s="12" t="s">
        <v>290</v>
      </c>
      <c r="F474" s="12" t="s">
        <v>37</v>
      </c>
      <c r="G474" s="12" t="n">
        <v>23</v>
      </c>
      <c r="H474" s="12" t="n">
        <v>19.74</v>
      </c>
      <c r="I474" s="12" t="s">
        <v>282</v>
      </c>
      <c r="J474" s="12" t="n">
        <v>4</v>
      </c>
      <c r="K474" s="12" t="n">
        <v>4</v>
      </c>
      <c r="L474" s="28" t="n">
        <v>1</v>
      </c>
      <c r="M474" s="12" t="n">
        <f aca="false">IF(L474=1,COUNTIFS($C$2:$C$1090,C474,$L$2:$L$1090,1),"")</f>
        <v>7</v>
      </c>
      <c r="N474" s="12" t="n">
        <f aca="false">IF(L474=1,1+COUNTIFS($C$2:$C$1090,C474,$L$2:$L$1090,1,$G$2:$G$1090,"&gt;"&amp;G474),"")</f>
        <v>4</v>
      </c>
      <c r="O474" s="12" t="n">
        <f aca="false">IF(L474=1,1+COUNTIFS($C$2:$C$1090,C474,$L$2:$L$1090,1,$H$2:$H$1090,"&gt;"&amp;H474),"")</f>
        <v>4</v>
      </c>
      <c r="P474" s="12" t="n">
        <f aca="false">IF(L474=1,N474-O474,"")</f>
        <v>0</v>
      </c>
      <c r="Q474" s="12" t="n">
        <f aca="false">INDEX(Directions!$D$2:$D$100,MATCH(C474,Directions!$A$2:$A$100,0))</f>
        <v>0</v>
      </c>
      <c r="R474" s="12" t="n">
        <f aca="false">IF(L474=1,P474*Q474,"")</f>
        <v>0</v>
      </c>
      <c r="S474" s="12" t="str">
        <f aca="false">IF(L474&lt;&gt;1,"Excluded",IF(Q474=0,"No direction",IF(R474&gt;0,"Better",IF(R474&lt;0,"Worse","No change"))))</f>
        <v>No direction</v>
      </c>
      <c r="T474" s="12"/>
      <c r="U474" s="12" t="str">
        <f aca="false">C474&amp;"|"&amp;E474</f>
        <v>F5_14|AUS</v>
      </c>
    </row>
    <row r="475" customFormat="false" ht="15" hidden="false" customHeight="false" outlineLevel="0" collapsed="false">
      <c r="A475" s="12" t="n">
        <v>5</v>
      </c>
      <c r="B475" s="12" t="s">
        <v>312</v>
      </c>
      <c r="C475" s="12" t="s">
        <v>142</v>
      </c>
      <c r="D475" s="12" t="s">
        <v>143</v>
      </c>
      <c r="E475" s="12" t="s">
        <v>281</v>
      </c>
      <c r="F475" s="12" t="s">
        <v>27</v>
      </c>
      <c r="G475" s="12" t="n">
        <v>2.8</v>
      </c>
      <c r="H475" s="12" t="n">
        <v>2.74</v>
      </c>
      <c r="I475" s="12" t="s">
        <v>294</v>
      </c>
      <c r="J475" s="12" t="n">
        <v>7</v>
      </c>
      <c r="K475" s="12" t="n">
        <v>6</v>
      </c>
      <c r="L475" s="28" t="n">
        <v>1</v>
      </c>
      <c r="M475" s="12" t="n">
        <f aca="false">IF(L475=1,COUNTIFS($C$2:$C$1090,C475,$L$2:$L$1090,1),"")</f>
        <v>11</v>
      </c>
      <c r="N475" s="12" t="n">
        <f aca="false">IF(L475=1,1+COUNTIFS($C$2:$C$1090,C475,$L$2:$L$1090,1,$G$2:$G$1090,"&gt;"&amp;G475),"")</f>
        <v>7</v>
      </c>
      <c r="O475" s="12" t="n">
        <f aca="false">IF(L475=1,1+COUNTIFS($C$2:$C$1090,C475,$L$2:$L$1090,1,$H$2:$H$1090,"&gt;"&amp;H475),"")</f>
        <v>6</v>
      </c>
      <c r="P475" s="12" t="n">
        <f aca="false">IF(L475=1,N475-O475,"")</f>
        <v>1</v>
      </c>
      <c r="Q475" s="12" t="n">
        <f aca="false">INDEX(Directions!$D$2:$D$100,MATCH(C475,Directions!$A$2:$A$100,0))</f>
        <v>0</v>
      </c>
      <c r="R475" s="12" t="n">
        <f aca="false">IF(L475=1,P475*Q475,"")</f>
        <v>0</v>
      </c>
      <c r="S475" s="12" t="str">
        <f aca="false">IF(L475&lt;&gt;1,"Excluded",IF(Q475=0,"No direction",IF(R475&gt;0,"Better",IF(R475&lt;0,"Worse","No change"))))</f>
        <v>No direction</v>
      </c>
      <c r="T475" s="12"/>
      <c r="U475" s="12" t="str">
        <f aca="false">C475&amp;"|"&amp;E475</f>
        <v>F5_15|USA</v>
      </c>
    </row>
    <row r="476" customFormat="false" ht="15" hidden="false" customHeight="false" outlineLevel="0" collapsed="false">
      <c r="A476" s="12" t="n">
        <v>5</v>
      </c>
      <c r="B476" s="12" t="s">
        <v>312</v>
      </c>
      <c r="C476" s="12" t="s">
        <v>142</v>
      </c>
      <c r="D476" s="12" t="s">
        <v>143</v>
      </c>
      <c r="E476" s="12" t="s">
        <v>283</v>
      </c>
      <c r="F476" s="12" t="s">
        <v>28</v>
      </c>
      <c r="G476" s="12" t="n">
        <v>2.7</v>
      </c>
      <c r="H476" s="12" t="n">
        <v>2.44</v>
      </c>
      <c r="I476" s="12" t="s">
        <v>293</v>
      </c>
      <c r="J476" s="12" t="n">
        <v>8</v>
      </c>
      <c r="K476" s="12" t="n">
        <v>7</v>
      </c>
      <c r="L476" s="28" t="n">
        <v>1</v>
      </c>
      <c r="M476" s="12" t="n">
        <f aca="false">IF(L476=1,COUNTIFS($C$2:$C$1090,C476,$L$2:$L$1090,1),"")</f>
        <v>11</v>
      </c>
      <c r="N476" s="12" t="n">
        <f aca="false">IF(L476=1,1+COUNTIFS($C$2:$C$1090,C476,$L$2:$L$1090,1,$G$2:$G$1090,"&gt;"&amp;G476),"")</f>
        <v>8</v>
      </c>
      <c r="O476" s="12" t="n">
        <f aca="false">IF(L476=1,1+COUNTIFS($C$2:$C$1090,C476,$L$2:$L$1090,1,$H$2:$H$1090,"&gt;"&amp;H476),"")</f>
        <v>7</v>
      </c>
      <c r="P476" s="12" t="n">
        <f aca="false">IF(L476=1,N476-O476,"")</f>
        <v>1</v>
      </c>
      <c r="Q476" s="12" t="n">
        <f aca="false">INDEX(Directions!$D$2:$D$100,MATCH(C476,Directions!$A$2:$A$100,0))</f>
        <v>0</v>
      </c>
      <c r="R476" s="12" t="n">
        <f aca="false">IF(L476=1,P476*Q476,"")</f>
        <v>0</v>
      </c>
      <c r="S476" s="12" t="str">
        <f aca="false">IF(L476&lt;&gt;1,"Excluded",IF(Q476=0,"No direction",IF(R476&gt;0,"Better",IF(R476&lt;0,"Worse","No change"))))</f>
        <v>No direction</v>
      </c>
      <c r="T476" s="12"/>
      <c r="U476" s="12" t="str">
        <f aca="false">C476&amp;"|"&amp;E476</f>
        <v>F5_15|GBR</v>
      </c>
    </row>
    <row r="477" customFormat="false" ht="15" hidden="false" customHeight="false" outlineLevel="0" collapsed="false">
      <c r="A477" s="12" t="n">
        <v>5</v>
      </c>
      <c r="B477" s="12" t="s">
        <v>312</v>
      </c>
      <c r="C477" s="12" t="s">
        <v>142</v>
      </c>
      <c r="D477" s="12" t="s">
        <v>143</v>
      </c>
      <c r="E477" s="12" t="s">
        <v>284</v>
      </c>
      <c r="F477" s="12" t="s">
        <v>29</v>
      </c>
      <c r="G477" s="12" t="n">
        <v>8.2</v>
      </c>
      <c r="H477" s="12" t="n">
        <v>7.59</v>
      </c>
      <c r="I477" s="12" t="s">
        <v>293</v>
      </c>
      <c r="J477" s="12" t="n">
        <v>2</v>
      </c>
      <c r="K477" s="12" t="n">
        <v>2</v>
      </c>
      <c r="L477" s="28" t="n">
        <v>1</v>
      </c>
      <c r="M477" s="12" t="n">
        <f aca="false">IF(L477=1,COUNTIFS($C$2:$C$1090,C477,$L$2:$L$1090,1),"")</f>
        <v>11</v>
      </c>
      <c r="N477" s="12" t="n">
        <f aca="false">IF(L477=1,1+COUNTIFS($C$2:$C$1090,C477,$L$2:$L$1090,1,$G$2:$G$1090,"&gt;"&amp;G477),"")</f>
        <v>2</v>
      </c>
      <c r="O477" s="12" t="n">
        <f aca="false">IF(L477=1,1+COUNTIFS($C$2:$C$1090,C477,$L$2:$L$1090,1,$H$2:$H$1090,"&gt;"&amp;H477),"")</f>
        <v>2</v>
      </c>
      <c r="P477" s="12" t="n">
        <f aca="false">IF(L477=1,N477-O477,"")</f>
        <v>0</v>
      </c>
      <c r="Q477" s="12" t="n">
        <f aca="false">INDEX(Directions!$D$2:$D$100,MATCH(C477,Directions!$A$2:$A$100,0))</f>
        <v>0</v>
      </c>
      <c r="R477" s="12" t="n">
        <f aca="false">IF(L477=1,P477*Q477,"")</f>
        <v>0</v>
      </c>
      <c r="S477" s="12" t="str">
        <f aca="false">IF(L477&lt;&gt;1,"Excluded",IF(Q477=0,"No direction",IF(R477&gt;0,"Better",IF(R477&lt;0,"Worse","No change"))))</f>
        <v>No direction</v>
      </c>
      <c r="T477" s="12"/>
      <c r="U477" s="12" t="str">
        <f aca="false">C477&amp;"|"&amp;E477</f>
        <v>F5_15|DEU</v>
      </c>
    </row>
    <row r="478" customFormat="false" ht="15" hidden="false" customHeight="false" outlineLevel="0" collapsed="false">
      <c r="A478" s="12" t="n">
        <v>5</v>
      </c>
      <c r="B478" s="12" t="s">
        <v>312</v>
      </c>
      <c r="C478" s="12" t="s">
        <v>142</v>
      </c>
      <c r="D478" s="12" t="s">
        <v>143</v>
      </c>
      <c r="E478" s="12" t="s">
        <v>285</v>
      </c>
      <c r="F478" s="12" t="s">
        <v>30</v>
      </c>
      <c r="G478" s="12" t="n">
        <v>2.5</v>
      </c>
      <c r="H478" s="12" t="n">
        <v>1.87</v>
      </c>
      <c r="I478" s="12" t="s">
        <v>293</v>
      </c>
      <c r="J478" s="12" t="n">
        <v>11</v>
      </c>
      <c r="K478" s="12" t="n">
        <v>11</v>
      </c>
      <c r="L478" s="28" t="n">
        <v>1</v>
      </c>
      <c r="M478" s="12" t="n">
        <f aca="false">IF(L478=1,COUNTIFS($C$2:$C$1090,C478,$L$2:$L$1090,1),"")</f>
        <v>11</v>
      </c>
      <c r="N478" s="12" t="n">
        <f aca="false">IF(L478=1,1+COUNTIFS($C$2:$C$1090,C478,$L$2:$L$1090,1,$G$2:$G$1090,"&gt;"&amp;G478),"")</f>
        <v>11</v>
      </c>
      <c r="O478" s="12" t="n">
        <f aca="false">IF(L478=1,1+COUNTIFS($C$2:$C$1090,C478,$L$2:$L$1090,1,$H$2:$H$1090,"&gt;"&amp;H478),"")</f>
        <v>11</v>
      </c>
      <c r="P478" s="12" t="n">
        <f aca="false">IF(L478=1,N478-O478,"")</f>
        <v>0</v>
      </c>
      <c r="Q478" s="12" t="n">
        <f aca="false">INDEX(Directions!$D$2:$D$100,MATCH(C478,Directions!$A$2:$A$100,0))</f>
        <v>0</v>
      </c>
      <c r="R478" s="12" t="n">
        <f aca="false">IF(L478=1,P478*Q478,"")</f>
        <v>0</v>
      </c>
      <c r="S478" s="12" t="str">
        <f aca="false">IF(L478&lt;&gt;1,"Excluded",IF(Q478=0,"No direction",IF(R478&gt;0,"Better",IF(R478&lt;0,"Worse","No change"))))</f>
        <v>No direction</v>
      </c>
      <c r="T478" s="12"/>
      <c r="U478" s="12" t="str">
        <f aca="false">C478&amp;"|"&amp;E478</f>
        <v>F5_15|SWE</v>
      </c>
    </row>
    <row r="479" customFormat="false" ht="15" hidden="false" customHeight="false" outlineLevel="0" collapsed="false">
      <c r="A479" s="12" t="n">
        <v>5</v>
      </c>
      <c r="B479" s="12" t="s">
        <v>312</v>
      </c>
      <c r="C479" s="12" t="s">
        <v>142</v>
      </c>
      <c r="D479" s="12" t="s">
        <v>143</v>
      </c>
      <c r="E479" s="12" t="s">
        <v>286</v>
      </c>
      <c r="F479" s="12" t="s">
        <v>31</v>
      </c>
      <c r="G479" s="12" t="n">
        <v>6.1</v>
      </c>
      <c r="H479" s="12" t="n">
        <v>5.34</v>
      </c>
      <c r="I479" s="12" t="s">
        <v>293</v>
      </c>
      <c r="J479" s="12" t="n">
        <v>3</v>
      </c>
      <c r="K479" s="12" t="n">
        <v>3</v>
      </c>
      <c r="L479" s="28" t="n">
        <v>1</v>
      </c>
      <c r="M479" s="12" t="n">
        <f aca="false">IF(L479=1,COUNTIFS($C$2:$C$1090,C479,$L$2:$L$1090,1),"")</f>
        <v>11</v>
      </c>
      <c r="N479" s="12" t="n">
        <f aca="false">IF(L479=1,1+COUNTIFS($C$2:$C$1090,C479,$L$2:$L$1090,1,$G$2:$G$1090,"&gt;"&amp;G479),"")</f>
        <v>3</v>
      </c>
      <c r="O479" s="12" t="n">
        <f aca="false">IF(L479=1,1+COUNTIFS($C$2:$C$1090,C479,$L$2:$L$1090,1,$H$2:$H$1090,"&gt;"&amp;H479),"")</f>
        <v>3</v>
      </c>
      <c r="P479" s="12" t="n">
        <f aca="false">IF(L479=1,N479-O479,"")</f>
        <v>0</v>
      </c>
      <c r="Q479" s="12" t="n">
        <f aca="false">INDEX(Directions!$D$2:$D$100,MATCH(C479,Directions!$A$2:$A$100,0))</f>
        <v>0</v>
      </c>
      <c r="R479" s="12" t="n">
        <f aca="false">IF(L479=1,P479*Q479,"")</f>
        <v>0</v>
      </c>
      <c r="S479" s="12" t="str">
        <f aca="false">IF(L479&lt;&gt;1,"Excluded",IF(Q479=0,"No direction",IF(R479&gt;0,"Better",IF(R479&lt;0,"Worse","No change"))))</f>
        <v>No direction</v>
      </c>
      <c r="T479" s="12"/>
      <c r="U479" s="12" t="str">
        <f aca="false">C479&amp;"|"&amp;E479</f>
        <v>F5_15|FRA</v>
      </c>
    </row>
    <row r="480" customFormat="false" ht="15" hidden="false" customHeight="false" outlineLevel="0" collapsed="false">
      <c r="A480" s="12" t="n">
        <v>5</v>
      </c>
      <c r="B480" s="12" t="s">
        <v>312</v>
      </c>
      <c r="C480" s="12" t="s">
        <v>142</v>
      </c>
      <c r="D480" s="12" t="s">
        <v>143</v>
      </c>
      <c r="E480" s="12" t="s">
        <v>32</v>
      </c>
      <c r="F480" s="12" t="s">
        <v>32</v>
      </c>
      <c r="G480" s="12" t="n">
        <v>3.3</v>
      </c>
      <c r="H480" s="12" t="n">
        <v>2.21</v>
      </c>
      <c r="I480" s="12" t="s">
        <v>293</v>
      </c>
      <c r="J480" s="12" t="n">
        <v>6</v>
      </c>
      <c r="K480" s="12" t="n">
        <v>9</v>
      </c>
      <c r="L480" s="28" t="n">
        <v>1</v>
      </c>
      <c r="M480" s="12" t="n">
        <f aca="false">IF(L480=1,COUNTIFS($C$2:$C$1090,C480,$L$2:$L$1090,1),"")</f>
        <v>11</v>
      </c>
      <c r="N480" s="12" t="n">
        <f aca="false">IF(L480=1,1+COUNTIFS($C$2:$C$1090,C480,$L$2:$L$1090,1,$G$2:$G$1090,"&gt;"&amp;G480),"")</f>
        <v>6</v>
      </c>
      <c r="O480" s="12" t="n">
        <f aca="false">IF(L480=1,1+COUNTIFS($C$2:$C$1090,C480,$L$2:$L$1090,1,$H$2:$H$1090,"&gt;"&amp;H480),"")</f>
        <v>9</v>
      </c>
      <c r="P480" s="12" t="n">
        <f aca="false">IF(L480=1,N480-O480,"")</f>
        <v>-3</v>
      </c>
      <c r="Q480" s="12" t="n">
        <f aca="false">INDEX(Directions!$D$2:$D$100,MATCH(C480,Directions!$A$2:$A$100,0))</f>
        <v>0</v>
      </c>
      <c r="R480" s="12" t="n">
        <f aca="false">IF(L480=1,P480*Q480,"")</f>
        <v>-0</v>
      </c>
      <c r="S480" s="12" t="str">
        <f aca="false">IF(L480&lt;&gt;1,"Excluded",IF(Q480=0,"No direction",IF(R480&gt;0,"Better",IF(R480&lt;0,"Worse","No change"))))</f>
        <v>No direction</v>
      </c>
      <c r="T480" s="12"/>
      <c r="U480" s="12" t="str">
        <f aca="false">C480&amp;"|"&amp;E480</f>
        <v>F5_15|NLD</v>
      </c>
    </row>
    <row r="481" customFormat="false" ht="15" hidden="false" customHeight="false" outlineLevel="0" collapsed="false">
      <c r="A481" s="12" t="n">
        <v>5</v>
      </c>
      <c r="B481" s="12" t="s">
        <v>312</v>
      </c>
      <c r="C481" s="12" t="s">
        <v>142</v>
      </c>
      <c r="D481" s="12" t="s">
        <v>143</v>
      </c>
      <c r="E481" s="12" t="s">
        <v>33</v>
      </c>
      <c r="F481" s="12" t="s">
        <v>33</v>
      </c>
      <c r="G481" s="12" t="n">
        <v>4.6</v>
      </c>
      <c r="H481" s="12" t="n">
        <v>4.2</v>
      </c>
      <c r="I481" s="12" t="s">
        <v>293</v>
      </c>
      <c r="J481" s="12" t="n">
        <v>4</v>
      </c>
      <c r="K481" s="12" t="n">
        <v>4</v>
      </c>
      <c r="L481" s="28" t="n">
        <v>1</v>
      </c>
      <c r="M481" s="12" t="n">
        <f aca="false">IF(L481=1,COUNTIFS($C$2:$C$1090,C481,$L$2:$L$1090,1),"")</f>
        <v>11</v>
      </c>
      <c r="N481" s="12" t="n">
        <f aca="false">IF(L481=1,1+COUNTIFS($C$2:$C$1090,C481,$L$2:$L$1090,1,$G$2:$G$1090,"&gt;"&amp;G481),"")</f>
        <v>4</v>
      </c>
      <c r="O481" s="12" t="n">
        <f aca="false">IF(L481=1,1+COUNTIFS($C$2:$C$1090,C481,$L$2:$L$1090,1,$H$2:$H$1090,"&gt;"&amp;H481),"")</f>
        <v>4</v>
      </c>
      <c r="P481" s="12" t="n">
        <f aca="false">IF(L481=1,N481-O481,"")</f>
        <v>0</v>
      </c>
      <c r="Q481" s="12" t="n">
        <f aca="false">INDEX(Directions!$D$2:$D$100,MATCH(C481,Directions!$A$2:$A$100,0))</f>
        <v>0</v>
      </c>
      <c r="R481" s="12" t="n">
        <f aca="false">IF(L481=1,P481*Q481,"")</f>
        <v>0</v>
      </c>
      <c r="S481" s="12" t="str">
        <f aca="false">IF(L481&lt;&gt;1,"Excluded",IF(Q481=0,"No direction",IF(R481&gt;0,"Better",IF(R481&lt;0,"Worse","No change"))))</f>
        <v>No direction</v>
      </c>
      <c r="T481" s="12"/>
      <c r="U481" s="12" t="str">
        <f aca="false">C481&amp;"|"&amp;E481</f>
        <v>F5_15|CHE</v>
      </c>
    </row>
    <row r="482" customFormat="false" ht="15" hidden="false" customHeight="false" outlineLevel="0" collapsed="false">
      <c r="A482" s="12" t="n">
        <v>5</v>
      </c>
      <c r="B482" s="12" t="s">
        <v>312</v>
      </c>
      <c r="C482" s="12" t="s">
        <v>142</v>
      </c>
      <c r="D482" s="12" t="s">
        <v>143</v>
      </c>
      <c r="E482" s="12" t="s">
        <v>287</v>
      </c>
      <c r="F482" s="12" t="s">
        <v>34</v>
      </c>
      <c r="G482" s="12" t="n">
        <v>2.7</v>
      </c>
      <c r="H482" s="12" t="n">
        <v>2.07</v>
      </c>
      <c r="I482" s="12" t="s">
        <v>282</v>
      </c>
      <c r="J482" s="12" t="n">
        <v>9</v>
      </c>
      <c r="K482" s="12" t="n">
        <v>10</v>
      </c>
      <c r="L482" s="28" t="n">
        <v>1</v>
      </c>
      <c r="M482" s="12" t="n">
        <f aca="false">IF(L482=1,COUNTIFS($C$2:$C$1090,C482,$L$2:$L$1090,1),"")</f>
        <v>11</v>
      </c>
      <c r="N482" s="12" t="n">
        <f aca="false">IF(L482=1,1+COUNTIFS($C$2:$C$1090,C482,$L$2:$L$1090,1,$G$2:$G$1090,"&gt;"&amp;G482),"")</f>
        <v>8</v>
      </c>
      <c r="O482" s="12" t="n">
        <f aca="false">IF(L482=1,1+COUNTIFS($C$2:$C$1090,C482,$L$2:$L$1090,1,$H$2:$H$1090,"&gt;"&amp;H482),"")</f>
        <v>10</v>
      </c>
      <c r="P482" s="12" t="n">
        <f aca="false">IF(L482=1,N482-O482,"")</f>
        <v>-2</v>
      </c>
      <c r="Q482" s="12" t="n">
        <f aca="false">INDEX(Directions!$D$2:$D$100,MATCH(C482,Directions!$A$2:$A$100,0))</f>
        <v>0</v>
      </c>
      <c r="R482" s="12" t="n">
        <f aca="false">IF(L482=1,P482*Q482,"")</f>
        <v>-0</v>
      </c>
      <c r="S482" s="12" t="str">
        <f aca="false">IF(L482&lt;&gt;1,"Excluded",IF(Q482=0,"No direction",IF(R482&gt;0,"Better",IF(R482&lt;0,"Worse","No change"))))</f>
        <v>No direction</v>
      </c>
      <c r="T482" s="12"/>
      <c r="U482" s="12" t="str">
        <f aca="false">C482&amp;"|"&amp;E482</f>
        <v>F5_15|DNK</v>
      </c>
    </row>
    <row r="483" customFormat="false" ht="15" hidden="false" customHeight="false" outlineLevel="0" collapsed="false">
      <c r="A483" s="12" t="n">
        <v>5</v>
      </c>
      <c r="B483" s="12" t="s">
        <v>312</v>
      </c>
      <c r="C483" s="12" t="s">
        <v>142</v>
      </c>
      <c r="D483" s="12" t="s">
        <v>143</v>
      </c>
      <c r="E483" s="12" t="s">
        <v>288</v>
      </c>
      <c r="F483" s="12" t="s">
        <v>35</v>
      </c>
      <c r="G483" s="12" t="n">
        <v>2.7</v>
      </c>
      <c r="H483" s="12" t="n">
        <v>2.38</v>
      </c>
      <c r="I483" s="12" t="s">
        <v>293</v>
      </c>
      <c r="J483" s="12" t="n">
        <v>10</v>
      </c>
      <c r="K483" s="12" t="n">
        <v>8</v>
      </c>
      <c r="L483" s="28" t="n">
        <v>1</v>
      </c>
      <c r="M483" s="12" t="n">
        <f aca="false">IF(L483=1,COUNTIFS($C$2:$C$1090,C483,$L$2:$L$1090,1),"")</f>
        <v>11</v>
      </c>
      <c r="N483" s="12" t="n">
        <f aca="false">IF(L483=1,1+COUNTIFS($C$2:$C$1090,C483,$L$2:$L$1090,1,$G$2:$G$1090,"&gt;"&amp;G483),"")</f>
        <v>8</v>
      </c>
      <c r="O483" s="12" t="n">
        <f aca="false">IF(L483=1,1+COUNTIFS($C$2:$C$1090,C483,$L$2:$L$1090,1,$H$2:$H$1090,"&gt;"&amp;H483),"")</f>
        <v>8</v>
      </c>
      <c r="P483" s="12" t="n">
        <f aca="false">IF(L483=1,N483-O483,"")</f>
        <v>0</v>
      </c>
      <c r="Q483" s="12" t="n">
        <f aca="false">INDEX(Directions!$D$2:$D$100,MATCH(C483,Directions!$A$2:$A$100,0))</f>
        <v>0</v>
      </c>
      <c r="R483" s="12" t="n">
        <f aca="false">IF(L483=1,P483*Q483,"")</f>
        <v>0</v>
      </c>
      <c r="S483" s="12" t="str">
        <f aca="false">IF(L483&lt;&gt;1,"Excluded",IF(Q483=0,"No direction",IF(R483&gt;0,"Better",IF(R483&lt;0,"Worse","No change"))))</f>
        <v>No direction</v>
      </c>
      <c r="T483" s="12"/>
      <c r="U483" s="12" t="str">
        <f aca="false">C483&amp;"|"&amp;E483</f>
        <v>F5_15|CAN</v>
      </c>
    </row>
    <row r="484" customFormat="false" ht="15" hidden="false" customHeight="false" outlineLevel="0" collapsed="false">
      <c r="A484" s="12" t="n">
        <v>5</v>
      </c>
      <c r="B484" s="12" t="s">
        <v>312</v>
      </c>
      <c r="C484" s="12" t="s">
        <v>142</v>
      </c>
      <c r="D484" s="12" t="s">
        <v>143</v>
      </c>
      <c r="E484" s="12" t="s">
        <v>289</v>
      </c>
      <c r="F484" s="12" t="s">
        <v>36</v>
      </c>
      <c r="G484" s="12" t="n">
        <v>13.2</v>
      </c>
      <c r="H484" s="12" t="n">
        <v>12.46</v>
      </c>
      <c r="I484" s="12" t="s">
        <v>293</v>
      </c>
      <c r="J484" s="12" t="n">
        <v>1</v>
      </c>
      <c r="K484" s="12" t="n">
        <v>1</v>
      </c>
      <c r="L484" s="28" t="n">
        <v>1</v>
      </c>
      <c r="M484" s="12" t="n">
        <f aca="false">IF(L484=1,COUNTIFS($C$2:$C$1090,C484,$L$2:$L$1090,1),"")</f>
        <v>11</v>
      </c>
      <c r="N484" s="12" t="n">
        <f aca="false">IF(L484=1,1+COUNTIFS($C$2:$C$1090,C484,$L$2:$L$1090,1,$G$2:$G$1090,"&gt;"&amp;G484),"")</f>
        <v>1</v>
      </c>
      <c r="O484" s="12" t="n">
        <f aca="false">IF(L484=1,1+COUNTIFS($C$2:$C$1090,C484,$L$2:$L$1090,1,$H$2:$H$1090,"&gt;"&amp;H484),"")</f>
        <v>1</v>
      </c>
      <c r="P484" s="12" t="n">
        <f aca="false">IF(L484=1,N484-O484,"")</f>
        <v>0</v>
      </c>
      <c r="Q484" s="12" t="n">
        <f aca="false">INDEX(Directions!$D$2:$D$100,MATCH(C484,Directions!$A$2:$A$100,0))</f>
        <v>0</v>
      </c>
      <c r="R484" s="12" t="n">
        <f aca="false">IF(L484=1,P484*Q484,"")</f>
        <v>0</v>
      </c>
      <c r="S484" s="12" t="str">
        <f aca="false">IF(L484&lt;&gt;1,"Excluded",IF(Q484=0,"No direction",IF(R484&gt;0,"Better",IF(R484&lt;0,"Worse","No change"))))</f>
        <v>No direction</v>
      </c>
      <c r="T484" s="12"/>
      <c r="U484" s="12" t="str">
        <f aca="false">C484&amp;"|"&amp;E484</f>
        <v>F5_15|JPN</v>
      </c>
    </row>
    <row r="485" customFormat="false" ht="15" hidden="false" customHeight="false" outlineLevel="0" collapsed="false">
      <c r="A485" s="12" t="n">
        <v>5</v>
      </c>
      <c r="B485" s="12" t="s">
        <v>312</v>
      </c>
      <c r="C485" s="12" t="s">
        <v>142</v>
      </c>
      <c r="D485" s="12" t="s">
        <v>143</v>
      </c>
      <c r="E485" s="12" t="s">
        <v>290</v>
      </c>
      <c r="F485" s="12" t="s">
        <v>37</v>
      </c>
      <c r="G485" s="12" t="n">
        <v>3.8</v>
      </c>
      <c r="H485" s="12" t="n">
        <v>3.84</v>
      </c>
      <c r="I485" s="12" t="s">
        <v>319</v>
      </c>
      <c r="J485" s="12" t="n">
        <v>5</v>
      </c>
      <c r="K485" s="12" t="n">
        <v>5</v>
      </c>
      <c r="L485" s="28" t="n">
        <v>1</v>
      </c>
      <c r="M485" s="12" t="n">
        <f aca="false">IF(L485=1,COUNTIFS($C$2:$C$1090,C485,$L$2:$L$1090,1),"")</f>
        <v>11</v>
      </c>
      <c r="N485" s="12" t="n">
        <f aca="false">IF(L485=1,1+COUNTIFS($C$2:$C$1090,C485,$L$2:$L$1090,1,$G$2:$G$1090,"&gt;"&amp;G485),"")</f>
        <v>5</v>
      </c>
      <c r="O485" s="12" t="n">
        <f aca="false">IF(L485=1,1+COUNTIFS($C$2:$C$1090,C485,$L$2:$L$1090,1,$H$2:$H$1090,"&gt;"&amp;H485),"")</f>
        <v>5</v>
      </c>
      <c r="P485" s="12" t="n">
        <f aca="false">IF(L485=1,N485-O485,"")</f>
        <v>0</v>
      </c>
      <c r="Q485" s="12" t="n">
        <f aca="false">INDEX(Directions!$D$2:$D$100,MATCH(C485,Directions!$A$2:$A$100,0))</f>
        <v>0</v>
      </c>
      <c r="R485" s="12" t="n">
        <f aca="false">IF(L485=1,P485*Q485,"")</f>
        <v>0</v>
      </c>
      <c r="S485" s="12" t="str">
        <f aca="false">IF(L485&lt;&gt;1,"Excluded",IF(Q485=0,"No direction",IF(R485&gt;0,"Better",IF(R485&lt;0,"Worse","No change"))))</f>
        <v>No direction</v>
      </c>
      <c r="T485" s="12"/>
      <c r="U485" s="12" t="str">
        <f aca="false">C485&amp;"|"&amp;E485</f>
        <v>F5_15|AUS</v>
      </c>
    </row>
    <row r="486" customFormat="false" ht="15" hidden="false" customHeight="false" outlineLevel="0" collapsed="false">
      <c r="A486" s="12" t="n">
        <v>5</v>
      </c>
      <c r="B486" s="12" t="s">
        <v>312</v>
      </c>
      <c r="C486" s="12" t="s">
        <v>144</v>
      </c>
      <c r="D486" s="12" t="s">
        <v>145</v>
      </c>
      <c r="E486" s="12" t="s">
        <v>281</v>
      </c>
      <c r="F486" s="12" t="s">
        <v>27</v>
      </c>
      <c r="G486" s="12" t="n">
        <v>38.8</v>
      </c>
      <c r="H486" s="12" t="n">
        <v>27.2</v>
      </c>
      <c r="I486" s="12" t="s">
        <v>294</v>
      </c>
      <c r="J486" s="12" t="n">
        <v>10</v>
      </c>
      <c r="K486" s="12" t="n">
        <v>10</v>
      </c>
      <c r="L486" s="28" t="n">
        <v>1</v>
      </c>
      <c r="M486" s="12" t="n">
        <f aca="false">IF(L486=1,COUNTIFS($C$2:$C$1090,C486,$L$2:$L$1090,1),"")</f>
        <v>11</v>
      </c>
      <c r="N486" s="12" t="n">
        <f aca="false">IF(L486=1,1+COUNTIFS($C$2:$C$1090,C486,$L$2:$L$1090,1,$G$2:$G$1090,"&gt;"&amp;G486),"")</f>
        <v>10</v>
      </c>
      <c r="O486" s="12" t="n">
        <f aca="false">IF(L486=1,1+COUNTIFS($C$2:$C$1090,C486,$L$2:$L$1090,1,$H$2:$H$1090,"&gt;"&amp;H486),"")</f>
        <v>10</v>
      </c>
      <c r="P486" s="12" t="n">
        <f aca="false">IF(L486=1,N486-O486,"")</f>
        <v>0</v>
      </c>
      <c r="Q486" s="12" t="n">
        <f aca="false">INDEX(Directions!$D$2:$D$100,MATCH(C486,Directions!$A$2:$A$100,0))</f>
        <v>0</v>
      </c>
      <c r="R486" s="12" t="n">
        <f aca="false">IF(L486=1,P486*Q486,"")</f>
        <v>0</v>
      </c>
      <c r="S486" s="12" t="str">
        <f aca="false">IF(L486&lt;&gt;1,"Excluded",IF(Q486=0,"No direction",IF(R486&gt;0,"Better",IF(R486&lt;0,"Worse","No change"))))</f>
        <v>No direction</v>
      </c>
      <c r="T486" s="12" t="s">
        <v>320</v>
      </c>
      <c r="U486" s="12" t="str">
        <f aca="false">C486&amp;"|"&amp;E486</f>
        <v>F5_16|USA</v>
      </c>
    </row>
    <row r="487" customFormat="false" ht="15" hidden="false" customHeight="false" outlineLevel="0" collapsed="false">
      <c r="A487" s="12" t="n">
        <v>5</v>
      </c>
      <c r="B487" s="12" t="s">
        <v>312</v>
      </c>
      <c r="C487" s="12" t="s">
        <v>144</v>
      </c>
      <c r="D487" s="12" t="s">
        <v>145</v>
      </c>
      <c r="E487" s="12" t="s">
        <v>283</v>
      </c>
      <c r="F487" s="12" t="s">
        <v>28</v>
      </c>
      <c r="G487" s="12" t="n">
        <v>49.5</v>
      </c>
      <c r="H487" s="12" t="n">
        <v>41</v>
      </c>
      <c r="I487" s="12" t="s">
        <v>293</v>
      </c>
      <c r="J487" s="12" t="n">
        <v>8</v>
      </c>
      <c r="K487" s="12" t="n">
        <v>8</v>
      </c>
      <c r="L487" s="28" t="n">
        <v>1</v>
      </c>
      <c r="M487" s="12" t="n">
        <f aca="false">IF(L487=1,COUNTIFS($C$2:$C$1090,C487,$L$2:$L$1090,1),"")</f>
        <v>11</v>
      </c>
      <c r="N487" s="12" t="n">
        <f aca="false">IF(L487=1,1+COUNTIFS($C$2:$C$1090,C487,$L$2:$L$1090,1,$G$2:$G$1090,"&gt;"&amp;G487),"")</f>
        <v>8</v>
      </c>
      <c r="O487" s="12" t="n">
        <f aca="false">IF(L487=1,1+COUNTIFS($C$2:$C$1090,C487,$L$2:$L$1090,1,$H$2:$H$1090,"&gt;"&amp;H487),"")</f>
        <v>8</v>
      </c>
      <c r="P487" s="12" t="n">
        <f aca="false">IF(L487=1,N487-O487,"")</f>
        <v>0</v>
      </c>
      <c r="Q487" s="12" t="n">
        <f aca="false">INDEX(Directions!$D$2:$D$100,MATCH(C487,Directions!$A$2:$A$100,0))</f>
        <v>0</v>
      </c>
      <c r="R487" s="12" t="n">
        <f aca="false">IF(L487=1,P487*Q487,"")</f>
        <v>0</v>
      </c>
      <c r="S487" s="12" t="str">
        <f aca="false">IF(L487&lt;&gt;1,"Excluded",IF(Q487=0,"No direction",IF(R487&gt;0,"Better",IF(R487&lt;0,"Worse","No change"))))</f>
        <v>No direction</v>
      </c>
      <c r="T487" s="12" t="s">
        <v>320</v>
      </c>
      <c r="U487" s="12" t="str">
        <f aca="false">C487&amp;"|"&amp;E487</f>
        <v>F5_16|GBR</v>
      </c>
    </row>
    <row r="488" customFormat="false" ht="15" hidden="false" customHeight="false" outlineLevel="0" collapsed="false">
      <c r="A488" s="12" t="n">
        <v>5</v>
      </c>
      <c r="B488" s="12" t="s">
        <v>312</v>
      </c>
      <c r="C488" s="12" t="s">
        <v>144</v>
      </c>
      <c r="D488" s="12" t="s">
        <v>145</v>
      </c>
      <c r="E488" s="12" t="s">
        <v>284</v>
      </c>
      <c r="F488" s="12" t="s">
        <v>29</v>
      </c>
      <c r="G488" s="12" t="n">
        <v>53.1</v>
      </c>
      <c r="H488" s="12" t="n">
        <v>53</v>
      </c>
      <c r="I488" s="12" t="s">
        <v>293</v>
      </c>
      <c r="J488" s="12" t="n">
        <v>7</v>
      </c>
      <c r="K488" s="12" t="n">
        <v>4</v>
      </c>
      <c r="L488" s="28" t="n">
        <v>1</v>
      </c>
      <c r="M488" s="12" t="n">
        <f aca="false">IF(L488=1,COUNTIFS($C$2:$C$1090,C488,$L$2:$L$1090,1),"")</f>
        <v>11</v>
      </c>
      <c r="N488" s="12" t="n">
        <f aca="false">IF(L488=1,1+COUNTIFS($C$2:$C$1090,C488,$L$2:$L$1090,1,$G$2:$G$1090,"&gt;"&amp;G488),"")</f>
        <v>7</v>
      </c>
      <c r="O488" s="12" t="n">
        <f aca="false">IF(L488=1,1+COUNTIFS($C$2:$C$1090,C488,$L$2:$L$1090,1,$H$2:$H$1090,"&gt;"&amp;H488),"")</f>
        <v>4</v>
      </c>
      <c r="P488" s="12" t="n">
        <f aca="false">IF(L488=1,N488-O488,"")</f>
        <v>3</v>
      </c>
      <c r="Q488" s="12" t="n">
        <f aca="false">INDEX(Directions!$D$2:$D$100,MATCH(C488,Directions!$A$2:$A$100,0))</f>
        <v>0</v>
      </c>
      <c r="R488" s="12" t="n">
        <f aca="false">IF(L488=1,P488*Q488,"")</f>
        <v>0</v>
      </c>
      <c r="S488" s="12" t="str">
        <f aca="false">IF(L488&lt;&gt;1,"Excluded",IF(Q488=0,"No direction",IF(R488&gt;0,"Better",IF(R488&lt;0,"Worse","No change"))))</f>
        <v>No direction</v>
      </c>
      <c r="T488" s="12" t="s">
        <v>320</v>
      </c>
      <c r="U488" s="12" t="str">
        <f aca="false">C488&amp;"|"&amp;E488</f>
        <v>F5_16|DEU</v>
      </c>
    </row>
    <row r="489" customFormat="false" ht="15" hidden="false" customHeight="false" outlineLevel="0" collapsed="false">
      <c r="A489" s="12" t="n">
        <v>5</v>
      </c>
      <c r="B489" s="12" t="s">
        <v>312</v>
      </c>
      <c r="C489" s="12" t="s">
        <v>144</v>
      </c>
      <c r="D489" s="12" t="s">
        <v>145</v>
      </c>
      <c r="E489" s="12" t="s">
        <v>285</v>
      </c>
      <c r="F489" s="12" t="s">
        <v>30</v>
      </c>
      <c r="G489" s="12" t="n">
        <v>70.6</v>
      </c>
      <c r="H489" s="12" t="n">
        <v>63.1</v>
      </c>
      <c r="I489" s="12" t="s">
        <v>293</v>
      </c>
      <c r="J489" s="12" t="n">
        <v>1</v>
      </c>
      <c r="K489" s="12" t="n">
        <v>2</v>
      </c>
      <c r="L489" s="28" t="n">
        <v>1</v>
      </c>
      <c r="M489" s="12" t="n">
        <f aca="false">IF(L489=1,COUNTIFS($C$2:$C$1090,C489,$L$2:$L$1090,1),"")</f>
        <v>11</v>
      </c>
      <c r="N489" s="12" t="n">
        <f aca="false">IF(L489=1,1+COUNTIFS($C$2:$C$1090,C489,$L$2:$L$1090,1,$G$2:$G$1090,"&gt;"&amp;G489),"")</f>
        <v>1</v>
      </c>
      <c r="O489" s="12" t="n">
        <f aca="false">IF(L489=1,1+COUNTIFS($C$2:$C$1090,C489,$L$2:$L$1090,1,$H$2:$H$1090,"&gt;"&amp;H489),"")</f>
        <v>2</v>
      </c>
      <c r="P489" s="12" t="n">
        <f aca="false">IF(L489=1,N489-O489,"")</f>
        <v>-1</v>
      </c>
      <c r="Q489" s="12" t="n">
        <f aca="false">INDEX(Directions!$D$2:$D$100,MATCH(C489,Directions!$A$2:$A$100,0))</f>
        <v>0</v>
      </c>
      <c r="R489" s="12" t="n">
        <f aca="false">IF(L489=1,P489*Q489,"")</f>
        <v>-0</v>
      </c>
      <c r="S489" s="12" t="str">
        <f aca="false">IF(L489&lt;&gt;1,"Excluded",IF(Q489=0,"No direction",IF(R489&gt;0,"Better",IF(R489&lt;0,"Worse","No change"))))</f>
        <v>No direction</v>
      </c>
      <c r="T489" s="12" t="s">
        <v>320</v>
      </c>
      <c r="U489" s="12" t="str">
        <f aca="false">C489&amp;"|"&amp;E489</f>
        <v>F5_16|SWE</v>
      </c>
    </row>
    <row r="490" customFormat="false" ht="15" hidden="false" customHeight="false" outlineLevel="0" collapsed="false">
      <c r="A490" s="12" t="n">
        <v>5</v>
      </c>
      <c r="B490" s="12" t="s">
        <v>312</v>
      </c>
      <c r="C490" s="12" t="s">
        <v>144</v>
      </c>
      <c r="D490" s="12" t="s">
        <v>145</v>
      </c>
      <c r="E490" s="12" t="s">
        <v>286</v>
      </c>
      <c r="F490" s="12" t="s">
        <v>31</v>
      </c>
      <c r="G490" s="12" t="n">
        <v>59</v>
      </c>
      <c r="H490" s="12" t="n">
        <v>45.1</v>
      </c>
      <c r="I490" s="12" t="s">
        <v>293</v>
      </c>
      <c r="J490" s="12" t="n">
        <v>4</v>
      </c>
      <c r="K490" s="12" t="n">
        <v>5</v>
      </c>
      <c r="L490" s="28" t="n">
        <v>1</v>
      </c>
      <c r="M490" s="12" t="n">
        <f aca="false">IF(L490=1,COUNTIFS($C$2:$C$1090,C490,$L$2:$L$1090,1),"")</f>
        <v>11</v>
      </c>
      <c r="N490" s="12" t="n">
        <f aca="false">IF(L490=1,1+COUNTIFS($C$2:$C$1090,C490,$L$2:$L$1090,1,$G$2:$G$1090,"&gt;"&amp;G490),"")</f>
        <v>4</v>
      </c>
      <c r="O490" s="12" t="n">
        <f aca="false">IF(L490=1,1+COUNTIFS($C$2:$C$1090,C490,$L$2:$L$1090,1,$H$2:$H$1090,"&gt;"&amp;H490),"")</f>
        <v>5</v>
      </c>
      <c r="P490" s="12" t="n">
        <f aca="false">IF(L490=1,N490-O490,"")</f>
        <v>-1</v>
      </c>
      <c r="Q490" s="12" t="n">
        <f aca="false">INDEX(Directions!$D$2:$D$100,MATCH(C490,Directions!$A$2:$A$100,0))</f>
        <v>0</v>
      </c>
      <c r="R490" s="12" t="n">
        <f aca="false">IF(L490=1,P490*Q490,"")</f>
        <v>-0</v>
      </c>
      <c r="S490" s="12" t="str">
        <f aca="false">IF(L490&lt;&gt;1,"Excluded",IF(Q490=0,"No direction",IF(R490&gt;0,"Better",IF(R490&lt;0,"Worse","No change"))))</f>
        <v>No direction</v>
      </c>
      <c r="T490" s="12" t="s">
        <v>320</v>
      </c>
      <c r="U490" s="12" t="str">
        <f aca="false">C490&amp;"|"&amp;E490</f>
        <v>F5_16|FRA</v>
      </c>
    </row>
    <row r="491" customFormat="false" ht="15" hidden="false" customHeight="false" outlineLevel="0" collapsed="false">
      <c r="A491" s="12" t="n">
        <v>5</v>
      </c>
      <c r="B491" s="12" t="s">
        <v>312</v>
      </c>
      <c r="C491" s="12" t="s">
        <v>144</v>
      </c>
      <c r="D491" s="12" t="s">
        <v>145</v>
      </c>
      <c r="E491" s="12" t="s">
        <v>32</v>
      </c>
      <c r="F491" s="12" t="s">
        <v>32</v>
      </c>
      <c r="G491" s="12" t="n">
        <v>65.5</v>
      </c>
      <c r="H491" s="12" t="n">
        <v>68</v>
      </c>
      <c r="I491" s="12" t="s">
        <v>293</v>
      </c>
      <c r="J491" s="12" t="n">
        <v>3</v>
      </c>
      <c r="K491" s="12" t="n">
        <v>1</v>
      </c>
      <c r="L491" s="28" t="n">
        <v>1</v>
      </c>
      <c r="M491" s="12" t="n">
        <f aca="false">IF(L491=1,COUNTIFS($C$2:$C$1090,C491,$L$2:$L$1090,1),"")</f>
        <v>11</v>
      </c>
      <c r="N491" s="12" t="n">
        <f aca="false">IF(L491=1,1+COUNTIFS($C$2:$C$1090,C491,$L$2:$L$1090,1,$G$2:$G$1090,"&gt;"&amp;G491),"")</f>
        <v>3</v>
      </c>
      <c r="O491" s="12" t="n">
        <f aca="false">IF(L491=1,1+COUNTIFS($C$2:$C$1090,C491,$L$2:$L$1090,1,$H$2:$H$1090,"&gt;"&amp;H491),"")</f>
        <v>1</v>
      </c>
      <c r="P491" s="12" t="n">
        <f aca="false">IF(L491=1,N491-O491,"")</f>
        <v>2</v>
      </c>
      <c r="Q491" s="12" t="n">
        <f aca="false">INDEX(Directions!$D$2:$D$100,MATCH(C491,Directions!$A$2:$A$100,0))</f>
        <v>0</v>
      </c>
      <c r="R491" s="12" t="n">
        <f aca="false">IF(L491=1,P491*Q491,"")</f>
        <v>0</v>
      </c>
      <c r="S491" s="12" t="str">
        <f aca="false">IF(L491&lt;&gt;1,"Excluded",IF(Q491=0,"No direction",IF(R491&gt;0,"Better",IF(R491&lt;0,"Worse","No change"))))</f>
        <v>No direction</v>
      </c>
      <c r="T491" s="12" t="s">
        <v>320</v>
      </c>
      <c r="U491" s="12" t="str">
        <f aca="false">C491&amp;"|"&amp;E491</f>
        <v>F5_16|NLD</v>
      </c>
    </row>
    <row r="492" customFormat="false" ht="15" hidden="false" customHeight="false" outlineLevel="0" collapsed="false">
      <c r="A492" s="12" t="n">
        <v>5</v>
      </c>
      <c r="B492" s="12" t="s">
        <v>312</v>
      </c>
      <c r="C492" s="12" t="s">
        <v>144</v>
      </c>
      <c r="D492" s="12" t="s">
        <v>145</v>
      </c>
      <c r="E492" s="12" t="s">
        <v>33</v>
      </c>
      <c r="F492" s="12" t="s">
        <v>33</v>
      </c>
      <c r="G492" s="12" t="n">
        <v>67.6</v>
      </c>
      <c r="H492" s="12" t="n">
        <v>58.3</v>
      </c>
      <c r="I492" s="12" t="s">
        <v>293</v>
      </c>
      <c r="J492" s="12" t="n">
        <v>2</v>
      </c>
      <c r="K492" s="12" t="n">
        <v>3</v>
      </c>
      <c r="L492" s="28" t="n">
        <v>1</v>
      </c>
      <c r="M492" s="12" t="n">
        <f aca="false">IF(L492=1,COUNTIFS($C$2:$C$1090,C492,$L$2:$L$1090,1),"")</f>
        <v>11</v>
      </c>
      <c r="N492" s="12" t="n">
        <f aca="false">IF(L492=1,1+COUNTIFS($C$2:$C$1090,C492,$L$2:$L$1090,1,$G$2:$G$1090,"&gt;"&amp;G492),"")</f>
        <v>2</v>
      </c>
      <c r="O492" s="12" t="n">
        <f aca="false">IF(L492=1,1+COUNTIFS($C$2:$C$1090,C492,$L$2:$L$1090,1,$H$2:$H$1090,"&gt;"&amp;H492),"")</f>
        <v>3</v>
      </c>
      <c r="P492" s="12" t="n">
        <f aca="false">IF(L492=1,N492-O492,"")</f>
        <v>-1</v>
      </c>
      <c r="Q492" s="12" t="n">
        <f aca="false">INDEX(Directions!$D$2:$D$100,MATCH(C492,Directions!$A$2:$A$100,0))</f>
        <v>0</v>
      </c>
      <c r="R492" s="12" t="n">
        <f aca="false">IF(L492=1,P492*Q492,"")</f>
        <v>-0</v>
      </c>
      <c r="S492" s="12" t="str">
        <f aca="false">IF(L492&lt;&gt;1,"Excluded",IF(Q492=0,"No direction",IF(R492&gt;0,"Better",IF(R492&lt;0,"Worse","No change"))))</f>
        <v>No direction</v>
      </c>
      <c r="T492" s="12" t="s">
        <v>320</v>
      </c>
      <c r="U492" s="12" t="str">
        <f aca="false">C492&amp;"|"&amp;E492</f>
        <v>F5_16|CHE</v>
      </c>
    </row>
    <row r="493" customFormat="false" ht="15" hidden="false" customHeight="false" outlineLevel="0" collapsed="false">
      <c r="A493" s="12" t="n">
        <v>5</v>
      </c>
      <c r="B493" s="12" t="s">
        <v>312</v>
      </c>
      <c r="C493" s="12" t="s">
        <v>144</v>
      </c>
      <c r="D493" s="12" t="s">
        <v>145</v>
      </c>
      <c r="E493" s="12" t="s">
        <v>287</v>
      </c>
      <c r="F493" s="12" t="s">
        <v>34</v>
      </c>
      <c r="G493" s="12" t="n">
        <v>48.9</v>
      </c>
      <c r="H493" s="12" t="n">
        <v>35</v>
      </c>
      <c r="I493" s="12" t="s">
        <v>282</v>
      </c>
      <c r="J493" s="12" t="n">
        <v>9</v>
      </c>
      <c r="K493" s="12" t="n">
        <v>9</v>
      </c>
      <c r="L493" s="28" t="n">
        <v>1</v>
      </c>
      <c r="M493" s="12" t="n">
        <f aca="false">IF(L493=1,COUNTIFS($C$2:$C$1090,C493,$L$2:$L$1090,1),"")</f>
        <v>11</v>
      </c>
      <c r="N493" s="12" t="n">
        <f aca="false">IF(L493=1,1+COUNTIFS($C$2:$C$1090,C493,$L$2:$L$1090,1,$G$2:$G$1090,"&gt;"&amp;G493),"")</f>
        <v>9</v>
      </c>
      <c r="O493" s="12" t="n">
        <f aca="false">IF(L493=1,1+COUNTIFS($C$2:$C$1090,C493,$L$2:$L$1090,1,$H$2:$H$1090,"&gt;"&amp;H493),"")</f>
        <v>9</v>
      </c>
      <c r="P493" s="12" t="n">
        <f aca="false">IF(L493=1,N493-O493,"")</f>
        <v>0</v>
      </c>
      <c r="Q493" s="12" t="n">
        <f aca="false">INDEX(Directions!$D$2:$D$100,MATCH(C493,Directions!$A$2:$A$100,0))</f>
        <v>0</v>
      </c>
      <c r="R493" s="12" t="n">
        <f aca="false">IF(L493=1,P493*Q493,"")</f>
        <v>0</v>
      </c>
      <c r="S493" s="12" t="str">
        <f aca="false">IF(L493&lt;&gt;1,"Excluded",IF(Q493=0,"No direction",IF(R493&gt;0,"Better",IF(R493&lt;0,"Worse","No change"))))</f>
        <v>No direction</v>
      </c>
      <c r="T493" s="12" t="s">
        <v>320</v>
      </c>
      <c r="U493" s="12" t="str">
        <f aca="false">C493&amp;"|"&amp;E493</f>
        <v>F5_16|DNK</v>
      </c>
    </row>
    <row r="494" customFormat="false" ht="15" hidden="false" customHeight="false" outlineLevel="0" collapsed="false">
      <c r="A494" s="12" t="n">
        <v>5</v>
      </c>
      <c r="B494" s="12" t="s">
        <v>312</v>
      </c>
      <c r="C494" s="12" t="s">
        <v>144</v>
      </c>
      <c r="D494" s="12" t="s">
        <v>145</v>
      </c>
      <c r="E494" s="12" t="s">
        <v>288</v>
      </c>
      <c r="F494" s="12" t="s">
        <v>35</v>
      </c>
      <c r="G494" s="12" t="n">
        <v>53.7</v>
      </c>
      <c r="H494" s="12" t="n">
        <v>43.2</v>
      </c>
      <c r="I494" s="12" t="s">
        <v>282</v>
      </c>
      <c r="J494" s="12" t="n">
        <v>6</v>
      </c>
      <c r="K494" s="12" t="n">
        <v>7</v>
      </c>
      <c r="L494" s="28" t="n">
        <v>1</v>
      </c>
      <c r="M494" s="12" t="n">
        <f aca="false">IF(L494=1,COUNTIFS($C$2:$C$1090,C494,$L$2:$L$1090,1),"")</f>
        <v>11</v>
      </c>
      <c r="N494" s="12" t="n">
        <f aca="false">IF(L494=1,1+COUNTIFS($C$2:$C$1090,C494,$L$2:$L$1090,1,$G$2:$G$1090,"&gt;"&amp;G494),"")</f>
        <v>6</v>
      </c>
      <c r="O494" s="12" t="n">
        <f aca="false">IF(L494=1,1+COUNTIFS($C$2:$C$1090,C494,$L$2:$L$1090,1,$H$2:$H$1090,"&gt;"&amp;H494),"")</f>
        <v>7</v>
      </c>
      <c r="P494" s="12" t="n">
        <f aca="false">IF(L494=1,N494-O494,"")</f>
        <v>-1</v>
      </c>
      <c r="Q494" s="12" t="n">
        <f aca="false">INDEX(Directions!$D$2:$D$100,MATCH(C494,Directions!$A$2:$A$100,0))</f>
        <v>0</v>
      </c>
      <c r="R494" s="12" t="n">
        <f aca="false">IF(L494=1,P494*Q494,"")</f>
        <v>-0</v>
      </c>
      <c r="S494" s="12" t="str">
        <f aca="false">IF(L494&lt;&gt;1,"Excluded",IF(Q494=0,"No direction",IF(R494&gt;0,"Better",IF(R494&lt;0,"Worse","No change"))))</f>
        <v>No direction</v>
      </c>
      <c r="T494" s="12" t="s">
        <v>320</v>
      </c>
      <c r="U494" s="12" t="str">
        <f aca="false">C494&amp;"|"&amp;E494</f>
        <v>F5_16|CAN</v>
      </c>
    </row>
    <row r="495" customFormat="false" ht="15" hidden="false" customHeight="false" outlineLevel="0" collapsed="false">
      <c r="A495" s="12" t="n">
        <v>5</v>
      </c>
      <c r="B495" s="12" t="s">
        <v>312</v>
      </c>
      <c r="C495" s="12" t="s">
        <v>144</v>
      </c>
      <c r="D495" s="12" t="s">
        <v>145</v>
      </c>
      <c r="E495" s="12" t="s">
        <v>289</v>
      </c>
      <c r="F495" s="12" t="s">
        <v>36</v>
      </c>
      <c r="G495" s="12" t="n">
        <v>35.1</v>
      </c>
      <c r="H495" s="12" t="n">
        <v>26.9</v>
      </c>
      <c r="I495" s="12" t="s">
        <v>293</v>
      </c>
      <c r="J495" s="12" t="n">
        <v>11</v>
      </c>
      <c r="K495" s="12" t="n">
        <v>11</v>
      </c>
      <c r="L495" s="28" t="n">
        <v>1</v>
      </c>
      <c r="M495" s="12" t="n">
        <f aca="false">IF(L495=1,COUNTIFS($C$2:$C$1090,C495,$L$2:$L$1090,1),"")</f>
        <v>11</v>
      </c>
      <c r="N495" s="12" t="n">
        <f aca="false">IF(L495=1,1+COUNTIFS($C$2:$C$1090,C495,$L$2:$L$1090,1,$G$2:$G$1090,"&gt;"&amp;G495),"")</f>
        <v>11</v>
      </c>
      <c r="O495" s="12" t="n">
        <f aca="false">IF(L495=1,1+COUNTIFS($C$2:$C$1090,C495,$L$2:$L$1090,1,$H$2:$H$1090,"&gt;"&amp;H495),"")</f>
        <v>11</v>
      </c>
      <c r="P495" s="12" t="n">
        <f aca="false">IF(L495=1,N495-O495,"")</f>
        <v>0</v>
      </c>
      <c r="Q495" s="12" t="n">
        <f aca="false">INDEX(Directions!$D$2:$D$100,MATCH(C495,Directions!$A$2:$A$100,0))</f>
        <v>0</v>
      </c>
      <c r="R495" s="12" t="n">
        <f aca="false">IF(L495=1,P495*Q495,"")</f>
        <v>0</v>
      </c>
      <c r="S495" s="12" t="str">
        <f aca="false">IF(L495&lt;&gt;1,"Excluded",IF(Q495=0,"No direction",IF(R495&gt;0,"Better",IF(R495&lt;0,"Worse","No change"))))</f>
        <v>No direction</v>
      </c>
      <c r="T495" s="12" t="s">
        <v>320</v>
      </c>
      <c r="U495" s="12" t="str">
        <f aca="false">C495&amp;"|"&amp;E495</f>
        <v>F5_16|JPN</v>
      </c>
    </row>
    <row r="496" customFormat="false" ht="15" hidden="false" customHeight="false" outlineLevel="0" collapsed="false">
      <c r="A496" s="12" t="n">
        <v>5</v>
      </c>
      <c r="B496" s="12" t="s">
        <v>312</v>
      </c>
      <c r="C496" s="12" t="s">
        <v>144</v>
      </c>
      <c r="D496" s="12" t="s">
        <v>145</v>
      </c>
      <c r="E496" s="12" t="s">
        <v>290</v>
      </c>
      <c r="F496" s="12" t="s">
        <v>37</v>
      </c>
      <c r="G496" s="12" t="n">
        <v>54</v>
      </c>
      <c r="H496" s="12" t="n">
        <v>44.7</v>
      </c>
      <c r="I496" s="12" t="s">
        <v>282</v>
      </c>
      <c r="J496" s="12" t="n">
        <v>5</v>
      </c>
      <c r="K496" s="12" t="n">
        <v>6</v>
      </c>
      <c r="L496" s="28" t="n">
        <v>1</v>
      </c>
      <c r="M496" s="12" t="n">
        <f aca="false">IF(L496=1,COUNTIFS($C$2:$C$1090,C496,$L$2:$L$1090,1),"")</f>
        <v>11</v>
      </c>
      <c r="N496" s="12" t="n">
        <f aca="false">IF(L496=1,1+COUNTIFS($C$2:$C$1090,C496,$L$2:$L$1090,1,$G$2:$G$1090,"&gt;"&amp;G496),"")</f>
        <v>5</v>
      </c>
      <c r="O496" s="12" t="n">
        <f aca="false">IF(L496=1,1+COUNTIFS($C$2:$C$1090,C496,$L$2:$L$1090,1,$H$2:$H$1090,"&gt;"&amp;H496),"")</f>
        <v>6</v>
      </c>
      <c r="P496" s="12" t="n">
        <f aca="false">IF(L496=1,N496-O496,"")</f>
        <v>-1</v>
      </c>
      <c r="Q496" s="12" t="n">
        <f aca="false">INDEX(Directions!$D$2:$D$100,MATCH(C496,Directions!$A$2:$A$100,0))</f>
        <v>0</v>
      </c>
      <c r="R496" s="12" t="n">
        <f aca="false">IF(L496=1,P496*Q496,"")</f>
        <v>-0</v>
      </c>
      <c r="S496" s="12" t="str">
        <f aca="false">IF(L496&lt;&gt;1,"Excluded",IF(Q496=0,"No direction",IF(R496&gt;0,"Better",IF(R496&lt;0,"Worse","No change"))))</f>
        <v>No direction</v>
      </c>
      <c r="T496" s="12" t="s">
        <v>320</v>
      </c>
      <c r="U496" s="12" t="str">
        <f aca="false">C496&amp;"|"&amp;E496</f>
        <v>F5_16|AUS</v>
      </c>
    </row>
    <row r="497" customFormat="false" ht="15" hidden="false" customHeight="false" outlineLevel="0" collapsed="false">
      <c r="A497" s="12" t="n">
        <v>7</v>
      </c>
      <c r="B497" s="12" t="s">
        <v>321</v>
      </c>
      <c r="C497" s="12" t="s">
        <v>146</v>
      </c>
      <c r="D497" s="12" t="s">
        <v>147</v>
      </c>
      <c r="E497" s="12" t="s">
        <v>281</v>
      </c>
      <c r="F497" s="12" t="s">
        <v>27</v>
      </c>
      <c r="G497" s="12" t="n">
        <v>192</v>
      </c>
      <c r="H497" s="12" t="n">
        <v>192</v>
      </c>
      <c r="I497" s="12" t="s">
        <v>322</v>
      </c>
      <c r="J497" s="12" t="n">
        <v>6</v>
      </c>
      <c r="K497" s="12" t="n">
        <v>2</v>
      </c>
      <c r="L497" s="28" t="n">
        <v>1</v>
      </c>
      <c r="M497" s="12" t="n">
        <f aca="false">IF(L497=1,COUNTIFS($C$2:$C$1090,C497,$L$2:$L$1090,1),"")</f>
        <v>11</v>
      </c>
      <c r="N497" s="12" t="n">
        <f aca="false">IF(L497=1,1+COUNTIFS($C$2:$C$1090,C497,$L$2:$L$1090,1,$G$2:$G$1090,"&gt;"&amp;G497),"")</f>
        <v>6</v>
      </c>
      <c r="O497" s="12" t="n">
        <f aca="false">IF(L497=1,1+COUNTIFS($C$2:$C$1090,C497,$L$2:$L$1090,1,$H$2:$H$1090,"&gt;"&amp;H497),"")</f>
        <v>2</v>
      </c>
      <c r="P497" s="12" t="n">
        <f aca="false">IF(L497=1,N497-O497,"")</f>
        <v>4</v>
      </c>
      <c r="Q497" s="12" t="n">
        <f aca="false">INDEX(Directions!$D$2:$D$100,MATCH(C497,Directions!$A$2:$A$100,0))</f>
        <v>0</v>
      </c>
      <c r="R497" s="12" t="n">
        <f aca="false">IF(L497=1,P497*Q497,"")</f>
        <v>0</v>
      </c>
      <c r="S497" s="12" t="str">
        <f aca="false">IF(L497&lt;&gt;1,"Excluded",IF(Q497=0,"No direction",IF(R497&gt;0,"Better",IF(R497&lt;0,"Worse","No change"))))</f>
        <v>No direction</v>
      </c>
      <c r="T497" s="12" t="s">
        <v>323</v>
      </c>
      <c r="U497" s="12" t="str">
        <f aca="false">C497&amp;"|"&amp;E497</f>
        <v>F7_01|USA</v>
      </c>
    </row>
    <row r="498" customFormat="false" ht="15" hidden="false" customHeight="false" outlineLevel="0" collapsed="false">
      <c r="A498" s="12" t="n">
        <v>7</v>
      </c>
      <c r="B498" s="12" t="s">
        <v>321</v>
      </c>
      <c r="C498" s="12" t="s">
        <v>146</v>
      </c>
      <c r="D498" s="12" t="s">
        <v>147</v>
      </c>
      <c r="E498" s="12" t="s">
        <v>283</v>
      </c>
      <c r="F498" s="12" t="s">
        <v>28</v>
      </c>
      <c r="G498" s="12" t="n">
        <v>160</v>
      </c>
      <c r="H498" s="12" t="n">
        <v>165</v>
      </c>
      <c r="I498" s="12" t="s">
        <v>299</v>
      </c>
      <c r="J498" s="12" t="n">
        <v>9</v>
      </c>
      <c r="K498" s="12" t="n">
        <v>7</v>
      </c>
      <c r="L498" s="28" t="n">
        <v>1</v>
      </c>
      <c r="M498" s="12" t="n">
        <f aca="false">IF(L498=1,COUNTIFS($C$2:$C$1090,C498,$L$2:$L$1090,1),"")</f>
        <v>11</v>
      </c>
      <c r="N498" s="12" t="n">
        <f aca="false">IF(L498=1,1+COUNTIFS($C$2:$C$1090,C498,$L$2:$L$1090,1,$G$2:$G$1090,"&gt;"&amp;G498),"")</f>
        <v>9</v>
      </c>
      <c r="O498" s="12" t="n">
        <f aca="false">IF(L498=1,1+COUNTIFS($C$2:$C$1090,C498,$L$2:$L$1090,1,$H$2:$H$1090,"&gt;"&amp;H498),"")</f>
        <v>7</v>
      </c>
      <c r="P498" s="12" t="n">
        <f aca="false">IF(L498=1,N498-O498,"")</f>
        <v>2</v>
      </c>
      <c r="Q498" s="12" t="n">
        <f aca="false">INDEX(Directions!$D$2:$D$100,MATCH(C498,Directions!$A$2:$A$100,0))</f>
        <v>0</v>
      </c>
      <c r="R498" s="12" t="n">
        <f aca="false">IF(L498=1,P498*Q498,"")</f>
        <v>0</v>
      </c>
      <c r="S498" s="12" t="str">
        <f aca="false">IF(L498&lt;&gt;1,"Excluded",IF(Q498=0,"No direction",IF(R498&gt;0,"Better",IF(R498&lt;0,"Worse","No change"))))</f>
        <v>No direction</v>
      </c>
      <c r="T498" s="12"/>
      <c r="U498" s="12" t="str">
        <f aca="false">C498&amp;"|"&amp;E498</f>
        <v>F7_01|GBR</v>
      </c>
    </row>
    <row r="499" customFormat="false" ht="15" hidden="false" customHeight="false" outlineLevel="0" collapsed="false">
      <c r="A499" s="12" t="n">
        <v>7</v>
      </c>
      <c r="B499" s="12" t="s">
        <v>321</v>
      </c>
      <c r="C499" s="12" t="s">
        <v>146</v>
      </c>
      <c r="D499" s="12" t="s">
        <v>147</v>
      </c>
      <c r="E499" s="12" t="s">
        <v>284</v>
      </c>
      <c r="F499" s="12" t="s">
        <v>29</v>
      </c>
      <c r="G499" s="12" t="n">
        <v>287</v>
      </c>
      <c r="H499" s="12" t="n">
        <v>244</v>
      </c>
      <c r="I499" s="12" t="s">
        <v>293</v>
      </c>
      <c r="J499" s="12" t="n">
        <v>1</v>
      </c>
      <c r="K499" s="12" t="n">
        <v>1</v>
      </c>
      <c r="L499" s="28" t="n">
        <v>1</v>
      </c>
      <c r="M499" s="12" t="n">
        <f aca="false">IF(L499=1,COUNTIFS($C$2:$C$1090,C499,$L$2:$L$1090,1),"")</f>
        <v>11</v>
      </c>
      <c r="N499" s="12" t="n">
        <f aca="false">IF(L499=1,1+COUNTIFS($C$2:$C$1090,C499,$L$2:$L$1090,1,$G$2:$G$1090,"&gt;"&amp;G499),"")</f>
        <v>1</v>
      </c>
      <c r="O499" s="12" t="n">
        <f aca="false">IF(L499=1,1+COUNTIFS($C$2:$C$1090,C499,$L$2:$L$1090,1,$H$2:$H$1090,"&gt;"&amp;H499),"")</f>
        <v>1</v>
      </c>
      <c r="P499" s="12" t="n">
        <f aca="false">IF(L499=1,N499-O499,"")</f>
        <v>0</v>
      </c>
      <c r="Q499" s="12" t="n">
        <f aca="false">INDEX(Directions!$D$2:$D$100,MATCH(C499,Directions!$A$2:$A$100,0))</f>
        <v>0</v>
      </c>
      <c r="R499" s="12" t="n">
        <f aca="false">IF(L499=1,P499*Q499,"")</f>
        <v>0</v>
      </c>
      <c r="S499" s="12" t="str">
        <f aca="false">IF(L499&lt;&gt;1,"Excluded",IF(Q499=0,"No direction",IF(R499&gt;0,"Better",IF(R499&lt;0,"Worse","No change"))))</f>
        <v>No direction</v>
      </c>
      <c r="T499" s="12"/>
      <c r="U499" s="12" t="str">
        <f aca="false">C499&amp;"|"&amp;E499</f>
        <v>F7_01|DEU</v>
      </c>
    </row>
    <row r="500" customFormat="false" ht="15" hidden="false" customHeight="false" outlineLevel="0" collapsed="false">
      <c r="A500" s="12" t="n">
        <v>7</v>
      </c>
      <c r="B500" s="12" t="s">
        <v>321</v>
      </c>
      <c r="C500" s="12" t="s">
        <v>146</v>
      </c>
      <c r="D500" s="12" t="s">
        <v>147</v>
      </c>
      <c r="E500" s="12" t="s">
        <v>285</v>
      </c>
      <c r="F500" s="12" t="s">
        <v>30</v>
      </c>
      <c r="G500" s="12" t="n">
        <v>273</v>
      </c>
      <c r="H500" s="12" t="n">
        <v>186</v>
      </c>
      <c r="I500" s="12" t="s">
        <v>293</v>
      </c>
      <c r="J500" s="12" t="n">
        <v>2</v>
      </c>
      <c r="K500" s="12" t="n">
        <v>4</v>
      </c>
      <c r="L500" s="28" t="n">
        <v>1</v>
      </c>
      <c r="M500" s="12" t="n">
        <f aca="false">IF(L500=1,COUNTIFS($C$2:$C$1090,C500,$L$2:$L$1090,1),"")</f>
        <v>11</v>
      </c>
      <c r="N500" s="12" t="n">
        <f aca="false">IF(L500=1,1+COUNTIFS($C$2:$C$1090,C500,$L$2:$L$1090,1,$G$2:$G$1090,"&gt;"&amp;G500),"")</f>
        <v>2</v>
      </c>
      <c r="O500" s="12" t="n">
        <f aca="false">IF(L500=1,1+COUNTIFS($C$2:$C$1090,C500,$L$2:$L$1090,1,$H$2:$H$1090,"&gt;"&amp;H500),"")</f>
        <v>4</v>
      </c>
      <c r="P500" s="12" t="n">
        <f aca="false">IF(L500=1,N500-O500,"")</f>
        <v>-2</v>
      </c>
      <c r="Q500" s="12" t="n">
        <f aca="false">INDEX(Directions!$D$2:$D$100,MATCH(C500,Directions!$A$2:$A$100,0))</f>
        <v>0</v>
      </c>
      <c r="R500" s="12" t="n">
        <f aca="false">IF(L500=1,P500*Q500,"")</f>
        <v>-0</v>
      </c>
      <c r="S500" s="12" t="str">
        <f aca="false">IF(L500&lt;&gt;1,"Excluded",IF(Q500=0,"No direction",IF(R500&gt;0,"Better",IF(R500&lt;0,"Worse","No change"))))</f>
        <v>No direction</v>
      </c>
      <c r="T500" s="12"/>
      <c r="U500" s="12" t="str">
        <f aca="false">C500&amp;"|"&amp;E500</f>
        <v>F7_01|SWE</v>
      </c>
    </row>
    <row r="501" customFormat="false" ht="15" hidden="false" customHeight="false" outlineLevel="0" collapsed="false">
      <c r="A501" s="12" t="n">
        <v>7</v>
      </c>
      <c r="B501" s="12" t="s">
        <v>321</v>
      </c>
      <c r="C501" s="12" t="s">
        <v>146</v>
      </c>
      <c r="D501" s="12" t="s">
        <v>147</v>
      </c>
      <c r="E501" s="12" t="s">
        <v>286</v>
      </c>
      <c r="F501" s="12" t="s">
        <v>31</v>
      </c>
      <c r="G501" s="12" t="n">
        <v>124</v>
      </c>
      <c r="H501" s="12" t="n">
        <v>162</v>
      </c>
      <c r="I501" s="12" t="s">
        <v>293</v>
      </c>
      <c r="J501" s="12" t="n">
        <v>10</v>
      </c>
      <c r="K501" s="12" t="n">
        <v>8</v>
      </c>
      <c r="L501" s="28" t="n">
        <v>1</v>
      </c>
      <c r="M501" s="12" t="n">
        <f aca="false">IF(L501=1,COUNTIFS($C$2:$C$1090,C501,$L$2:$L$1090,1),"")</f>
        <v>11</v>
      </c>
      <c r="N501" s="12" t="n">
        <f aca="false">IF(L501=1,1+COUNTIFS($C$2:$C$1090,C501,$L$2:$L$1090,1,$G$2:$G$1090,"&gt;"&amp;G501),"")</f>
        <v>10</v>
      </c>
      <c r="O501" s="12" t="n">
        <f aca="false">IF(L501=1,1+COUNTIFS($C$2:$C$1090,C501,$L$2:$L$1090,1,$H$2:$H$1090,"&gt;"&amp;H501),"")</f>
        <v>8</v>
      </c>
      <c r="P501" s="12" t="n">
        <f aca="false">IF(L501=1,N501-O501,"")</f>
        <v>2</v>
      </c>
      <c r="Q501" s="12" t="n">
        <f aca="false">INDEX(Directions!$D$2:$D$100,MATCH(C501,Directions!$A$2:$A$100,0))</f>
        <v>0</v>
      </c>
      <c r="R501" s="12" t="n">
        <f aca="false">IF(L501=1,P501*Q501,"")</f>
        <v>0</v>
      </c>
      <c r="S501" s="12" t="str">
        <f aca="false">IF(L501&lt;&gt;1,"Excluded",IF(Q501=0,"No direction",IF(R501&gt;0,"Better",IF(R501&lt;0,"Worse","No change"))))</f>
        <v>No direction</v>
      </c>
      <c r="T501" s="12"/>
      <c r="U501" s="12" t="str">
        <f aca="false">C501&amp;"|"&amp;E501</f>
        <v>F7_01|FRA</v>
      </c>
    </row>
    <row r="502" customFormat="false" ht="15" hidden="false" customHeight="false" outlineLevel="0" collapsed="false">
      <c r="A502" s="12" t="n">
        <v>7</v>
      </c>
      <c r="B502" s="12" t="s">
        <v>321</v>
      </c>
      <c r="C502" s="12" t="s">
        <v>146</v>
      </c>
      <c r="D502" s="12" t="s">
        <v>147</v>
      </c>
      <c r="E502" s="12" t="s">
        <v>32</v>
      </c>
      <c r="F502" s="12" t="s">
        <v>32</v>
      </c>
      <c r="G502" s="12" t="n">
        <v>175</v>
      </c>
      <c r="H502" s="12" t="n">
        <v>168</v>
      </c>
      <c r="I502" s="12" t="s">
        <v>291</v>
      </c>
      <c r="J502" s="12" t="n">
        <v>7</v>
      </c>
      <c r="K502" s="12" t="n">
        <v>6</v>
      </c>
      <c r="L502" s="28" t="n">
        <v>1</v>
      </c>
      <c r="M502" s="12" t="n">
        <f aca="false">IF(L502=1,COUNTIFS($C$2:$C$1090,C502,$L$2:$L$1090,1),"")</f>
        <v>11</v>
      </c>
      <c r="N502" s="12" t="n">
        <f aca="false">IF(L502=1,1+COUNTIFS($C$2:$C$1090,C502,$L$2:$L$1090,1,$G$2:$G$1090,"&gt;"&amp;G502),"")</f>
        <v>7</v>
      </c>
      <c r="O502" s="12" t="n">
        <f aca="false">IF(L502=1,1+COUNTIFS($C$2:$C$1090,C502,$L$2:$L$1090,1,$H$2:$H$1090,"&gt;"&amp;H502),"")</f>
        <v>6</v>
      </c>
      <c r="P502" s="12" t="n">
        <f aca="false">IF(L502=1,N502-O502,"")</f>
        <v>1</v>
      </c>
      <c r="Q502" s="12" t="n">
        <f aca="false">INDEX(Directions!$D$2:$D$100,MATCH(C502,Directions!$A$2:$A$100,0))</f>
        <v>0</v>
      </c>
      <c r="R502" s="12" t="n">
        <f aca="false">IF(L502=1,P502*Q502,"")</f>
        <v>0</v>
      </c>
      <c r="S502" s="12" t="str">
        <f aca="false">IF(L502&lt;&gt;1,"Excluded",IF(Q502=0,"No direction",IF(R502&gt;0,"Better",IF(R502&lt;0,"Worse","No change"))))</f>
        <v>No direction</v>
      </c>
      <c r="T502" s="12"/>
      <c r="U502" s="12" t="str">
        <f aca="false">C502&amp;"|"&amp;E502</f>
        <v>F7_01|NLD</v>
      </c>
    </row>
    <row r="503" customFormat="false" ht="15" hidden="false" customHeight="false" outlineLevel="0" collapsed="false">
      <c r="A503" s="12" t="n">
        <v>7</v>
      </c>
      <c r="B503" s="12" t="s">
        <v>321</v>
      </c>
      <c r="C503" s="12" t="s">
        <v>146</v>
      </c>
      <c r="D503" s="12" t="s">
        <v>147</v>
      </c>
      <c r="E503" s="12" t="s">
        <v>33</v>
      </c>
      <c r="F503" s="12" t="s">
        <v>33</v>
      </c>
      <c r="G503" s="12" t="n">
        <v>223</v>
      </c>
      <c r="H503" s="12" t="n">
        <v>180</v>
      </c>
      <c r="I503" s="12" t="s">
        <v>293</v>
      </c>
      <c r="J503" s="12" t="n">
        <v>3</v>
      </c>
      <c r="K503" s="12" t="n">
        <v>5</v>
      </c>
      <c r="L503" s="28" t="n">
        <v>1</v>
      </c>
      <c r="M503" s="12" t="n">
        <f aca="false">IF(L503=1,COUNTIFS($C$2:$C$1090,C503,$L$2:$L$1090,1),"")</f>
        <v>11</v>
      </c>
      <c r="N503" s="12" t="n">
        <f aca="false">IF(L503=1,1+COUNTIFS($C$2:$C$1090,C503,$L$2:$L$1090,1,$G$2:$G$1090,"&gt;"&amp;G503),"")</f>
        <v>3</v>
      </c>
      <c r="O503" s="12" t="n">
        <f aca="false">IF(L503=1,1+COUNTIFS($C$2:$C$1090,C503,$L$2:$L$1090,1,$H$2:$H$1090,"&gt;"&amp;H503),"")</f>
        <v>5</v>
      </c>
      <c r="P503" s="12" t="n">
        <f aca="false">IF(L503=1,N503-O503,"")</f>
        <v>-2</v>
      </c>
      <c r="Q503" s="12" t="n">
        <f aca="false">INDEX(Directions!$D$2:$D$100,MATCH(C503,Directions!$A$2:$A$100,0))</f>
        <v>0</v>
      </c>
      <c r="R503" s="12" t="n">
        <f aca="false">IF(L503=1,P503*Q503,"")</f>
        <v>-0</v>
      </c>
      <c r="S503" s="12" t="str">
        <f aca="false">IF(L503&lt;&gt;1,"Excluded",IF(Q503=0,"No direction",IF(R503&gt;0,"Better",IF(R503&lt;0,"Worse","No change"))))</f>
        <v>No direction</v>
      </c>
      <c r="T503" s="12"/>
      <c r="U503" s="12" t="str">
        <f aca="false">C503&amp;"|"&amp;E503</f>
        <v>F7_01|CHE</v>
      </c>
    </row>
    <row r="504" customFormat="false" ht="15" hidden="false" customHeight="false" outlineLevel="0" collapsed="false">
      <c r="A504" s="12" t="n">
        <v>7</v>
      </c>
      <c r="B504" s="12" t="s">
        <v>321</v>
      </c>
      <c r="C504" s="12" t="s">
        <v>146</v>
      </c>
      <c r="D504" s="12" t="s">
        <v>147</v>
      </c>
      <c r="E504" s="12" t="s">
        <v>287</v>
      </c>
      <c r="F504" s="12" t="s">
        <v>34</v>
      </c>
      <c r="G504" s="12" t="n">
        <v>174</v>
      </c>
      <c r="H504" s="12" t="n">
        <v>104</v>
      </c>
      <c r="I504" s="12" t="s">
        <v>291</v>
      </c>
      <c r="J504" s="12" t="n">
        <v>8</v>
      </c>
      <c r="K504" s="12" t="n">
        <v>10</v>
      </c>
      <c r="L504" s="28" t="n">
        <v>1</v>
      </c>
      <c r="M504" s="12" t="n">
        <f aca="false">IF(L504=1,COUNTIFS($C$2:$C$1090,C504,$L$2:$L$1090,1),"")</f>
        <v>11</v>
      </c>
      <c r="N504" s="12" t="n">
        <f aca="false">IF(L504=1,1+COUNTIFS($C$2:$C$1090,C504,$L$2:$L$1090,1,$G$2:$G$1090,"&gt;"&amp;G504),"")</f>
        <v>8</v>
      </c>
      <c r="O504" s="12" t="n">
        <f aca="false">IF(L504=1,1+COUNTIFS($C$2:$C$1090,C504,$L$2:$L$1090,1,$H$2:$H$1090,"&gt;"&amp;H504),"")</f>
        <v>10</v>
      </c>
      <c r="P504" s="12" t="n">
        <f aca="false">IF(L504=1,N504-O504,"")</f>
        <v>-2</v>
      </c>
      <c r="Q504" s="12" t="n">
        <f aca="false">INDEX(Directions!$D$2:$D$100,MATCH(C504,Directions!$A$2:$A$100,0))</f>
        <v>0</v>
      </c>
      <c r="R504" s="12" t="n">
        <f aca="false">IF(L504=1,P504*Q504,"")</f>
        <v>-0</v>
      </c>
      <c r="S504" s="12" t="str">
        <f aca="false">IF(L504&lt;&gt;1,"Excluded",IF(Q504=0,"No direction",IF(R504&gt;0,"Better",IF(R504&lt;0,"Worse","No change"))))</f>
        <v>No direction</v>
      </c>
      <c r="T504" s="12"/>
      <c r="U504" s="12" t="str">
        <f aca="false">C504&amp;"|"&amp;E504</f>
        <v>F7_01|DNK</v>
      </c>
    </row>
    <row r="505" customFormat="false" ht="15" hidden="false" customHeight="false" outlineLevel="0" collapsed="false">
      <c r="A505" s="12" t="n">
        <v>7</v>
      </c>
      <c r="B505" s="12" t="s">
        <v>321</v>
      </c>
      <c r="C505" s="12" t="s">
        <v>146</v>
      </c>
      <c r="D505" s="12" t="s">
        <v>147</v>
      </c>
      <c r="E505" s="12" t="s">
        <v>288</v>
      </c>
      <c r="F505" s="12" t="s">
        <v>35</v>
      </c>
      <c r="G505" s="12" t="n">
        <v>193</v>
      </c>
      <c r="H505" s="12" t="n">
        <v>155</v>
      </c>
      <c r="I505" s="12" t="s">
        <v>293</v>
      </c>
      <c r="J505" s="12" t="n">
        <v>5</v>
      </c>
      <c r="K505" s="12" t="n">
        <v>9</v>
      </c>
      <c r="L505" s="28" t="n">
        <v>1</v>
      </c>
      <c r="M505" s="12" t="n">
        <f aca="false">IF(L505=1,COUNTIFS($C$2:$C$1090,C505,$L$2:$L$1090,1),"")</f>
        <v>11</v>
      </c>
      <c r="N505" s="12" t="n">
        <f aca="false">IF(L505=1,1+COUNTIFS($C$2:$C$1090,C505,$L$2:$L$1090,1,$G$2:$G$1090,"&gt;"&amp;G505),"")</f>
        <v>5</v>
      </c>
      <c r="O505" s="12" t="n">
        <f aca="false">IF(L505=1,1+COUNTIFS($C$2:$C$1090,C505,$L$2:$L$1090,1,$H$2:$H$1090,"&gt;"&amp;H505),"")</f>
        <v>9</v>
      </c>
      <c r="P505" s="12" t="n">
        <f aca="false">IF(L505=1,N505-O505,"")</f>
        <v>-4</v>
      </c>
      <c r="Q505" s="12" t="n">
        <f aca="false">INDEX(Directions!$D$2:$D$100,MATCH(C505,Directions!$A$2:$A$100,0))</f>
        <v>0</v>
      </c>
      <c r="R505" s="12" t="n">
        <f aca="false">IF(L505=1,P505*Q505,"")</f>
        <v>-0</v>
      </c>
      <c r="S505" s="12" t="str">
        <f aca="false">IF(L505&lt;&gt;1,"Excluded",IF(Q505=0,"No direction",IF(R505&gt;0,"Better",IF(R505&lt;0,"Worse","No change"))))</f>
        <v>No direction</v>
      </c>
      <c r="T505" s="12"/>
      <c r="U505" s="12" t="str">
        <f aca="false">C505&amp;"|"&amp;E505</f>
        <v>F7_01|CAN</v>
      </c>
    </row>
    <row r="506" customFormat="false" ht="15" hidden="false" customHeight="false" outlineLevel="0" collapsed="false">
      <c r="A506" s="12" t="n">
        <v>7</v>
      </c>
      <c r="B506" s="12" t="s">
        <v>321</v>
      </c>
      <c r="C506" s="12" t="s">
        <v>146</v>
      </c>
      <c r="D506" s="12" t="s">
        <v>147</v>
      </c>
      <c r="E506" s="12" t="s">
        <v>289</v>
      </c>
      <c r="F506" s="12" t="s">
        <v>36</v>
      </c>
      <c r="G506" s="12" t="n">
        <v>89</v>
      </c>
      <c r="H506" s="12" t="n">
        <v>57</v>
      </c>
      <c r="I506" s="12" t="s">
        <v>291</v>
      </c>
      <c r="J506" s="12" t="n">
        <v>11</v>
      </c>
      <c r="K506" s="12" t="n">
        <v>11</v>
      </c>
      <c r="L506" s="28" t="n">
        <v>1</v>
      </c>
      <c r="M506" s="12" t="n">
        <f aca="false">IF(L506=1,COUNTIFS($C$2:$C$1090,C506,$L$2:$L$1090,1),"")</f>
        <v>11</v>
      </c>
      <c r="N506" s="12" t="n">
        <f aca="false">IF(L506=1,1+COUNTIFS($C$2:$C$1090,C506,$L$2:$L$1090,1,$G$2:$G$1090,"&gt;"&amp;G506),"")</f>
        <v>11</v>
      </c>
      <c r="O506" s="12" t="n">
        <f aca="false">IF(L506=1,1+COUNTIFS($C$2:$C$1090,C506,$L$2:$L$1090,1,$H$2:$H$1090,"&gt;"&amp;H506),"")</f>
        <v>11</v>
      </c>
      <c r="P506" s="12" t="n">
        <f aca="false">IF(L506=1,N506-O506,"")</f>
        <v>0</v>
      </c>
      <c r="Q506" s="12" t="n">
        <f aca="false">INDEX(Directions!$D$2:$D$100,MATCH(C506,Directions!$A$2:$A$100,0))</f>
        <v>0</v>
      </c>
      <c r="R506" s="12" t="n">
        <f aca="false">IF(L506=1,P506*Q506,"")</f>
        <v>0</v>
      </c>
      <c r="S506" s="12" t="str">
        <f aca="false">IF(L506&lt;&gt;1,"Excluded",IF(Q506=0,"No direction",IF(R506&gt;0,"Better",IF(R506&lt;0,"Worse","No change"))))</f>
        <v>No direction</v>
      </c>
      <c r="T506" s="12"/>
      <c r="U506" s="12" t="str">
        <f aca="false">C506&amp;"|"&amp;E506</f>
        <v>F7_01|JPN</v>
      </c>
    </row>
    <row r="507" customFormat="false" ht="15" hidden="false" customHeight="false" outlineLevel="0" collapsed="false">
      <c r="A507" s="12" t="n">
        <v>7</v>
      </c>
      <c r="B507" s="12" t="s">
        <v>321</v>
      </c>
      <c r="C507" s="12" t="s">
        <v>146</v>
      </c>
      <c r="D507" s="12" t="s">
        <v>147</v>
      </c>
      <c r="E507" s="12" t="s">
        <v>290</v>
      </c>
      <c r="F507" s="12" t="s">
        <v>37</v>
      </c>
      <c r="G507" s="12" t="n">
        <v>196</v>
      </c>
      <c r="H507" s="12" t="n">
        <v>189</v>
      </c>
      <c r="I507" s="12" t="s">
        <v>293</v>
      </c>
      <c r="J507" s="12" t="n">
        <v>4</v>
      </c>
      <c r="K507" s="12" t="n">
        <v>3</v>
      </c>
      <c r="L507" s="28" t="n">
        <v>1</v>
      </c>
      <c r="M507" s="12" t="n">
        <f aca="false">IF(L507=1,COUNTIFS($C$2:$C$1090,C507,$L$2:$L$1090,1),"")</f>
        <v>11</v>
      </c>
      <c r="N507" s="12" t="n">
        <f aca="false">IF(L507=1,1+COUNTIFS($C$2:$C$1090,C507,$L$2:$L$1090,1,$G$2:$G$1090,"&gt;"&amp;G507),"")</f>
        <v>4</v>
      </c>
      <c r="O507" s="12" t="n">
        <f aca="false">IF(L507=1,1+COUNTIFS($C$2:$C$1090,C507,$L$2:$L$1090,1,$H$2:$H$1090,"&gt;"&amp;H507),"")</f>
        <v>3</v>
      </c>
      <c r="P507" s="12" t="n">
        <f aca="false">IF(L507=1,N507-O507,"")</f>
        <v>1</v>
      </c>
      <c r="Q507" s="12" t="n">
        <f aca="false">INDEX(Directions!$D$2:$D$100,MATCH(C507,Directions!$A$2:$A$100,0))</f>
        <v>0</v>
      </c>
      <c r="R507" s="12" t="n">
        <f aca="false">IF(L507=1,P507*Q507,"")</f>
        <v>0</v>
      </c>
      <c r="S507" s="12" t="str">
        <f aca="false">IF(L507&lt;&gt;1,"Excluded",IF(Q507=0,"No direction",IF(R507&gt;0,"Better",IF(R507&lt;0,"Worse","No change"))))</f>
        <v>No direction</v>
      </c>
      <c r="T507" s="12"/>
      <c r="U507" s="12" t="str">
        <f aca="false">C507&amp;"|"&amp;E507</f>
        <v>F7_01|AUS</v>
      </c>
    </row>
    <row r="508" customFormat="false" ht="15" hidden="false" customHeight="false" outlineLevel="0" collapsed="false">
      <c r="A508" s="12" t="n">
        <v>7</v>
      </c>
      <c r="B508" s="12" t="s">
        <v>321</v>
      </c>
      <c r="C508" s="12" t="s">
        <v>148</v>
      </c>
      <c r="D508" s="12" t="s">
        <v>149</v>
      </c>
      <c r="E508" s="12" t="s">
        <v>281</v>
      </c>
      <c r="F508" s="12" t="s">
        <v>27</v>
      </c>
      <c r="G508" s="12" t="n">
        <v>679</v>
      </c>
      <c r="H508" s="12" t="n">
        <v>678</v>
      </c>
      <c r="I508" s="12" t="s">
        <v>322</v>
      </c>
      <c r="J508" s="12" t="n">
        <v>6</v>
      </c>
      <c r="K508" s="12" t="n">
        <v>7</v>
      </c>
      <c r="L508" s="28" t="n">
        <v>1</v>
      </c>
      <c r="M508" s="12" t="n">
        <f aca="false">IF(L508=1,COUNTIFS($C$2:$C$1090,C508,$L$2:$L$1090,1),"")</f>
        <v>10</v>
      </c>
      <c r="N508" s="12" t="n">
        <f aca="false">IF(L508=1,1+COUNTIFS($C$2:$C$1090,C508,$L$2:$L$1090,1,$G$2:$G$1090,"&gt;"&amp;G508),"")</f>
        <v>6</v>
      </c>
      <c r="O508" s="12" t="n">
        <f aca="false">IF(L508=1,1+COUNTIFS($C$2:$C$1090,C508,$L$2:$L$1090,1,$H$2:$H$1090,"&gt;"&amp;H508),"")</f>
        <v>6</v>
      </c>
      <c r="P508" s="12" t="n">
        <f aca="false">IF(L508=1,N508-O508,"")</f>
        <v>0</v>
      </c>
      <c r="Q508" s="12" t="n">
        <f aca="false">INDEX(Directions!$D$2:$D$100,MATCH(C508,Directions!$A$2:$A$100,0))</f>
        <v>0</v>
      </c>
      <c r="R508" s="12" t="n">
        <f aca="false">IF(L508=1,P508*Q508,"")</f>
        <v>0</v>
      </c>
      <c r="S508" s="12" t="str">
        <f aca="false">IF(L508&lt;&gt;1,"Excluded",IF(Q508=0,"No direction",IF(R508&gt;0,"Better",IF(R508&lt;0,"Worse","No change"))))</f>
        <v>No direction</v>
      </c>
      <c r="T508" s="12" t="s">
        <v>323</v>
      </c>
      <c r="U508" s="12" t="str">
        <f aca="false">C508&amp;"|"&amp;E508</f>
        <v>F7_02|USA</v>
      </c>
    </row>
    <row r="509" customFormat="false" ht="15" hidden="false" customHeight="false" outlineLevel="0" collapsed="false">
      <c r="A509" s="12" t="n">
        <v>7</v>
      </c>
      <c r="B509" s="12" t="s">
        <v>321</v>
      </c>
      <c r="C509" s="12" t="s">
        <v>148</v>
      </c>
      <c r="D509" s="12" t="s">
        <v>149</v>
      </c>
      <c r="E509" s="12" t="s">
        <v>283</v>
      </c>
      <c r="F509" s="12" t="s">
        <v>28</v>
      </c>
      <c r="G509" s="12" t="n">
        <v>269</v>
      </c>
      <c r="H509" s="12" t="n">
        <v>286</v>
      </c>
      <c r="I509" s="12" t="s">
        <v>299</v>
      </c>
      <c r="J509" s="12" t="n">
        <v>10</v>
      </c>
      <c r="K509" s="12" t="n">
        <v>9</v>
      </c>
      <c r="L509" s="28" t="n">
        <v>1</v>
      </c>
      <c r="M509" s="12" t="n">
        <f aca="false">IF(L509=1,COUNTIFS($C$2:$C$1090,C509,$L$2:$L$1090,1),"")</f>
        <v>10</v>
      </c>
      <c r="N509" s="12" t="n">
        <f aca="false">IF(L509=1,1+COUNTIFS($C$2:$C$1090,C509,$L$2:$L$1090,1,$G$2:$G$1090,"&gt;"&amp;G509),"")</f>
        <v>9</v>
      </c>
      <c r="O509" s="12" t="n">
        <f aca="false">IF(L509=1,1+COUNTIFS($C$2:$C$1090,C509,$L$2:$L$1090,1,$H$2:$H$1090,"&gt;"&amp;H509),"")</f>
        <v>8</v>
      </c>
      <c r="P509" s="12" t="n">
        <f aca="false">IF(L509=1,N509-O509,"")</f>
        <v>1</v>
      </c>
      <c r="Q509" s="12" t="n">
        <f aca="false">INDEX(Directions!$D$2:$D$100,MATCH(C509,Directions!$A$2:$A$100,0))</f>
        <v>0</v>
      </c>
      <c r="R509" s="12" t="n">
        <f aca="false">IF(L509=1,P509*Q509,"")</f>
        <v>0</v>
      </c>
      <c r="S509" s="12" t="str">
        <f aca="false">IF(L509&lt;&gt;1,"Excluded",IF(Q509=0,"No direction",IF(R509&gt;0,"Better",IF(R509&lt;0,"Worse","No change"))))</f>
        <v>No direction</v>
      </c>
      <c r="T509" s="12"/>
      <c r="U509" s="12" t="str">
        <f aca="false">C509&amp;"|"&amp;E509</f>
        <v>F7_02|GBR</v>
      </c>
    </row>
    <row r="510" customFormat="false" ht="15" hidden="false" customHeight="false" outlineLevel="0" collapsed="false">
      <c r="A510" s="12" t="n">
        <v>7</v>
      </c>
      <c r="B510" s="12" t="s">
        <v>321</v>
      </c>
      <c r="C510" s="12" t="s">
        <v>148</v>
      </c>
      <c r="D510" s="12" t="s">
        <v>149</v>
      </c>
      <c r="E510" s="12" t="s">
        <v>284</v>
      </c>
      <c r="F510" s="12" t="s">
        <v>29</v>
      </c>
      <c r="G510" s="12" t="n">
        <v>1719</v>
      </c>
      <c r="H510" s="12" t="n">
        <v>1553</v>
      </c>
      <c r="I510" s="12" t="s">
        <v>293</v>
      </c>
      <c r="J510" s="12" t="n">
        <v>1</v>
      </c>
      <c r="K510" s="12" t="n">
        <v>1</v>
      </c>
      <c r="L510" s="28" t="n">
        <v>1</v>
      </c>
      <c r="M510" s="12" t="n">
        <f aca="false">IF(L510=1,COUNTIFS($C$2:$C$1090,C510,$L$2:$L$1090,1),"")</f>
        <v>10</v>
      </c>
      <c r="N510" s="12" t="n">
        <f aca="false">IF(L510=1,1+COUNTIFS($C$2:$C$1090,C510,$L$2:$L$1090,1,$G$2:$G$1090,"&gt;"&amp;G510),"")</f>
        <v>1</v>
      </c>
      <c r="O510" s="12" t="n">
        <f aca="false">IF(L510=1,1+COUNTIFS($C$2:$C$1090,C510,$L$2:$L$1090,1,$H$2:$H$1090,"&gt;"&amp;H510),"")</f>
        <v>1</v>
      </c>
      <c r="P510" s="12" t="n">
        <f aca="false">IF(L510=1,N510-O510,"")</f>
        <v>0</v>
      </c>
      <c r="Q510" s="12" t="n">
        <f aca="false">INDEX(Directions!$D$2:$D$100,MATCH(C510,Directions!$A$2:$A$100,0))</f>
        <v>0</v>
      </c>
      <c r="R510" s="12" t="n">
        <f aca="false">IF(L510=1,P510*Q510,"")</f>
        <v>0</v>
      </c>
      <c r="S510" s="12" t="str">
        <f aca="false">IF(L510&lt;&gt;1,"Excluded",IF(Q510=0,"No direction",IF(R510&gt;0,"Better",IF(R510&lt;0,"Worse","No change"))))</f>
        <v>No direction</v>
      </c>
      <c r="T510" s="12"/>
      <c r="U510" s="12" t="str">
        <f aca="false">C510&amp;"|"&amp;E510</f>
        <v>F7_02|DEU</v>
      </c>
    </row>
    <row r="511" customFormat="false" ht="15" hidden="false" customHeight="false" outlineLevel="0" collapsed="false">
      <c r="A511" s="12" t="n">
        <v>7</v>
      </c>
      <c r="B511" s="12" t="s">
        <v>321</v>
      </c>
      <c r="C511" s="12" t="s">
        <v>148</v>
      </c>
      <c r="D511" s="12" t="s">
        <v>149</v>
      </c>
      <c r="E511" s="12" t="s">
        <v>285</v>
      </c>
      <c r="F511" s="12" t="s">
        <v>30</v>
      </c>
      <c r="G511" s="12" t="n">
        <v>1068</v>
      </c>
      <c r="H511" s="12" t="n">
        <v>882</v>
      </c>
      <c r="I511" s="12" t="s">
        <v>293</v>
      </c>
      <c r="J511" s="12" t="n">
        <v>3</v>
      </c>
      <c r="K511" s="12" t="n">
        <v>6</v>
      </c>
      <c r="L511" s="28" t="n">
        <v>1</v>
      </c>
      <c r="M511" s="12" t="n">
        <f aca="false">IF(L511=1,COUNTIFS($C$2:$C$1090,C511,$L$2:$L$1090,1),"")</f>
        <v>10</v>
      </c>
      <c r="N511" s="12" t="n">
        <f aca="false">IF(L511=1,1+COUNTIFS($C$2:$C$1090,C511,$L$2:$L$1090,1,$G$2:$G$1090,"&gt;"&amp;G511),"")</f>
        <v>3</v>
      </c>
      <c r="O511" s="12" t="n">
        <f aca="false">IF(L511=1,1+COUNTIFS($C$2:$C$1090,C511,$L$2:$L$1090,1,$H$2:$H$1090,"&gt;"&amp;H511),"")</f>
        <v>5</v>
      </c>
      <c r="P511" s="12" t="n">
        <f aca="false">IF(L511=1,N511-O511,"")</f>
        <v>-2</v>
      </c>
      <c r="Q511" s="12" t="n">
        <f aca="false">INDEX(Directions!$D$2:$D$100,MATCH(C511,Directions!$A$2:$A$100,0))</f>
        <v>0</v>
      </c>
      <c r="R511" s="12" t="n">
        <f aca="false">IF(L511=1,P511*Q511,"")</f>
        <v>-0</v>
      </c>
      <c r="S511" s="12" t="str">
        <f aca="false">IF(L511&lt;&gt;1,"Excluded",IF(Q511=0,"No direction",IF(R511&gt;0,"Better",IF(R511&lt;0,"Worse","No change"))))</f>
        <v>No direction</v>
      </c>
      <c r="T511" s="12"/>
      <c r="U511" s="12" t="str">
        <f aca="false">C511&amp;"|"&amp;E511</f>
        <v>F7_02|SWE</v>
      </c>
    </row>
    <row r="512" customFormat="false" ht="15" hidden="false" customHeight="false" outlineLevel="0" collapsed="false">
      <c r="A512" s="12" t="n">
        <v>7</v>
      </c>
      <c r="B512" s="12" t="s">
        <v>321</v>
      </c>
      <c r="C512" s="12" t="s">
        <v>148</v>
      </c>
      <c r="D512" s="12" t="s">
        <v>149</v>
      </c>
      <c r="E512" s="12" t="s">
        <v>286</v>
      </c>
      <c r="F512" s="12" t="s">
        <v>31</v>
      </c>
      <c r="G512" s="12" t="n">
        <v>368</v>
      </c>
      <c r="H512" s="12" t="n">
        <v>1051</v>
      </c>
      <c r="I512" s="12" t="s">
        <v>293</v>
      </c>
      <c r="J512" s="12" t="n">
        <v>8</v>
      </c>
      <c r="K512" s="12" t="n">
        <v>3</v>
      </c>
      <c r="L512" s="28" t="n">
        <v>0</v>
      </c>
      <c r="M512" s="12" t="str">
        <f aca="false">IF(L512=1,COUNTIFS($C$2:$C$1090,C512,$L$2:$L$1090,1),"")</f>
        <v/>
      </c>
      <c r="N512" s="12" t="str">
        <f aca="false">IF(L512=1,1+COUNTIFS($C$2:$C$1090,C512,$L$2:$L$1090,1,$G$2:$G$1090,"&gt;"&amp;G512),"")</f>
        <v/>
      </c>
      <c r="O512" s="12" t="str">
        <f aca="false">IF(L512=1,1+COUNTIFS($C$2:$C$1090,C512,$L$2:$L$1090,1,$H$2:$H$1090,"&gt;"&amp;H512),"")</f>
        <v/>
      </c>
      <c r="P512" s="12" t="str">
        <f aca="false">IF(L512=1,N512-O512,"")</f>
        <v/>
      </c>
      <c r="Q512" s="12" t="n">
        <f aca="false">INDEX(Directions!$D$2:$D$100,MATCH(C512,Directions!$A$2:$A$100,0))</f>
        <v>0</v>
      </c>
      <c r="R512" s="12" t="str">
        <f aca="false">IF(L512=1,P512*Q512,"")</f>
        <v/>
      </c>
      <c r="S512" s="12" t="str">
        <f aca="false">IF(L512&lt;&gt;1,"Excluded",IF(Q512=0,"No direction",IF(R512&gt;0,"Better",IF(R512&lt;0,"Worse","No change"))))</f>
        <v>Excluded</v>
      </c>
      <c r="T512" s="12" t="s">
        <v>324</v>
      </c>
      <c r="U512" s="12" t="str">
        <f aca="false">C512&amp;"|"&amp;E512</f>
        <v>F7_02|FRA</v>
      </c>
    </row>
    <row r="513" customFormat="false" ht="15" hidden="false" customHeight="false" outlineLevel="0" collapsed="false">
      <c r="A513" s="12" t="n">
        <v>7</v>
      </c>
      <c r="B513" s="12" t="s">
        <v>321</v>
      </c>
      <c r="C513" s="12" t="s">
        <v>148</v>
      </c>
      <c r="D513" s="12" t="s">
        <v>149</v>
      </c>
      <c r="E513" s="12" t="s">
        <v>32</v>
      </c>
      <c r="F513" s="12" t="s">
        <v>32</v>
      </c>
      <c r="G513" s="12" t="n">
        <v>119</v>
      </c>
      <c r="H513" s="12" t="n">
        <v>42</v>
      </c>
      <c r="I513" s="12" t="s">
        <v>291</v>
      </c>
      <c r="J513" s="12" t="n">
        <v>11</v>
      </c>
      <c r="K513" s="12" t="n">
        <v>11</v>
      </c>
      <c r="L513" s="28" t="n">
        <v>1</v>
      </c>
      <c r="M513" s="12" t="n">
        <f aca="false">IF(L513=1,COUNTIFS($C$2:$C$1090,C513,$L$2:$L$1090,1),"")</f>
        <v>10</v>
      </c>
      <c r="N513" s="12" t="n">
        <f aca="false">IF(L513=1,1+COUNTIFS($C$2:$C$1090,C513,$L$2:$L$1090,1,$G$2:$G$1090,"&gt;"&amp;G513),"")</f>
        <v>10</v>
      </c>
      <c r="O513" s="12" t="n">
        <f aca="false">IF(L513=1,1+COUNTIFS($C$2:$C$1090,C513,$L$2:$L$1090,1,$H$2:$H$1090,"&gt;"&amp;H513),"")</f>
        <v>10</v>
      </c>
      <c r="P513" s="12" t="n">
        <f aca="false">IF(L513=1,N513-O513,"")</f>
        <v>0</v>
      </c>
      <c r="Q513" s="12" t="n">
        <f aca="false">INDEX(Directions!$D$2:$D$100,MATCH(C513,Directions!$A$2:$A$100,0))</f>
        <v>0</v>
      </c>
      <c r="R513" s="12" t="n">
        <f aca="false">IF(L513=1,P513*Q513,"")</f>
        <v>0</v>
      </c>
      <c r="S513" s="12" t="str">
        <f aca="false">IF(L513&lt;&gt;1,"Excluded",IF(Q513=0,"No direction",IF(R513&gt;0,"Better",IF(R513&lt;0,"Worse","No change"))))</f>
        <v>No direction</v>
      </c>
      <c r="T513" s="12"/>
      <c r="U513" s="12" t="str">
        <f aca="false">C513&amp;"|"&amp;E513</f>
        <v>F7_02|NLD</v>
      </c>
    </row>
    <row r="514" customFormat="false" ht="15" hidden="false" customHeight="false" outlineLevel="0" collapsed="false">
      <c r="A514" s="12" t="n">
        <v>7</v>
      </c>
      <c r="B514" s="12" t="s">
        <v>321</v>
      </c>
      <c r="C514" s="12" t="s">
        <v>148</v>
      </c>
      <c r="D514" s="12" t="s">
        <v>149</v>
      </c>
      <c r="E514" s="12" t="s">
        <v>33</v>
      </c>
      <c r="F514" s="12" t="s">
        <v>33</v>
      </c>
      <c r="G514" s="12" t="n">
        <v>1182</v>
      </c>
      <c r="H514" s="12" t="n">
        <v>1190</v>
      </c>
      <c r="I514" s="12" t="s">
        <v>293</v>
      </c>
      <c r="J514" s="12" t="n">
        <v>2</v>
      </c>
      <c r="K514" s="12" t="n">
        <v>2</v>
      </c>
      <c r="L514" s="28" t="n">
        <v>1</v>
      </c>
      <c r="M514" s="12" t="n">
        <f aca="false">IF(L514=1,COUNTIFS($C$2:$C$1090,C514,$L$2:$L$1090,1),"")</f>
        <v>10</v>
      </c>
      <c r="N514" s="12" t="n">
        <f aca="false">IF(L514=1,1+COUNTIFS($C$2:$C$1090,C514,$L$2:$L$1090,1,$G$2:$G$1090,"&gt;"&amp;G514),"")</f>
        <v>2</v>
      </c>
      <c r="O514" s="12" t="n">
        <f aca="false">IF(L514=1,1+COUNTIFS($C$2:$C$1090,C514,$L$2:$L$1090,1,$H$2:$H$1090,"&gt;"&amp;H514),"")</f>
        <v>2</v>
      </c>
      <c r="P514" s="12" t="n">
        <f aca="false">IF(L514=1,N514-O514,"")</f>
        <v>0</v>
      </c>
      <c r="Q514" s="12" t="n">
        <f aca="false">INDEX(Directions!$D$2:$D$100,MATCH(C514,Directions!$A$2:$A$100,0))</f>
        <v>0</v>
      </c>
      <c r="R514" s="12" t="n">
        <f aca="false">IF(L514=1,P514*Q514,"")</f>
        <v>0</v>
      </c>
      <c r="S514" s="12" t="str">
        <f aca="false">IF(L514&lt;&gt;1,"Excluded",IF(Q514=0,"No direction",IF(R514&gt;0,"Better",IF(R514&lt;0,"Worse","No change"))))</f>
        <v>No direction</v>
      </c>
      <c r="T514" s="12"/>
      <c r="U514" s="12" t="str">
        <f aca="false">C514&amp;"|"&amp;E514</f>
        <v>F7_02|CHE</v>
      </c>
    </row>
    <row r="515" customFormat="false" ht="15" hidden="false" customHeight="false" outlineLevel="0" collapsed="false">
      <c r="A515" s="12" t="n">
        <v>7</v>
      </c>
      <c r="B515" s="12" t="s">
        <v>321</v>
      </c>
      <c r="C515" s="12" t="s">
        <v>148</v>
      </c>
      <c r="D515" s="12" t="s">
        <v>149</v>
      </c>
      <c r="E515" s="12" t="s">
        <v>287</v>
      </c>
      <c r="F515" s="12" t="s">
        <v>34</v>
      </c>
      <c r="G515" s="12" t="n">
        <v>892</v>
      </c>
      <c r="H515" s="12" t="n">
        <v>962</v>
      </c>
      <c r="I515" s="12" t="s">
        <v>291</v>
      </c>
      <c r="J515" s="12" t="n">
        <v>4</v>
      </c>
      <c r="K515" s="12" t="n">
        <v>5</v>
      </c>
      <c r="L515" s="28" t="n">
        <v>1</v>
      </c>
      <c r="M515" s="12" t="n">
        <f aca="false">IF(L515=1,COUNTIFS($C$2:$C$1090,C515,$L$2:$L$1090,1),"")</f>
        <v>10</v>
      </c>
      <c r="N515" s="12" t="n">
        <f aca="false">IF(L515=1,1+COUNTIFS($C$2:$C$1090,C515,$L$2:$L$1090,1,$G$2:$G$1090,"&gt;"&amp;G515),"")</f>
        <v>4</v>
      </c>
      <c r="O515" s="12" t="n">
        <f aca="false">IF(L515=1,1+COUNTIFS($C$2:$C$1090,C515,$L$2:$L$1090,1,$H$2:$H$1090,"&gt;"&amp;H515),"")</f>
        <v>4</v>
      </c>
      <c r="P515" s="12" t="n">
        <f aca="false">IF(L515=1,N515-O515,"")</f>
        <v>0</v>
      </c>
      <c r="Q515" s="12" t="n">
        <f aca="false">INDEX(Directions!$D$2:$D$100,MATCH(C515,Directions!$A$2:$A$100,0))</f>
        <v>0</v>
      </c>
      <c r="R515" s="12" t="n">
        <f aca="false">IF(L515=1,P515*Q515,"")</f>
        <v>0</v>
      </c>
      <c r="S515" s="12" t="str">
        <f aca="false">IF(L515&lt;&gt;1,"Excluded",IF(Q515=0,"No direction",IF(R515&gt;0,"Better",IF(R515&lt;0,"Worse","No change"))))</f>
        <v>No direction</v>
      </c>
      <c r="T515" s="12"/>
      <c r="U515" s="12" t="str">
        <f aca="false">C515&amp;"|"&amp;E515</f>
        <v>F7_02|DNK</v>
      </c>
    </row>
    <row r="516" customFormat="false" ht="15" hidden="false" customHeight="false" outlineLevel="0" collapsed="false">
      <c r="A516" s="12" t="n">
        <v>7</v>
      </c>
      <c r="B516" s="12" t="s">
        <v>321</v>
      </c>
      <c r="C516" s="12" t="s">
        <v>148</v>
      </c>
      <c r="D516" s="12" t="s">
        <v>149</v>
      </c>
      <c r="E516" s="12" t="s">
        <v>288</v>
      </c>
      <c r="F516" s="12" t="s">
        <v>35</v>
      </c>
      <c r="G516" s="12" t="n">
        <v>629</v>
      </c>
      <c r="H516" s="12" t="n">
        <v>642</v>
      </c>
      <c r="I516" s="12" t="s">
        <v>293</v>
      </c>
      <c r="J516" s="12" t="n">
        <v>7</v>
      </c>
      <c r="K516" s="12" t="n">
        <v>8</v>
      </c>
      <c r="L516" s="28" t="n">
        <v>1</v>
      </c>
      <c r="M516" s="12" t="n">
        <f aca="false">IF(L516=1,COUNTIFS($C$2:$C$1090,C516,$L$2:$L$1090,1),"")</f>
        <v>10</v>
      </c>
      <c r="N516" s="12" t="n">
        <f aca="false">IF(L516=1,1+COUNTIFS($C$2:$C$1090,C516,$L$2:$L$1090,1,$G$2:$G$1090,"&gt;"&amp;G516),"")</f>
        <v>7</v>
      </c>
      <c r="O516" s="12" t="n">
        <f aca="false">IF(L516=1,1+COUNTIFS($C$2:$C$1090,C516,$L$2:$L$1090,1,$H$2:$H$1090,"&gt;"&amp;H516),"")</f>
        <v>7</v>
      </c>
      <c r="P516" s="12" t="n">
        <f aca="false">IF(L516=1,N516-O516,"")</f>
        <v>0</v>
      </c>
      <c r="Q516" s="12" t="n">
        <f aca="false">INDEX(Directions!$D$2:$D$100,MATCH(C516,Directions!$A$2:$A$100,0))</f>
        <v>0</v>
      </c>
      <c r="R516" s="12" t="n">
        <f aca="false">IF(L516=1,P516*Q516,"")</f>
        <v>0</v>
      </c>
      <c r="S516" s="12" t="str">
        <f aca="false">IF(L516&lt;&gt;1,"Excluded",IF(Q516=0,"No direction",IF(R516&gt;0,"Better",IF(R516&lt;0,"Worse","No change"))))</f>
        <v>No direction</v>
      </c>
      <c r="T516" s="12"/>
      <c r="U516" s="12" t="str">
        <f aca="false">C516&amp;"|"&amp;E516</f>
        <v>F7_02|CAN</v>
      </c>
    </row>
    <row r="517" customFormat="false" ht="15" hidden="false" customHeight="false" outlineLevel="0" collapsed="false">
      <c r="A517" s="12" t="n">
        <v>7</v>
      </c>
      <c r="B517" s="12" t="s">
        <v>321</v>
      </c>
      <c r="C517" s="12" t="s">
        <v>148</v>
      </c>
      <c r="D517" s="12" t="s">
        <v>149</v>
      </c>
      <c r="E517" s="12" t="s">
        <v>289</v>
      </c>
      <c r="F517" s="12" t="s">
        <v>36</v>
      </c>
      <c r="G517" s="12" t="n">
        <v>319</v>
      </c>
      <c r="H517" s="12" t="n">
        <v>277</v>
      </c>
      <c r="I517" s="12" t="s">
        <v>291</v>
      </c>
      <c r="J517" s="12" t="n">
        <v>9</v>
      </c>
      <c r="K517" s="12" t="n">
        <v>10</v>
      </c>
      <c r="L517" s="28" t="n">
        <v>1</v>
      </c>
      <c r="M517" s="12" t="n">
        <f aca="false">IF(L517=1,COUNTIFS($C$2:$C$1090,C517,$L$2:$L$1090,1),"")</f>
        <v>10</v>
      </c>
      <c r="N517" s="12" t="n">
        <f aca="false">IF(L517=1,1+COUNTIFS($C$2:$C$1090,C517,$L$2:$L$1090,1,$G$2:$G$1090,"&gt;"&amp;G517),"")</f>
        <v>8</v>
      </c>
      <c r="O517" s="12" t="n">
        <f aca="false">IF(L517=1,1+COUNTIFS($C$2:$C$1090,C517,$L$2:$L$1090,1,$H$2:$H$1090,"&gt;"&amp;H517),"")</f>
        <v>9</v>
      </c>
      <c r="P517" s="12" t="n">
        <f aca="false">IF(L517=1,N517-O517,"")</f>
        <v>-1</v>
      </c>
      <c r="Q517" s="12" t="n">
        <f aca="false">INDEX(Directions!$D$2:$D$100,MATCH(C517,Directions!$A$2:$A$100,0))</f>
        <v>0</v>
      </c>
      <c r="R517" s="12" t="n">
        <f aca="false">IF(L517=1,P517*Q517,"")</f>
        <v>-0</v>
      </c>
      <c r="S517" s="12" t="str">
        <f aca="false">IF(L517&lt;&gt;1,"Excluded",IF(Q517=0,"No direction",IF(R517&gt;0,"Better",IF(R517&lt;0,"Worse","No change"))))</f>
        <v>No direction</v>
      </c>
      <c r="T517" s="12"/>
      <c r="U517" s="12" t="str">
        <f aca="false">C517&amp;"|"&amp;E517</f>
        <v>F7_02|JPN</v>
      </c>
    </row>
    <row r="518" customFormat="false" ht="15" hidden="false" customHeight="false" outlineLevel="0" collapsed="false">
      <c r="A518" s="12" t="n">
        <v>7</v>
      </c>
      <c r="B518" s="12" t="s">
        <v>321</v>
      </c>
      <c r="C518" s="12" t="s">
        <v>148</v>
      </c>
      <c r="D518" s="12" t="s">
        <v>149</v>
      </c>
      <c r="E518" s="12" t="s">
        <v>290</v>
      </c>
      <c r="F518" s="12" t="s">
        <v>37</v>
      </c>
      <c r="G518" s="12" t="n">
        <v>856</v>
      </c>
      <c r="H518" s="12" t="n">
        <v>965</v>
      </c>
      <c r="I518" s="12" t="s">
        <v>293</v>
      </c>
      <c r="J518" s="12" t="n">
        <v>5</v>
      </c>
      <c r="K518" s="12" t="n">
        <v>4</v>
      </c>
      <c r="L518" s="28" t="n">
        <v>1</v>
      </c>
      <c r="M518" s="12" t="n">
        <f aca="false">IF(L518=1,COUNTIFS($C$2:$C$1090,C518,$L$2:$L$1090,1),"")</f>
        <v>10</v>
      </c>
      <c r="N518" s="12" t="n">
        <f aca="false">IF(L518=1,1+COUNTIFS($C$2:$C$1090,C518,$L$2:$L$1090,1,$G$2:$G$1090,"&gt;"&amp;G518),"")</f>
        <v>5</v>
      </c>
      <c r="O518" s="12" t="n">
        <f aca="false">IF(L518=1,1+COUNTIFS($C$2:$C$1090,C518,$L$2:$L$1090,1,$H$2:$H$1090,"&gt;"&amp;H518),"")</f>
        <v>3</v>
      </c>
      <c r="P518" s="12" t="n">
        <f aca="false">IF(L518=1,N518-O518,"")</f>
        <v>2</v>
      </c>
      <c r="Q518" s="12" t="n">
        <f aca="false">INDEX(Directions!$D$2:$D$100,MATCH(C518,Directions!$A$2:$A$100,0))</f>
        <v>0</v>
      </c>
      <c r="R518" s="12" t="n">
        <f aca="false">IF(L518=1,P518*Q518,"")</f>
        <v>0</v>
      </c>
      <c r="S518" s="12" t="str">
        <f aca="false">IF(L518&lt;&gt;1,"Excluded",IF(Q518=0,"No direction",IF(R518&gt;0,"Better",IF(R518&lt;0,"Worse","No change"))))</f>
        <v>No direction</v>
      </c>
      <c r="T518" s="12"/>
      <c r="U518" s="12" t="str">
        <f aca="false">C518&amp;"|"&amp;E518</f>
        <v>F7_02|AUS</v>
      </c>
    </row>
    <row r="519" customFormat="false" ht="15" hidden="false" customHeight="false" outlineLevel="0" collapsed="false">
      <c r="A519" s="12" t="n">
        <v>7</v>
      </c>
      <c r="B519" s="12" t="s">
        <v>321</v>
      </c>
      <c r="C519" s="12" t="s">
        <v>150</v>
      </c>
      <c r="D519" s="12" t="s">
        <v>151</v>
      </c>
      <c r="E519" s="12" t="s">
        <v>281</v>
      </c>
      <c r="F519" s="12" t="s">
        <v>27</v>
      </c>
      <c r="G519" s="12" t="n">
        <v>365</v>
      </c>
      <c r="H519" s="12" t="n">
        <v>364</v>
      </c>
      <c r="I519" s="12" t="s">
        <v>322</v>
      </c>
      <c r="J519" s="12" t="n">
        <v>6</v>
      </c>
      <c r="K519" s="12" t="n">
        <v>6</v>
      </c>
      <c r="L519" s="28" t="n">
        <v>1</v>
      </c>
      <c r="M519" s="12" t="n">
        <f aca="false">IF(L519=1,COUNTIFS($C$2:$C$1090,C519,$L$2:$L$1090,1),"")</f>
        <v>11</v>
      </c>
      <c r="N519" s="12" t="n">
        <f aca="false">IF(L519=1,1+COUNTIFS($C$2:$C$1090,C519,$L$2:$L$1090,1,$G$2:$G$1090,"&gt;"&amp;G519),"")</f>
        <v>6</v>
      </c>
      <c r="O519" s="12" t="n">
        <f aca="false">IF(L519=1,1+COUNTIFS($C$2:$C$1090,C519,$L$2:$L$1090,1,$H$2:$H$1090,"&gt;"&amp;H519),"")</f>
        <v>6</v>
      </c>
      <c r="P519" s="12" t="n">
        <f aca="false">IF(L519=1,N519-O519,"")</f>
        <v>0</v>
      </c>
      <c r="Q519" s="12" t="n">
        <f aca="false">INDEX(Directions!$D$2:$D$100,MATCH(C519,Directions!$A$2:$A$100,0))</f>
        <v>0</v>
      </c>
      <c r="R519" s="12" t="n">
        <f aca="false">IF(L519=1,P519*Q519,"")</f>
        <v>0</v>
      </c>
      <c r="S519" s="12" t="str">
        <f aca="false">IF(L519&lt;&gt;1,"Excluded",IF(Q519=0,"No direction",IF(R519&gt;0,"Better",IF(R519&lt;0,"Worse","No change"))))</f>
        <v>No direction</v>
      </c>
      <c r="T519" s="12" t="s">
        <v>323</v>
      </c>
      <c r="U519" s="12" t="str">
        <f aca="false">C519&amp;"|"&amp;E519</f>
        <v>F7_03|USA</v>
      </c>
    </row>
    <row r="520" customFormat="false" ht="15" hidden="false" customHeight="false" outlineLevel="0" collapsed="false">
      <c r="A520" s="12" t="n">
        <v>7</v>
      </c>
      <c r="B520" s="12" t="s">
        <v>321</v>
      </c>
      <c r="C520" s="12" t="s">
        <v>150</v>
      </c>
      <c r="D520" s="12" t="s">
        <v>151</v>
      </c>
      <c r="E520" s="12" t="s">
        <v>283</v>
      </c>
      <c r="F520" s="12" t="s">
        <v>28</v>
      </c>
      <c r="G520" s="12" t="n">
        <v>459</v>
      </c>
      <c r="H520" s="12" t="n">
        <v>486</v>
      </c>
      <c r="I520" s="12" t="s">
        <v>299</v>
      </c>
      <c r="J520" s="12" t="n">
        <v>2</v>
      </c>
      <c r="K520" s="12" t="n">
        <v>2</v>
      </c>
      <c r="L520" s="28" t="n">
        <v>1</v>
      </c>
      <c r="M520" s="12" t="n">
        <f aca="false">IF(L520=1,COUNTIFS($C$2:$C$1090,C520,$L$2:$L$1090,1),"")</f>
        <v>11</v>
      </c>
      <c r="N520" s="12" t="n">
        <f aca="false">IF(L520=1,1+COUNTIFS($C$2:$C$1090,C520,$L$2:$L$1090,1,$G$2:$G$1090,"&gt;"&amp;G520),"")</f>
        <v>2</v>
      </c>
      <c r="O520" s="12" t="n">
        <f aca="false">IF(L520=1,1+COUNTIFS($C$2:$C$1090,C520,$L$2:$L$1090,1,$H$2:$H$1090,"&gt;"&amp;H520),"")</f>
        <v>2</v>
      </c>
      <c r="P520" s="12" t="n">
        <f aca="false">IF(L520=1,N520-O520,"")</f>
        <v>0</v>
      </c>
      <c r="Q520" s="12" t="n">
        <f aca="false">INDEX(Directions!$D$2:$D$100,MATCH(C520,Directions!$A$2:$A$100,0))</f>
        <v>0</v>
      </c>
      <c r="R520" s="12" t="n">
        <f aca="false">IF(L520=1,P520*Q520,"")</f>
        <v>0</v>
      </c>
      <c r="S520" s="12" t="str">
        <f aca="false">IF(L520&lt;&gt;1,"Excluded",IF(Q520=0,"No direction",IF(R520&gt;0,"Better",IF(R520&lt;0,"Worse","No change"))))</f>
        <v>No direction</v>
      </c>
      <c r="T520" s="12"/>
      <c r="U520" s="12" t="str">
        <f aca="false">C520&amp;"|"&amp;E520</f>
        <v>F7_03|GBR</v>
      </c>
    </row>
    <row r="521" customFormat="false" ht="15" hidden="false" customHeight="false" outlineLevel="0" collapsed="false">
      <c r="A521" s="12" t="n">
        <v>7</v>
      </c>
      <c r="B521" s="12" t="s">
        <v>321</v>
      </c>
      <c r="C521" s="12" t="s">
        <v>150</v>
      </c>
      <c r="D521" s="12" t="s">
        <v>151</v>
      </c>
      <c r="E521" s="12" t="s">
        <v>284</v>
      </c>
      <c r="F521" s="12" t="s">
        <v>29</v>
      </c>
      <c r="G521" s="12" t="n">
        <v>380</v>
      </c>
      <c r="H521" s="12" t="n">
        <v>492</v>
      </c>
      <c r="I521" s="12" t="s">
        <v>293</v>
      </c>
      <c r="J521" s="12" t="n">
        <v>4</v>
      </c>
      <c r="K521" s="12" t="n">
        <v>1</v>
      </c>
      <c r="L521" s="28" t="n">
        <v>1</v>
      </c>
      <c r="M521" s="12" t="n">
        <f aca="false">IF(L521=1,COUNTIFS($C$2:$C$1090,C521,$L$2:$L$1090,1),"")</f>
        <v>11</v>
      </c>
      <c r="N521" s="12" t="n">
        <f aca="false">IF(L521=1,1+COUNTIFS($C$2:$C$1090,C521,$L$2:$L$1090,1,$G$2:$G$1090,"&gt;"&amp;G521),"")</f>
        <v>4</v>
      </c>
      <c r="O521" s="12" t="n">
        <f aca="false">IF(L521=1,1+COUNTIFS($C$2:$C$1090,C521,$L$2:$L$1090,1,$H$2:$H$1090,"&gt;"&amp;H521),"")</f>
        <v>1</v>
      </c>
      <c r="P521" s="12" t="n">
        <f aca="false">IF(L521=1,N521-O521,"")</f>
        <v>3</v>
      </c>
      <c r="Q521" s="12" t="n">
        <f aca="false">INDEX(Directions!$D$2:$D$100,MATCH(C521,Directions!$A$2:$A$100,0))</f>
        <v>0</v>
      </c>
      <c r="R521" s="12" t="n">
        <f aca="false">IF(L521=1,P521*Q521,"")</f>
        <v>0</v>
      </c>
      <c r="S521" s="12" t="str">
        <f aca="false">IF(L521&lt;&gt;1,"Excluded",IF(Q521=0,"No direction",IF(R521&gt;0,"Better",IF(R521&lt;0,"Worse","No change"))))</f>
        <v>No direction</v>
      </c>
      <c r="T521" s="12"/>
      <c r="U521" s="12" t="str">
        <f aca="false">C521&amp;"|"&amp;E521</f>
        <v>F7_03|DEU</v>
      </c>
    </row>
    <row r="522" customFormat="false" ht="15" hidden="false" customHeight="false" outlineLevel="0" collapsed="false">
      <c r="A522" s="12" t="n">
        <v>7</v>
      </c>
      <c r="B522" s="12" t="s">
        <v>321</v>
      </c>
      <c r="C522" s="12" t="s">
        <v>150</v>
      </c>
      <c r="D522" s="12" t="s">
        <v>151</v>
      </c>
      <c r="E522" s="12" t="s">
        <v>285</v>
      </c>
      <c r="F522" s="12" t="s">
        <v>30</v>
      </c>
      <c r="G522" s="12" t="n">
        <v>432</v>
      </c>
      <c r="H522" s="12" t="n">
        <v>379</v>
      </c>
      <c r="I522" s="12" t="s">
        <v>293</v>
      </c>
      <c r="J522" s="12" t="n">
        <v>3</v>
      </c>
      <c r="K522" s="12" t="n">
        <v>5</v>
      </c>
      <c r="L522" s="28" t="n">
        <v>1</v>
      </c>
      <c r="M522" s="12" t="n">
        <f aca="false">IF(L522=1,COUNTIFS($C$2:$C$1090,C522,$L$2:$L$1090,1),"")</f>
        <v>11</v>
      </c>
      <c r="N522" s="12" t="n">
        <f aca="false">IF(L522=1,1+COUNTIFS($C$2:$C$1090,C522,$L$2:$L$1090,1,$G$2:$G$1090,"&gt;"&amp;G522),"")</f>
        <v>3</v>
      </c>
      <c r="O522" s="12" t="n">
        <f aca="false">IF(L522=1,1+COUNTIFS($C$2:$C$1090,C522,$L$2:$L$1090,1,$H$2:$H$1090,"&gt;"&amp;H522),"")</f>
        <v>5</v>
      </c>
      <c r="P522" s="12" t="n">
        <f aca="false">IF(L522=1,N522-O522,"")</f>
        <v>-2</v>
      </c>
      <c r="Q522" s="12" t="n">
        <f aca="false">INDEX(Directions!$D$2:$D$100,MATCH(C522,Directions!$A$2:$A$100,0))</f>
        <v>0</v>
      </c>
      <c r="R522" s="12" t="n">
        <f aca="false">IF(L522=1,P522*Q522,"")</f>
        <v>-0</v>
      </c>
      <c r="S522" s="12" t="str">
        <f aca="false">IF(L522&lt;&gt;1,"Excluded",IF(Q522=0,"No direction",IF(R522&gt;0,"Better",IF(R522&lt;0,"Worse","No change"))))</f>
        <v>No direction</v>
      </c>
      <c r="T522" s="12"/>
      <c r="U522" s="12" t="str">
        <f aca="false">C522&amp;"|"&amp;E522</f>
        <v>F7_03|SWE</v>
      </c>
    </row>
    <row r="523" customFormat="false" ht="15" hidden="false" customHeight="false" outlineLevel="0" collapsed="false">
      <c r="A523" s="12" t="n">
        <v>7</v>
      </c>
      <c r="B523" s="12" t="s">
        <v>321</v>
      </c>
      <c r="C523" s="12" t="s">
        <v>150</v>
      </c>
      <c r="D523" s="12" t="s">
        <v>151</v>
      </c>
      <c r="E523" s="12" t="s">
        <v>286</v>
      </c>
      <c r="F523" s="12" t="s">
        <v>31</v>
      </c>
      <c r="G523" s="12" t="n">
        <v>271</v>
      </c>
      <c r="H523" s="12" t="n">
        <v>331</v>
      </c>
      <c r="I523" s="12" t="s">
        <v>293</v>
      </c>
      <c r="J523" s="12" t="n">
        <v>8</v>
      </c>
      <c r="K523" s="12" t="n">
        <v>8</v>
      </c>
      <c r="L523" s="28" t="n">
        <v>1</v>
      </c>
      <c r="M523" s="12" t="n">
        <f aca="false">IF(L523=1,COUNTIFS($C$2:$C$1090,C523,$L$2:$L$1090,1),"")</f>
        <v>11</v>
      </c>
      <c r="N523" s="12" t="n">
        <f aca="false">IF(L523=1,1+COUNTIFS($C$2:$C$1090,C523,$L$2:$L$1090,1,$G$2:$G$1090,"&gt;"&amp;G523),"")</f>
        <v>8</v>
      </c>
      <c r="O523" s="12" t="n">
        <f aca="false">IF(L523=1,1+COUNTIFS($C$2:$C$1090,C523,$L$2:$L$1090,1,$H$2:$H$1090,"&gt;"&amp;H523),"")</f>
        <v>8</v>
      </c>
      <c r="P523" s="12" t="n">
        <f aca="false">IF(L523=1,N523-O523,"")</f>
        <v>0</v>
      </c>
      <c r="Q523" s="12" t="n">
        <f aca="false">INDEX(Directions!$D$2:$D$100,MATCH(C523,Directions!$A$2:$A$100,0))</f>
        <v>0</v>
      </c>
      <c r="R523" s="12" t="n">
        <f aca="false">IF(L523=1,P523*Q523,"")</f>
        <v>0</v>
      </c>
      <c r="S523" s="12" t="str">
        <f aca="false">IF(L523&lt;&gt;1,"Excluded",IF(Q523=0,"No direction",IF(R523&gt;0,"Better",IF(R523&lt;0,"Worse","No change"))))</f>
        <v>No direction</v>
      </c>
      <c r="T523" s="12"/>
      <c r="U523" s="12" t="str">
        <f aca="false">C523&amp;"|"&amp;E523</f>
        <v>F7_03|FRA</v>
      </c>
    </row>
    <row r="524" customFormat="false" ht="15" hidden="false" customHeight="false" outlineLevel="0" collapsed="false">
      <c r="A524" s="12" t="n">
        <v>7</v>
      </c>
      <c r="B524" s="12" t="s">
        <v>321</v>
      </c>
      <c r="C524" s="12" t="s">
        <v>150</v>
      </c>
      <c r="D524" s="12" t="s">
        <v>151</v>
      </c>
      <c r="E524" s="12" t="s">
        <v>32</v>
      </c>
      <c r="F524" s="12" t="s">
        <v>32</v>
      </c>
      <c r="G524" s="12" t="n">
        <v>224</v>
      </c>
      <c r="H524" s="12" t="n">
        <v>183</v>
      </c>
      <c r="I524" s="12" t="s">
        <v>291</v>
      </c>
      <c r="J524" s="12" t="n">
        <v>10</v>
      </c>
      <c r="K524" s="12" t="n">
        <v>11</v>
      </c>
      <c r="L524" s="28" t="n">
        <v>1</v>
      </c>
      <c r="M524" s="12" t="n">
        <f aca="false">IF(L524=1,COUNTIFS($C$2:$C$1090,C524,$L$2:$L$1090,1),"")</f>
        <v>11</v>
      </c>
      <c r="N524" s="12" t="n">
        <f aca="false">IF(L524=1,1+COUNTIFS($C$2:$C$1090,C524,$L$2:$L$1090,1,$G$2:$G$1090,"&gt;"&amp;G524),"")</f>
        <v>10</v>
      </c>
      <c r="O524" s="12" t="n">
        <f aca="false">IF(L524=1,1+COUNTIFS($C$2:$C$1090,C524,$L$2:$L$1090,1,$H$2:$H$1090,"&gt;"&amp;H524),"")</f>
        <v>11</v>
      </c>
      <c r="P524" s="12" t="n">
        <f aca="false">IF(L524=1,N524-O524,"")</f>
        <v>-1</v>
      </c>
      <c r="Q524" s="12" t="n">
        <f aca="false">INDEX(Directions!$D$2:$D$100,MATCH(C524,Directions!$A$2:$A$100,0))</f>
        <v>0</v>
      </c>
      <c r="R524" s="12" t="n">
        <f aca="false">IF(L524=1,P524*Q524,"")</f>
        <v>-0</v>
      </c>
      <c r="S524" s="12" t="str">
        <f aca="false">IF(L524&lt;&gt;1,"Excluded",IF(Q524=0,"No direction",IF(R524&gt;0,"Better",IF(R524&lt;0,"Worse","No change"))))</f>
        <v>No direction</v>
      </c>
      <c r="T524" s="12"/>
      <c r="U524" s="12" t="str">
        <f aca="false">C524&amp;"|"&amp;E524</f>
        <v>F7_03|NLD</v>
      </c>
    </row>
    <row r="525" customFormat="false" ht="15" hidden="false" customHeight="false" outlineLevel="0" collapsed="false">
      <c r="A525" s="12" t="n">
        <v>7</v>
      </c>
      <c r="B525" s="12" t="s">
        <v>321</v>
      </c>
      <c r="C525" s="12" t="s">
        <v>150</v>
      </c>
      <c r="D525" s="12" t="s">
        <v>151</v>
      </c>
      <c r="E525" s="12" t="s">
        <v>33</v>
      </c>
      <c r="F525" s="12" t="s">
        <v>33</v>
      </c>
      <c r="G525" s="12" t="n">
        <v>269</v>
      </c>
      <c r="H525" s="12" t="n">
        <v>360</v>
      </c>
      <c r="I525" s="12" t="s">
        <v>293</v>
      </c>
      <c r="J525" s="12" t="n">
        <v>9</v>
      </c>
      <c r="K525" s="12" t="n">
        <v>7</v>
      </c>
      <c r="L525" s="28" t="n">
        <v>1</v>
      </c>
      <c r="M525" s="12" t="n">
        <f aca="false">IF(L525=1,COUNTIFS($C$2:$C$1090,C525,$L$2:$L$1090,1),"")</f>
        <v>11</v>
      </c>
      <c r="N525" s="12" t="n">
        <f aca="false">IF(L525=1,1+COUNTIFS($C$2:$C$1090,C525,$L$2:$L$1090,1,$G$2:$G$1090,"&gt;"&amp;G525),"")</f>
        <v>9</v>
      </c>
      <c r="O525" s="12" t="n">
        <f aca="false">IF(L525=1,1+COUNTIFS($C$2:$C$1090,C525,$L$2:$L$1090,1,$H$2:$H$1090,"&gt;"&amp;H525),"")</f>
        <v>7</v>
      </c>
      <c r="P525" s="12" t="n">
        <f aca="false">IF(L525=1,N525-O525,"")</f>
        <v>2</v>
      </c>
      <c r="Q525" s="12" t="n">
        <f aca="false">INDEX(Directions!$D$2:$D$100,MATCH(C525,Directions!$A$2:$A$100,0))</f>
        <v>0</v>
      </c>
      <c r="R525" s="12" t="n">
        <f aca="false">IF(L525=1,P525*Q525,"")</f>
        <v>0</v>
      </c>
      <c r="S525" s="12" t="str">
        <f aca="false">IF(L525&lt;&gt;1,"Excluded",IF(Q525=0,"No direction",IF(R525&gt;0,"Better",IF(R525&lt;0,"Worse","No change"))))</f>
        <v>No direction</v>
      </c>
      <c r="T525" s="12"/>
      <c r="U525" s="12" t="str">
        <f aca="false">C525&amp;"|"&amp;E525</f>
        <v>F7_03|CHE</v>
      </c>
    </row>
    <row r="526" customFormat="false" ht="15" hidden="false" customHeight="false" outlineLevel="0" collapsed="false">
      <c r="A526" s="12" t="n">
        <v>7</v>
      </c>
      <c r="B526" s="12" t="s">
        <v>321</v>
      </c>
      <c r="C526" s="12" t="s">
        <v>150</v>
      </c>
      <c r="D526" s="12" t="s">
        <v>151</v>
      </c>
      <c r="E526" s="12" t="s">
        <v>287</v>
      </c>
      <c r="F526" s="12" t="s">
        <v>34</v>
      </c>
      <c r="G526" s="12" t="n">
        <v>567</v>
      </c>
      <c r="H526" s="12" t="n">
        <v>445</v>
      </c>
      <c r="I526" s="12" t="s">
        <v>291</v>
      </c>
      <c r="J526" s="12" t="n">
        <v>1</v>
      </c>
      <c r="K526" s="12" t="n">
        <v>3</v>
      </c>
      <c r="L526" s="28" t="n">
        <v>1</v>
      </c>
      <c r="M526" s="12" t="n">
        <f aca="false">IF(L526=1,COUNTIFS($C$2:$C$1090,C526,$L$2:$L$1090,1),"")</f>
        <v>11</v>
      </c>
      <c r="N526" s="12" t="n">
        <f aca="false">IF(L526=1,1+COUNTIFS($C$2:$C$1090,C526,$L$2:$L$1090,1,$G$2:$G$1090,"&gt;"&amp;G526),"")</f>
        <v>1</v>
      </c>
      <c r="O526" s="12" t="n">
        <f aca="false">IF(L526=1,1+COUNTIFS($C$2:$C$1090,C526,$L$2:$L$1090,1,$H$2:$H$1090,"&gt;"&amp;H526),"")</f>
        <v>3</v>
      </c>
      <c r="P526" s="12" t="n">
        <f aca="false">IF(L526=1,N526-O526,"")</f>
        <v>-2</v>
      </c>
      <c r="Q526" s="12" t="n">
        <f aca="false">INDEX(Directions!$D$2:$D$100,MATCH(C526,Directions!$A$2:$A$100,0))</f>
        <v>0</v>
      </c>
      <c r="R526" s="12" t="n">
        <f aca="false">IF(L526=1,P526*Q526,"")</f>
        <v>-0</v>
      </c>
      <c r="S526" s="12" t="str">
        <f aca="false">IF(L526&lt;&gt;1,"Excluded",IF(Q526=0,"No direction",IF(R526&gt;0,"Better",IF(R526&lt;0,"Worse","No change"))))</f>
        <v>No direction</v>
      </c>
      <c r="T526" s="12"/>
      <c r="U526" s="12" t="str">
        <f aca="false">C526&amp;"|"&amp;E526</f>
        <v>F7_03|DNK</v>
      </c>
    </row>
    <row r="527" customFormat="false" ht="15" hidden="false" customHeight="false" outlineLevel="0" collapsed="false">
      <c r="A527" s="12" t="n">
        <v>7</v>
      </c>
      <c r="B527" s="12" t="s">
        <v>321</v>
      </c>
      <c r="C527" s="12" t="s">
        <v>150</v>
      </c>
      <c r="D527" s="12" t="s">
        <v>151</v>
      </c>
      <c r="E527" s="12" t="s">
        <v>288</v>
      </c>
      <c r="F527" s="12" t="s">
        <v>35</v>
      </c>
      <c r="G527" s="12" t="n">
        <v>187</v>
      </c>
      <c r="H527" s="12" t="n">
        <v>210</v>
      </c>
      <c r="I527" s="12" t="s">
        <v>293</v>
      </c>
      <c r="J527" s="12" t="n">
        <v>11</v>
      </c>
      <c r="K527" s="12" t="n">
        <v>10</v>
      </c>
      <c r="L527" s="28" t="n">
        <v>1</v>
      </c>
      <c r="M527" s="12" t="n">
        <f aca="false">IF(L527=1,COUNTIFS($C$2:$C$1090,C527,$L$2:$L$1090,1),"")</f>
        <v>11</v>
      </c>
      <c r="N527" s="12" t="n">
        <f aca="false">IF(L527=1,1+COUNTIFS($C$2:$C$1090,C527,$L$2:$L$1090,1,$G$2:$G$1090,"&gt;"&amp;G527),"")</f>
        <v>11</v>
      </c>
      <c r="O527" s="12" t="n">
        <f aca="false">IF(L527=1,1+COUNTIFS($C$2:$C$1090,C527,$L$2:$L$1090,1,$H$2:$H$1090,"&gt;"&amp;H527),"")</f>
        <v>10</v>
      </c>
      <c r="P527" s="12" t="n">
        <f aca="false">IF(L527=1,N527-O527,"")</f>
        <v>1</v>
      </c>
      <c r="Q527" s="12" t="n">
        <f aca="false">INDEX(Directions!$D$2:$D$100,MATCH(C527,Directions!$A$2:$A$100,0))</f>
        <v>0</v>
      </c>
      <c r="R527" s="12" t="n">
        <f aca="false">IF(L527=1,P527*Q527,"")</f>
        <v>0</v>
      </c>
      <c r="S527" s="12" t="str">
        <f aca="false">IF(L527&lt;&gt;1,"Excluded",IF(Q527=0,"No direction",IF(R527&gt;0,"Better",IF(R527&lt;0,"Worse","No change"))))</f>
        <v>No direction</v>
      </c>
      <c r="T527" s="12"/>
      <c r="U527" s="12" t="str">
        <f aca="false">C527&amp;"|"&amp;E527</f>
        <v>F7_03|CAN</v>
      </c>
    </row>
    <row r="528" customFormat="false" ht="15" hidden="false" customHeight="false" outlineLevel="0" collapsed="false">
      <c r="A528" s="12" t="n">
        <v>7</v>
      </c>
      <c r="B528" s="12" t="s">
        <v>321</v>
      </c>
      <c r="C528" s="12" t="s">
        <v>150</v>
      </c>
      <c r="D528" s="12" t="s">
        <v>151</v>
      </c>
      <c r="E528" s="12" t="s">
        <v>289</v>
      </c>
      <c r="F528" s="12" t="s">
        <v>36</v>
      </c>
      <c r="G528" s="12" t="n">
        <v>378</v>
      </c>
      <c r="H528" s="12" t="n">
        <v>320</v>
      </c>
      <c r="I528" s="12" t="s">
        <v>291</v>
      </c>
      <c r="J528" s="12" t="n">
        <v>5</v>
      </c>
      <c r="K528" s="12" t="n">
        <v>9</v>
      </c>
      <c r="L528" s="28" t="n">
        <v>1</v>
      </c>
      <c r="M528" s="12" t="n">
        <f aca="false">IF(L528=1,COUNTIFS($C$2:$C$1090,C528,$L$2:$L$1090,1),"")</f>
        <v>11</v>
      </c>
      <c r="N528" s="12" t="n">
        <f aca="false">IF(L528=1,1+COUNTIFS($C$2:$C$1090,C528,$L$2:$L$1090,1,$G$2:$G$1090,"&gt;"&amp;G528),"")</f>
        <v>5</v>
      </c>
      <c r="O528" s="12" t="n">
        <f aca="false">IF(L528=1,1+COUNTIFS($C$2:$C$1090,C528,$L$2:$L$1090,1,$H$2:$H$1090,"&gt;"&amp;H528),"")</f>
        <v>9</v>
      </c>
      <c r="P528" s="12" t="n">
        <f aca="false">IF(L528=1,N528-O528,"")</f>
        <v>-4</v>
      </c>
      <c r="Q528" s="12" t="n">
        <f aca="false">INDEX(Directions!$D$2:$D$100,MATCH(C528,Directions!$A$2:$A$100,0))</f>
        <v>0</v>
      </c>
      <c r="R528" s="12" t="n">
        <f aca="false">IF(L528=1,P528*Q528,"")</f>
        <v>-0</v>
      </c>
      <c r="S528" s="12" t="str">
        <f aca="false">IF(L528&lt;&gt;1,"Excluded",IF(Q528=0,"No direction",IF(R528&gt;0,"Better",IF(R528&lt;0,"Worse","No change"))))</f>
        <v>No direction</v>
      </c>
      <c r="T528" s="12"/>
      <c r="U528" s="12" t="str">
        <f aca="false">C528&amp;"|"&amp;E528</f>
        <v>F7_03|JPN</v>
      </c>
    </row>
    <row r="529" customFormat="false" ht="15" hidden="false" customHeight="false" outlineLevel="0" collapsed="false">
      <c r="A529" s="12" t="n">
        <v>7</v>
      </c>
      <c r="B529" s="12" t="s">
        <v>321</v>
      </c>
      <c r="C529" s="12" t="s">
        <v>150</v>
      </c>
      <c r="D529" s="12" t="s">
        <v>151</v>
      </c>
      <c r="E529" s="12" t="s">
        <v>290</v>
      </c>
      <c r="F529" s="12" t="s">
        <v>37</v>
      </c>
      <c r="G529" s="12" t="n">
        <v>338</v>
      </c>
      <c r="H529" s="12" t="n">
        <v>400</v>
      </c>
      <c r="I529" s="12" t="s">
        <v>293</v>
      </c>
      <c r="J529" s="12" t="n">
        <v>7</v>
      </c>
      <c r="K529" s="12" t="n">
        <v>4</v>
      </c>
      <c r="L529" s="28" t="n">
        <v>1</v>
      </c>
      <c r="M529" s="12" t="n">
        <f aca="false">IF(L529=1,COUNTIFS($C$2:$C$1090,C529,$L$2:$L$1090,1),"")</f>
        <v>11</v>
      </c>
      <c r="N529" s="12" t="n">
        <f aca="false">IF(L529=1,1+COUNTIFS($C$2:$C$1090,C529,$L$2:$L$1090,1,$G$2:$G$1090,"&gt;"&amp;G529),"")</f>
        <v>7</v>
      </c>
      <c r="O529" s="12" t="n">
        <f aca="false">IF(L529=1,1+COUNTIFS($C$2:$C$1090,C529,$L$2:$L$1090,1,$H$2:$H$1090,"&gt;"&amp;H529),"")</f>
        <v>4</v>
      </c>
      <c r="P529" s="12" t="n">
        <f aca="false">IF(L529=1,N529-O529,"")</f>
        <v>3</v>
      </c>
      <c r="Q529" s="12" t="n">
        <f aca="false">INDEX(Directions!$D$2:$D$100,MATCH(C529,Directions!$A$2:$A$100,0))</f>
        <v>0</v>
      </c>
      <c r="R529" s="12" t="n">
        <f aca="false">IF(L529=1,P529*Q529,"")</f>
        <v>0</v>
      </c>
      <c r="S529" s="12" t="str">
        <f aca="false">IF(L529&lt;&gt;1,"Excluded",IF(Q529=0,"No direction",IF(R529&gt;0,"Better",IF(R529&lt;0,"Worse","No change"))))</f>
        <v>No direction</v>
      </c>
      <c r="T529" s="12"/>
      <c r="U529" s="12" t="str">
        <f aca="false">C529&amp;"|"&amp;E529</f>
        <v>F7_03|AUS</v>
      </c>
    </row>
    <row r="530" customFormat="false" ht="15" hidden="false" customHeight="false" outlineLevel="0" collapsed="false">
      <c r="A530" s="12" t="n">
        <v>7</v>
      </c>
      <c r="B530" s="12" t="s">
        <v>321</v>
      </c>
      <c r="C530" s="12" t="s">
        <v>152</v>
      </c>
      <c r="D530" s="12" t="s">
        <v>153</v>
      </c>
      <c r="E530" s="12" t="s">
        <v>281</v>
      </c>
      <c r="F530" s="12" t="s">
        <v>27</v>
      </c>
      <c r="G530" s="12" t="n">
        <v>230</v>
      </c>
      <c r="H530" s="12" t="n">
        <v>230</v>
      </c>
      <c r="I530" s="12" t="s">
        <v>322</v>
      </c>
      <c r="J530" s="12" t="n">
        <v>6</v>
      </c>
      <c r="K530" s="12" t="n">
        <v>4</v>
      </c>
      <c r="L530" s="28" t="n">
        <v>1</v>
      </c>
      <c r="M530" s="12" t="n">
        <f aca="false">IF(L530=1,COUNTIFS($C$2:$C$1090,C530,$L$2:$L$1090,1),"")</f>
        <v>11</v>
      </c>
      <c r="N530" s="12" t="n">
        <f aca="false">IF(L530=1,1+COUNTIFS($C$2:$C$1090,C530,$L$2:$L$1090,1,$G$2:$G$1090,"&gt;"&amp;G530),"")</f>
        <v>6</v>
      </c>
      <c r="O530" s="12" t="n">
        <f aca="false">IF(L530=1,1+COUNTIFS($C$2:$C$1090,C530,$L$2:$L$1090,1,$H$2:$H$1090,"&gt;"&amp;H530),"")</f>
        <v>4</v>
      </c>
      <c r="P530" s="12" t="n">
        <f aca="false">IF(L530=1,N530-O530,"")</f>
        <v>2</v>
      </c>
      <c r="Q530" s="12" t="n">
        <f aca="false">INDEX(Directions!$D$2:$D$100,MATCH(C530,Directions!$A$2:$A$100,0))</f>
        <v>0</v>
      </c>
      <c r="R530" s="12" t="n">
        <f aca="false">IF(L530=1,P530*Q530,"")</f>
        <v>0</v>
      </c>
      <c r="S530" s="12" t="str">
        <f aca="false">IF(L530&lt;&gt;1,"Excluded",IF(Q530=0,"No direction",IF(R530&gt;0,"Better",IF(R530&lt;0,"Worse","No change"))))</f>
        <v>No direction</v>
      </c>
      <c r="T530" s="12" t="s">
        <v>323</v>
      </c>
      <c r="U530" s="12" t="str">
        <f aca="false">C530&amp;"|"&amp;E530</f>
        <v>F7_04|USA</v>
      </c>
    </row>
    <row r="531" customFormat="false" ht="15" hidden="false" customHeight="false" outlineLevel="0" collapsed="false">
      <c r="A531" s="12" t="n">
        <v>7</v>
      </c>
      <c r="B531" s="12" t="s">
        <v>321</v>
      </c>
      <c r="C531" s="12" t="s">
        <v>152</v>
      </c>
      <c r="D531" s="12" t="s">
        <v>153</v>
      </c>
      <c r="E531" s="12" t="s">
        <v>283</v>
      </c>
      <c r="F531" s="12" t="s">
        <v>28</v>
      </c>
      <c r="G531" s="12" t="n">
        <v>251</v>
      </c>
      <c r="H531" s="12" t="n">
        <v>254</v>
      </c>
      <c r="I531" s="12" t="s">
        <v>299</v>
      </c>
      <c r="J531" s="12" t="n">
        <v>3</v>
      </c>
      <c r="K531" s="12" t="n">
        <v>3</v>
      </c>
      <c r="L531" s="28" t="n">
        <v>1</v>
      </c>
      <c r="M531" s="12" t="n">
        <f aca="false">IF(L531=1,COUNTIFS($C$2:$C$1090,C531,$L$2:$L$1090,1),"")</f>
        <v>11</v>
      </c>
      <c r="N531" s="12" t="n">
        <f aca="false">IF(L531=1,1+COUNTIFS($C$2:$C$1090,C531,$L$2:$L$1090,1,$G$2:$G$1090,"&gt;"&amp;G531),"")</f>
        <v>3</v>
      </c>
      <c r="O531" s="12" t="n">
        <f aca="false">IF(L531=1,1+COUNTIFS($C$2:$C$1090,C531,$L$2:$L$1090,1,$H$2:$H$1090,"&gt;"&amp;H531),"")</f>
        <v>3</v>
      </c>
      <c r="P531" s="12" t="n">
        <f aca="false">IF(L531=1,N531-O531,"")</f>
        <v>0</v>
      </c>
      <c r="Q531" s="12" t="n">
        <f aca="false">INDEX(Directions!$D$2:$D$100,MATCH(C531,Directions!$A$2:$A$100,0))</f>
        <v>0</v>
      </c>
      <c r="R531" s="12" t="n">
        <f aca="false">IF(L531=1,P531*Q531,"")</f>
        <v>0</v>
      </c>
      <c r="S531" s="12" t="str">
        <f aca="false">IF(L531&lt;&gt;1,"Excluded",IF(Q531=0,"No direction",IF(R531&gt;0,"Better",IF(R531&lt;0,"Worse","No change"))))</f>
        <v>No direction</v>
      </c>
      <c r="T531" s="12"/>
      <c r="U531" s="12" t="str">
        <f aca="false">C531&amp;"|"&amp;E531</f>
        <v>F7_04|GBR</v>
      </c>
    </row>
    <row r="532" customFormat="false" ht="15" hidden="false" customHeight="false" outlineLevel="0" collapsed="false">
      <c r="A532" s="12" t="n">
        <v>7</v>
      </c>
      <c r="B532" s="12" t="s">
        <v>321</v>
      </c>
      <c r="C532" s="12" t="s">
        <v>152</v>
      </c>
      <c r="D532" s="12" t="s">
        <v>153</v>
      </c>
      <c r="E532" s="12" t="s">
        <v>284</v>
      </c>
      <c r="F532" s="12" t="s">
        <v>29</v>
      </c>
      <c r="G532" s="12" t="n">
        <v>352</v>
      </c>
      <c r="H532" s="12" t="n">
        <v>302</v>
      </c>
      <c r="I532" s="12" t="s">
        <v>293</v>
      </c>
      <c r="J532" s="12" t="n">
        <v>1</v>
      </c>
      <c r="K532" s="12" t="n">
        <v>1</v>
      </c>
      <c r="L532" s="28" t="n">
        <v>1</v>
      </c>
      <c r="M532" s="12" t="n">
        <f aca="false">IF(L532=1,COUNTIFS($C$2:$C$1090,C532,$L$2:$L$1090,1),"")</f>
        <v>11</v>
      </c>
      <c r="N532" s="12" t="n">
        <f aca="false">IF(L532=1,1+COUNTIFS($C$2:$C$1090,C532,$L$2:$L$1090,1,$G$2:$G$1090,"&gt;"&amp;G532),"")</f>
        <v>1</v>
      </c>
      <c r="O532" s="12" t="n">
        <f aca="false">IF(L532=1,1+COUNTIFS($C$2:$C$1090,C532,$L$2:$L$1090,1,$H$2:$H$1090,"&gt;"&amp;H532),"")</f>
        <v>1</v>
      </c>
      <c r="P532" s="12" t="n">
        <f aca="false">IF(L532=1,N532-O532,"")</f>
        <v>0</v>
      </c>
      <c r="Q532" s="12" t="n">
        <f aca="false">INDEX(Directions!$D$2:$D$100,MATCH(C532,Directions!$A$2:$A$100,0))</f>
        <v>0</v>
      </c>
      <c r="R532" s="12" t="n">
        <f aca="false">IF(L532=1,P532*Q532,"")</f>
        <v>0</v>
      </c>
      <c r="S532" s="12" t="str">
        <f aca="false">IF(L532&lt;&gt;1,"Excluded",IF(Q532=0,"No direction",IF(R532&gt;0,"Better",IF(R532&lt;0,"Worse","No change"))))</f>
        <v>No direction</v>
      </c>
      <c r="T532" s="12"/>
      <c r="U532" s="12" t="str">
        <f aca="false">C532&amp;"|"&amp;E532</f>
        <v>F7_04|DEU</v>
      </c>
    </row>
    <row r="533" customFormat="false" ht="15" hidden="false" customHeight="false" outlineLevel="0" collapsed="false">
      <c r="A533" s="12" t="n">
        <v>7</v>
      </c>
      <c r="B533" s="12" t="s">
        <v>321</v>
      </c>
      <c r="C533" s="12" t="s">
        <v>152</v>
      </c>
      <c r="D533" s="12" t="s">
        <v>153</v>
      </c>
      <c r="E533" s="12" t="s">
        <v>285</v>
      </c>
      <c r="F533" s="12" t="s">
        <v>30</v>
      </c>
      <c r="G533" s="12" t="n">
        <v>186</v>
      </c>
      <c r="H533" s="12" t="n">
        <v>121</v>
      </c>
      <c r="I533" s="12" t="s">
        <v>293</v>
      </c>
      <c r="J533" s="12" t="n">
        <v>7</v>
      </c>
      <c r="K533" s="12" t="n">
        <v>10</v>
      </c>
      <c r="L533" s="28" t="n">
        <v>1</v>
      </c>
      <c r="M533" s="12" t="n">
        <f aca="false">IF(L533=1,COUNTIFS($C$2:$C$1090,C533,$L$2:$L$1090,1),"")</f>
        <v>11</v>
      </c>
      <c r="N533" s="12" t="n">
        <f aca="false">IF(L533=1,1+COUNTIFS($C$2:$C$1090,C533,$L$2:$L$1090,1,$G$2:$G$1090,"&gt;"&amp;G533),"")</f>
        <v>7</v>
      </c>
      <c r="O533" s="12" t="n">
        <f aca="false">IF(L533=1,1+COUNTIFS($C$2:$C$1090,C533,$L$2:$L$1090,1,$H$2:$H$1090,"&gt;"&amp;H533),"")</f>
        <v>10</v>
      </c>
      <c r="P533" s="12" t="n">
        <f aca="false">IF(L533=1,N533-O533,"")</f>
        <v>-3</v>
      </c>
      <c r="Q533" s="12" t="n">
        <f aca="false">INDEX(Directions!$D$2:$D$100,MATCH(C533,Directions!$A$2:$A$100,0))</f>
        <v>0</v>
      </c>
      <c r="R533" s="12" t="n">
        <f aca="false">IF(L533=1,P533*Q533,"")</f>
        <v>-0</v>
      </c>
      <c r="S533" s="12" t="str">
        <f aca="false">IF(L533&lt;&gt;1,"Excluded",IF(Q533=0,"No direction",IF(R533&gt;0,"Better",IF(R533&lt;0,"Worse","No change"))))</f>
        <v>No direction</v>
      </c>
      <c r="T533" s="12"/>
      <c r="U533" s="12" t="str">
        <f aca="false">C533&amp;"|"&amp;E533</f>
        <v>F7_04|SWE</v>
      </c>
    </row>
    <row r="534" customFormat="false" ht="15" hidden="false" customHeight="false" outlineLevel="0" collapsed="false">
      <c r="A534" s="12" t="n">
        <v>7</v>
      </c>
      <c r="B534" s="12" t="s">
        <v>321</v>
      </c>
      <c r="C534" s="12" t="s">
        <v>152</v>
      </c>
      <c r="D534" s="12" t="s">
        <v>153</v>
      </c>
      <c r="E534" s="12" t="s">
        <v>286</v>
      </c>
      <c r="F534" s="12" t="s">
        <v>31</v>
      </c>
      <c r="G534" s="12" t="n">
        <v>138</v>
      </c>
      <c r="H534" s="12" t="n">
        <v>141</v>
      </c>
      <c r="I534" s="12" t="s">
        <v>293</v>
      </c>
      <c r="J534" s="12" t="n">
        <v>10</v>
      </c>
      <c r="K534" s="12" t="n">
        <v>9</v>
      </c>
      <c r="L534" s="28" t="n">
        <v>1</v>
      </c>
      <c r="M534" s="12" t="n">
        <f aca="false">IF(L534=1,COUNTIFS($C$2:$C$1090,C534,$L$2:$L$1090,1),"")</f>
        <v>11</v>
      </c>
      <c r="N534" s="12" t="n">
        <f aca="false">IF(L534=1,1+COUNTIFS($C$2:$C$1090,C534,$L$2:$L$1090,1,$G$2:$G$1090,"&gt;"&amp;G534),"")</f>
        <v>10</v>
      </c>
      <c r="O534" s="12" t="n">
        <f aca="false">IF(L534=1,1+COUNTIFS($C$2:$C$1090,C534,$L$2:$L$1090,1,$H$2:$H$1090,"&gt;"&amp;H534),"")</f>
        <v>9</v>
      </c>
      <c r="P534" s="12" t="n">
        <f aca="false">IF(L534=1,N534-O534,"")</f>
        <v>1</v>
      </c>
      <c r="Q534" s="12" t="n">
        <f aca="false">INDEX(Directions!$D$2:$D$100,MATCH(C534,Directions!$A$2:$A$100,0))</f>
        <v>0</v>
      </c>
      <c r="R534" s="12" t="n">
        <f aca="false">IF(L534=1,P534*Q534,"")</f>
        <v>0</v>
      </c>
      <c r="S534" s="12" t="str">
        <f aca="false">IF(L534&lt;&gt;1,"Excluded",IF(Q534=0,"No direction",IF(R534&gt;0,"Better",IF(R534&lt;0,"Worse","No change"))))</f>
        <v>No direction</v>
      </c>
      <c r="T534" s="12"/>
      <c r="U534" s="12" t="str">
        <f aca="false">C534&amp;"|"&amp;E534</f>
        <v>F7_04|FRA</v>
      </c>
    </row>
    <row r="535" customFormat="false" ht="15" hidden="false" customHeight="false" outlineLevel="0" collapsed="false">
      <c r="A535" s="12" t="n">
        <v>7</v>
      </c>
      <c r="B535" s="12" t="s">
        <v>321</v>
      </c>
      <c r="C535" s="12" t="s">
        <v>152</v>
      </c>
      <c r="D535" s="12" t="s">
        <v>153</v>
      </c>
      <c r="E535" s="12" t="s">
        <v>32</v>
      </c>
      <c r="F535" s="12" t="s">
        <v>32</v>
      </c>
      <c r="G535" s="12" t="n">
        <v>161</v>
      </c>
      <c r="H535" s="12" t="n">
        <v>157</v>
      </c>
      <c r="I535" s="12" t="s">
        <v>291</v>
      </c>
      <c r="J535" s="12" t="n">
        <v>8</v>
      </c>
      <c r="K535" s="12" t="n">
        <v>7</v>
      </c>
      <c r="L535" s="28" t="n">
        <v>1</v>
      </c>
      <c r="M535" s="12" t="n">
        <f aca="false">IF(L535=1,COUNTIFS($C$2:$C$1090,C535,$L$2:$L$1090,1),"")</f>
        <v>11</v>
      </c>
      <c r="N535" s="12" t="n">
        <f aca="false">IF(L535=1,1+COUNTIFS($C$2:$C$1090,C535,$L$2:$L$1090,1,$G$2:$G$1090,"&gt;"&amp;G535),"")</f>
        <v>8</v>
      </c>
      <c r="O535" s="12" t="n">
        <f aca="false">IF(L535=1,1+COUNTIFS($C$2:$C$1090,C535,$L$2:$L$1090,1,$H$2:$H$1090,"&gt;"&amp;H535),"")</f>
        <v>7</v>
      </c>
      <c r="P535" s="12" t="n">
        <f aca="false">IF(L535=1,N535-O535,"")</f>
        <v>1</v>
      </c>
      <c r="Q535" s="12" t="n">
        <f aca="false">INDEX(Directions!$D$2:$D$100,MATCH(C535,Directions!$A$2:$A$100,0))</f>
        <v>0</v>
      </c>
      <c r="R535" s="12" t="n">
        <f aca="false">IF(L535=1,P535*Q535,"")</f>
        <v>0</v>
      </c>
      <c r="S535" s="12" t="str">
        <f aca="false">IF(L535&lt;&gt;1,"Excluded",IF(Q535=0,"No direction",IF(R535&gt;0,"Better",IF(R535&lt;0,"Worse","No change"))))</f>
        <v>No direction</v>
      </c>
      <c r="T535" s="12"/>
      <c r="U535" s="12" t="str">
        <f aca="false">C535&amp;"|"&amp;E535</f>
        <v>F7_04|NLD</v>
      </c>
    </row>
    <row r="536" customFormat="false" ht="15" hidden="false" customHeight="false" outlineLevel="0" collapsed="false">
      <c r="A536" s="12" t="n">
        <v>7</v>
      </c>
      <c r="B536" s="12" t="s">
        <v>321</v>
      </c>
      <c r="C536" s="12" t="s">
        <v>152</v>
      </c>
      <c r="D536" s="12" t="s">
        <v>153</v>
      </c>
      <c r="E536" s="12" t="s">
        <v>33</v>
      </c>
      <c r="F536" s="12" t="s">
        <v>33</v>
      </c>
      <c r="G536" s="12" t="n">
        <v>142</v>
      </c>
      <c r="H536" s="12" t="n">
        <v>151</v>
      </c>
      <c r="I536" s="12" t="s">
        <v>293</v>
      </c>
      <c r="J536" s="12" t="n">
        <v>9</v>
      </c>
      <c r="K536" s="12" t="n">
        <v>8</v>
      </c>
      <c r="L536" s="28" t="n">
        <v>1</v>
      </c>
      <c r="M536" s="12" t="n">
        <f aca="false">IF(L536=1,COUNTIFS($C$2:$C$1090,C536,$L$2:$L$1090,1),"")</f>
        <v>11</v>
      </c>
      <c r="N536" s="12" t="n">
        <f aca="false">IF(L536=1,1+COUNTIFS($C$2:$C$1090,C536,$L$2:$L$1090,1,$G$2:$G$1090,"&gt;"&amp;G536),"")</f>
        <v>9</v>
      </c>
      <c r="O536" s="12" t="n">
        <f aca="false">IF(L536=1,1+COUNTIFS($C$2:$C$1090,C536,$L$2:$L$1090,1,$H$2:$H$1090,"&gt;"&amp;H536),"")</f>
        <v>8</v>
      </c>
      <c r="P536" s="12" t="n">
        <f aca="false">IF(L536=1,N536-O536,"")</f>
        <v>1</v>
      </c>
      <c r="Q536" s="12" t="n">
        <f aca="false">INDEX(Directions!$D$2:$D$100,MATCH(C536,Directions!$A$2:$A$100,0))</f>
        <v>0</v>
      </c>
      <c r="R536" s="12" t="n">
        <f aca="false">IF(L536=1,P536*Q536,"")</f>
        <v>0</v>
      </c>
      <c r="S536" s="12" t="str">
        <f aca="false">IF(L536&lt;&gt;1,"Excluded",IF(Q536=0,"No direction",IF(R536&gt;0,"Better",IF(R536&lt;0,"Worse","No change"))))</f>
        <v>No direction</v>
      </c>
      <c r="T536" s="12"/>
      <c r="U536" s="12" t="str">
        <f aca="false">C536&amp;"|"&amp;E536</f>
        <v>F7_04|CHE</v>
      </c>
    </row>
    <row r="537" customFormat="false" ht="15" hidden="false" customHeight="false" outlineLevel="0" collapsed="false">
      <c r="A537" s="12" t="n">
        <v>7</v>
      </c>
      <c r="B537" s="12" t="s">
        <v>321</v>
      </c>
      <c r="C537" s="12" t="s">
        <v>152</v>
      </c>
      <c r="D537" s="12" t="s">
        <v>153</v>
      </c>
      <c r="E537" s="12" t="s">
        <v>287</v>
      </c>
      <c r="F537" s="12" t="s">
        <v>34</v>
      </c>
      <c r="G537" s="12" t="n">
        <v>234</v>
      </c>
      <c r="H537" s="12" t="n">
        <v>196</v>
      </c>
      <c r="I537" s="12" t="s">
        <v>291</v>
      </c>
      <c r="J537" s="12" t="n">
        <v>5</v>
      </c>
      <c r="K537" s="12" t="n">
        <v>6</v>
      </c>
      <c r="L537" s="28" t="n">
        <v>1</v>
      </c>
      <c r="M537" s="12" t="n">
        <f aca="false">IF(L537=1,COUNTIFS($C$2:$C$1090,C537,$L$2:$L$1090,1),"")</f>
        <v>11</v>
      </c>
      <c r="N537" s="12" t="n">
        <f aca="false">IF(L537=1,1+COUNTIFS($C$2:$C$1090,C537,$L$2:$L$1090,1,$G$2:$G$1090,"&gt;"&amp;G537),"")</f>
        <v>5</v>
      </c>
      <c r="O537" s="12" t="n">
        <f aca="false">IF(L537=1,1+COUNTIFS($C$2:$C$1090,C537,$L$2:$L$1090,1,$H$2:$H$1090,"&gt;"&amp;H537),"")</f>
        <v>6</v>
      </c>
      <c r="P537" s="12" t="n">
        <f aca="false">IF(L537=1,N537-O537,"")</f>
        <v>-1</v>
      </c>
      <c r="Q537" s="12" t="n">
        <f aca="false">INDEX(Directions!$D$2:$D$100,MATCH(C537,Directions!$A$2:$A$100,0))</f>
        <v>0</v>
      </c>
      <c r="R537" s="12" t="n">
        <f aca="false">IF(L537=1,P537*Q537,"")</f>
        <v>-0</v>
      </c>
      <c r="S537" s="12" t="str">
        <f aca="false">IF(L537&lt;&gt;1,"Excluded",IF(Q537=0,"No direction",IF(R537&gt;0,"Better",IF(R537&lt;0,"Worse","No change"))))</f>
        <v>No direction</v>
      </c>
      <c r="T537" s="12"/>
      <c r="U537" s="12" t="str">
        <f aca="false">C537&amp;"|"&amp;E537</f>
        <v>F7_04|DNK</v>
      </c>
    </row>
    <row r="538" customFormat="false" ht="15" hidden="false" customHeight="false" outlineLevel="0" collapsed="false">
      <c r="A538" s="12" t="n">
        <v>7</v>
      </c>
      <c r="B538" s="12" t="s">
        <v>321</v>
      </c>
      <c r="C538" s="12" t="s">
        <v>152</v>
      </c>
      <c r="D538" s="12" t="s">
        <v>153</v>
      </c>
      <c r="E538" s="12" t="s">
        <v>288</v>
      </c>
      <c r="F538" s="12" t="s">
        <v>35</v>
      </c>
      <c r="G538" s="12" t="n">
        <v>241</v>
      </c>
      <c r="H538" s="12" t="n">
        <v>210</v>
      </c>
      <c r="I538" s="12" t="s">
        <v>293</v>
      </c>
      <c r="J538" s="12" t="n">
        <v>4</v>
      </c>
      <c r="K538" s="12" t="n">
        <v>5</v>
      </c>
      <c r="L538" s="28" t="n">
        <v>1</v>
      </c>
      <c r="M538" s="12" t="n">
        <f aca="false">IF(L538=1,COUNTIFS($C$2:$C$1090,C538,$L$2:$L$1090,1),"")</f>
        <v>11</v>
      </c>
      <c r="N538" s="12" t="n">
        <f aca="false">IF(L538=1,1+COUNTIFS($C$2:$C$1090,C538,$L$2:$L$1090,1,$G$2:$G$1090,"&gt;"&amp;G538),"")</f>
        <v>4</v>
      </c>
      <c r="O538" s="12" t="n">
        <f aca="false">IF(L538=1,1+COUNTIFS($C$2:$C$1090,C538,$L$2:$L$1090,1,$H$2:$H$1090,"&gt;"&amp;H538),"")</f>
        <v>5</v>
      </c>
      <c r="P538" s="12" t="n">
        <f aca="false">IF(L538=1,N538-O538,"")</f>
        <v>-1</v>
      </c>
      <c r="Q538" s="12" t="n">
        <f aca="false">INDEX(Directions!$D$2:$D$100,MATCH(C538,Directions!$A$2:$A$100,0))</f>
        <v>0</v>
      </c>
      <c r="R538" s="12" t="n">
        <f aca="false">IF(L538=1,P538*Q538,"")</f>
        <v>-0</v>
      </c>
      <c r="S538" s="12" t="str">
        <f aca="false">IF(L538&lt;&gt;1,"Excluded",IF(Q538=0,"No direction",IF(R538&gt;0,"Better",IF(R538&lt;0,"Worse","No change"))))</f>
        <v>No direction</v>
      </c>
      <c r="T538" s="12"/>
      <c r="U538" s="12" t="str">
        <f aca="false">C538&amp;"|"&amp;E538</f>
        <v>F7_04|CAN</v>
      </c>
    </row>
    <row r="539" customFormat="false" ht="15" hidden="false" customHeight="false" outlineLevel="0" collapsed="false">
      <c r="A539" s="12" t="n">
        <v>7</v>
      </c>
      <c r="B539" s="12" t="s">
        <v>321</v>
      </c>
      <c r="C539" s="12" t="s">
        <v>152</v>
      </c>
      <c r="D539" s="12" t="s">
        <v>153</v>
      </c>
      <c r="E539" s="12" t="s">
        <v>289</v>
      </c>
      <c r="F539" s="12" t="s">
        <v>36</v>
      </c>
      <c r="G539" s="12" t="n">
        <v>45</v>
      </c>
      <c r="H539" s="12" t="n">
        <v>40</v>
      </c>
      <c r="I539" s="12" t="s">
        <v>291</v>
      </c>
      <c r="J539" s="12" t="n">
        <v>11</v>
      </c>
      <c r="K539" s="12" t="n">
        <v>11</v>
      </c>
      <c r="L539" s="28" t="n">
        <v>1</v>
      </c>
      <c r="M539" s="12" t="n">
        <f aca="false">IF(L539=1,COUNTIFS($C$2:$C$1090,C539,$L$2:$L$1090,1),"")</f>
        <v>11</v>
      </c>
      <c r="N539" s="12" t="n">
        <f aca="false">IF(L539=1,1+COUNTIFS($C$2:$C$1090,C539,$L$2:$L$1090,1,$G$2:$G$1090,"&gt;"&amp;G539),"")</f>
        <v>11</v>
      </c>
      <c r="O539" s="12" t="n">
        <f aca="false">IF(L539=1,1+COUNTIFS($C$2:$C$1090,C539,$L$2:$L$1090,1,$H$2:$H$1090,"&gt;"&amp;H539),"")</f>
        <v>11</v>
      </c>
      <c r="P539" s="12" t="n">
        <f aca="false">IF(L539=1,N539-O539,"")</f>
        <v>0</v>
      </c>
      <c r="Q539" s="12" t="n">
        <f aca="false">INDEX(Directions!$D$2:$D$100,MATCH(C539,Directions!$A$2:$A$100,0))</f>
        <v>0</v>
      </c>
      <c r="R539" s="12" t="n">
        <f aca="false">IF(L539=1,P539*Q539,"")</f>
        <v>0</v>
      </c>
      <c r="S539" s="12" t="str">
        <f aca="false">IF(L539&lt;&gt;1,"Excluded",IF(Q539=0,"No direction",IF(R539&gt;0,"Better",IF(R539&lt;0,"Worse","No change"))))</f>
        <v>No direction</v>
      </c>
      <c r="T539" s="12"/>
      <c r="U539" s="12" t="str">
        <f aca="false">C539&amp;"|"&amp;E539</f>
        <v>F7_04|JPN</v>
      </c>
    </row>
    <row r="540" customFormat="false" ht="15" hidden="false" customHeight="false" outlineLevel="0" collapsed="false">
      <c r="A540" s="12" t="n">
        <v>7</v>
      </c>
      <c r="B540" s="12" t="s">
        <v>321</v>
      </c>
      <c r="C540" s="12" t="s">
        <v>152</v>
      </c>
      <c r="D540" s="12" t="s">
        <v>153</v>
      </c>
      <c r="E540" s="12" t="s">
        <v>290</v>
      </c>
      <c r="F540" s="12" t="s">
        <v>37</v>
      </c>
      <c r="G540" s="12" t="n">
        <v>286</v>
      </c>
      <c r="H540" s="12" t="n">
        <v>257</v>
      </c>
      <c r="I540" s="12" t="s">
        <v>293</v>
      </c>
      <c r="J540" s="12" t="n">
        <v>2</v>
      </c>
      <c r="K540" s="12" t="n">
        <v>2</v>
      </c>
      <c r="L540" s="28" t="n">
        <v>1</v>
      </c>
      <c r="M540" s="12" t="n">
        <f aca="false">IF(L540=1,COUNTIFS($C$2:$C$1090,C540,$L$2:$L$1090,1),"")</f>
        <v>11</v>
      </c>
      <c r="N540" s="12" t="n">
        <f aca="false">IF(L540=1,1+COUNTIFS($C$2:$C$1090,C540,$L$2:$L$1090,1,$G$2:$G$1090,"&gt;"&amp;G540),"")</f>
        <v>2</v>
      </c>
      <c r="O540" s="12" t="n">
        <f aca="false">IF(L540=1,1+COUNTIFS($C$2:$C$1090,C540,$L$2:$L$1090,1,$H$2:$H$1090,"&gt;"&amp;H540),"")</f>
        <v>2</v>
      </c>
      <c r="P540" s="12" t="n">
        <f aca="false">IF(L540=1,N540-O540,"")</f>
        <v>0</v>
      </c>
      <c r="Q540" s="12" t="n">
        <f aca="false">INDEX(Directions!$D$2:$D$100,MATCH(C540,Directions!$A$2:$A$100,0))</f>
        <v>0</v>
      </c>
      <c r="R540" s="12" t="n">
        <f aca="false">IF(L540=1,P540*Q540,"")</f>
        <v>0</v>
      </c>
      <c r="S540" s="12" t="str">
        <f aca="false">IF(L540&lt;&gt;1,"Excluded",IF(Q540=0,"No direction",IF(R540&gt;0,"Better",IF(R540&lt;0,"Worse","No change"))))</f>
        <v>No direction</v>
      </c>
      <c r="T540" s="12"/>
      <c r="U540" s="12" t="str">
        <f aca="false">C540&amp;"|"&amp;E540</f>
        <v>F7_04|AUS</v>
      </c>
    </row>
    <row r="541" customFormat="false" ht="15" hidden="false" customHeight="false" outlineLevel="0" collapsed="false">
      <c r="A541" s="12" t="n">
        <v>7</v>
      </c>
      <c r="B541" s="12" t="s">
        <v>321</v>
      </c>
      <c r="C541" s="12" t="s">
        <v>154</v>
      </c>
      <c r="D541" s="12" t="s">
        <v>155</v>
      </c>
      <c r="E541" s="12" t="s">
        <v>281</v>
      </c>
      <c r="F541" s="12" t="s">
        <v>27</v>
      </c>
      <c r="G541" s="12" t="n">
        <v>118</v>
      </c>
      <c r="H541" s="12" t="n">
        <v>108</v>
      </c>
      <c r="I541" s="12" t="s">
        <v>295</v>
      </c>
      <c r="J541" s="12" t="n">
        <v>2</v>
      </c>
      <c r="K541" s="12" t="n">
        <v>4</v>
      </c>
      <c r="L541" s="28" t="n">
        <v>1</v>
      </c>
      <c r="M541" s="12" t="n">
        <f aca="false">IF(L541=1,COUNTIFS($C$2:$C$1090,C541,$L$2:$L$1090,1),"")</f>
        <v>10</v>
      </c>
      <c r="N541" s="12" t="n">
        <f aca="false">IF(L541=1,1+COUNTIFS($C$2:$C$1090,C541,$L$2:$L$1090,1,$G$2:$G$1090,"&gt;"&amp;G541),"")</f>
        <v>2</v>
      </c>
      <c r="O541" s="12" t="n">
        <f aca="false">IF(L541=1,1+COUNTIFS($C$2:$C$1090,C541,$L$2:$L$1090,1,$H$2:$H$1090,"&gt;"&amp;H541),"")</f>
        <v>4</v>
      </c>
      <c r="P541" s="12" t="n">
        <f aca="false">IF(L541=1,N541-O541,"")</f>
        <v>-2</v>
      </c>
      <c r="Q541" s="12" t="n">
        <f aca="false">INDEX(Directions!$D$2:$D$100,MATCH(C541,Directions!$A$2:$A$100,0))</f>
        <v>0</v>
      </c>
      <c r="R541" s="12" t="n">
        <f aca="false">IF(L541=1,P541*Q541,"")</f>
        <v>-0</v>
      </c>
      <c r="S541" s="12" t="str">
        <f aca="false">IF(L541&lt;&gt;1,"Excluded",IF(Q541=0,"No direction",IF(R541&gt;0,"Better",IF(R541&lt;0,"Worse","No change"))))</f>
        <v>No direction</v>
      </c>
      <c r="T541" s="12"/>
      <c r="U541" s="12" t="str">
        <f aca="false">C541&amp;"|"&amp;E541</f>
        <v>F7_05|USA</v>
      </c>
    </row>
    <row r="542" customFormat="false" ht="15" hidden="false" customHeight="false" outlineLevel="0" collapsed="false">
      <c r="A542" s="12" t="n">
        <v>7</v>
      </c>
      <c r="B542" s="12" t="s">
        <v>321</v>
      </c>
      <c r="C542" s="12" t="s">
        <v>154</v>
      </c>
      <c r="D542" s="12" t="s">
        <v>155</v>
      </c>
      <c r="E542" s="12" t="s">
        <v>283</v>
      </c>
      <c r="F542" s="12" t="s">
        <v>28</v>
      </c>
      <c r="G542" s="12" t="n">
        <v>53</v>
      </c>
      <c r="H542" s="12" t="n">
        <v>75</v>
      </c>
      <c r="I542" s="12" t="s">
        <v>293</v>
      </c>
      <c r="J542" s="12" t="n">
        <v>8</v>
      </c>
      <c r="K542" s="12" t="n">
        <v>7</v>
      </c>
      <c r="L542" s="28" t="n">
        <v>1</v>
      </c>
      <c r="M542" s="12" t="n">
        <f aca="false">IF(L542=1,COUNTIFS($C$2:$C$1090,C542,$L$2:$L$1090,1),"")</f>
        <v>10</v>
      </c>
      <c r="N542" s="12" t="n">
        <f aca="false">IF(L542=1,1+COUNTIFS($C$2:$C$1090,C542,$L$2:$L$1090,1,$G$2:$G$1090,"&gt;"&amp;G542),"")</f>
        <v>8</v>
      </c>
      <c r="O542" s="12" t="n">
        <f aca="false">IF(L542=1,1+COUNTIFS($C$2:$C$1090,C542,$L$2:$L$1090,1,$H$2:$H$1090,"&gt;"&amp;H542),"")</f>
        <v>7</v>
      </c>
      <c r="P542" s="12" t="n">
        <f aca="false">IF(L542=1,N542-O542,"")</f>
        <v>1</v>
      </c>
      <c r="Q542" s="12" t="n">
        <f aca="false">INDEX(Directions!$D$2:$D$100,MATCH(C542,Directions!$A$2:$A$100,0))</f>
        <v>0</v>
      </c>
      <c r="R542" s="12" t="n">
        <f aca="false">IF(L542=1,P542*Q542,"")</f>
        <v>0</v>
      </c>
      <c r="S542" s="12" t="str">
        <f aca="false">IF(L542&lt;&gt;1,"Excluded",IF(Q542=0,"No direction",IF(R542&gt;0,"Better",IF(R542&lt;0,"Worse","No change"))))</f>
        <v>No direction</v>
      </c>
      <c r="T542" s="12"/>
      <c r="U542" s="12" t="str">
        <f aca="false">C542&amp;"|"&amp;E542</f>
        <v>F7_05|GBR</v>
      </c>
    </row>
    <row r="543" customFormat="false" ht="15" hidden="false" customHeight="false" outlineLevel="0" collapsed="false">
      <c r="A543" s="12" t="n">
        <v>7</v>
      </c>
      <c r="B543" s="12" t="s">
        <v>321</v>
      </c>
      <c r="C543" s="12" t="s">
        <v>154</v>
      </c>
      <c r="D543" s="12" t="s">
        <v>155</v>
      </c>
      <c r="E543" s="12" t="s">
        <v>284</v>
      </c>
      <c r="F543" s="12" t="s">
        <v>29</v>
      </c>
      <c r="G543" s="12" t="n">
        <v>131</v>
      </c>
      <c r="H543" s="12" t="n">
        <v>167</v>
      </c>
      <c r="I543" s="12" t="s">
        <v>293</v>
      </c>
      <c r="J543" s="12" t="n">
        <v>1</v>
      </c>
      <c r="K543" s="12" t="n">
        <v>1</v>
      </c>
      <c r="L543" s="28" t="n">
        <v>1</v>
      </c>
      <c r="M543" s="12" t="n">
        <f aca="false">IF(L543=1,COUNTIFS($C$2:$C$1090,C543,$L$2:$L$1090,1),"")</f>
        <v>10</v>
      </c>
      <c r="N543" s="12" t="n">
        <f aca="false">IF(L543=1,1+COUNTIFS($C$2:$C$1090,C543,$L$2:$L$1090,1,$G$2:$G$1090,"&gt;"&amp;G543),"")</f>
        <v>1</v>
      </c>
      <c r="O543" s="12" t="n">
        <f aca="false">IF(L543=1,1+COUNTIFS($C$2:$C$1090,C543,$L$2:$L$1090,1,$H$2:$H$1090,"&gt;"&amp;H543),"")</f>
        <v>1</v>
      </c>
      <c r="P543" s="12" t="n">
        <f aca="false">IF(L543=1,N543-O543,"")</f>
        <v>0</v>
      </c>
      <c r="Q543" s="12" t="n">
        <f aca="false">INDEX(Directions!$D$2:$D$100,MATCH(C543,Directions!$A$2:$A$100,0))</f>
        <v>0</v>
      </c>
      <c r="R543" s="12" t="n">
        <f aca="false">IF(L543=1,P543*Q543,"")</f>
        <v>0</v>
      </c>
      <c r="S543" s="12" t="str">
        <f aca="false">IF(L543&lt;&gt;1,"Excluded",IF(Q543=0,"No direction",IF(R543&gt;0,"Better",IF(R543&lt;0,"Worse","No change"))))</f>
        <v>No direction</v>
      </c>
      <c r="T543" s="12"/>
      <c r="U543" s="12" t="str">
        <f aca="false">C543&amp;"|"&amp;E543</f>
        <v>F7_05|DEU</v>
      </c>
    </row>
    <row r="544" customFormat="false" ht="15" hidden="false" customHeight="false" outlineLevel="0" collapsed="false">
      <c r="A544" s="12" t="n">
        <v>7</v>
      </c>
      <c r="B544" s="12" t="s">
        <v>321</v>
      </c>
      <c r="C544" s="12" t="s">
        <v>154</v>
      </c>
      <c r="D544" s="12" t="s">
        <v>155</v>
      </c>
      <c r="E544" s="12" t="s">
        <v>285</v>
      </c>
      <c r="F544" s="12" t="s">
        <v>30</v>
      </c>
      <c r="G544" s="12" t="s">
        <v>302</v>
      </c>
      <c r="H544" s="12" t="s">
        <v>302</v>
      </c>
      <c r="I544" s="12"/>
      <c r="J544" s="12" t="s">
        <v>302</v>
      </c>
      <c r="K544" s="12" t="s">
        <v>302</v>
      </c>
      <c r="L544" s="28" t="n">
        <v>0</v>
      </c>
      <c r="M544" s="12" t="str">
        <f aca="false">IF(L544=1,COUNTIFS($C$2:$C$1090,C544,$L$2:$L$1090,1),"")</f>
        <v/>
      </c>
      <c r="N544" s="12" t="str">
        <f aca="false">IF(L544=1,1+COUNTIFS($C$2:$C$1090,C544,$L$2:$L$1090,1,$G$2:$G$1090,"&gt;"&amp;G544),"")</f>
        <v/>
      </c>
      <c r="O544" s="12" t="str">
        <f aca="false">IF(L544=1,1+COUNTIFS($C$2:$C$1090,C544,$L$2:$L$1090,1,$H$2:$H$1090,"&gt;"&amp;H544),"")</f>
        <v/>
      </c>
      <c r="P544" s="12" t="str">
        <f aca="false">IF(L544=1,N544-O544,"")</f>
        <v/>
      </c>
      <c r="Q544" s="12" t="n">
        <f aca="false">INDEX(Directions!$D$2:$D$100,MATCH(C544,Directions!$A$2:$A$100,0))</f>
        <v>0</v>
      </c>
      <c r="R544" s="12" t="str">
        <f aca="false">IF(L544=1,P544*Q544,"")</f>
        <v/>
      </c>
      <c r="S544" s="12" t="str">
        <f aca="false">IF(L544&lt;&gt;1,"Excluded",IF(Q544=0,"No direction",IF(R544&gt;0,"Better",IF(R544&lt;0,"Worse","No change"))))</f>
        <v>Excluded</v>
      </c>
      <c r="T544" s="12" t="s">
        <v>304</v>
      </c>
      <c r="U544" s="12" t="str">
        <f aca="false">C544&amp;"|"&amp;E544</f>
        <v>F7_05|SWE</v>
      </c>
    </row>
    <row r="545" customFormat="false" ht="15" hidden="false" customHeight="false" outlineLevel="0" collapsed="false">
      <c r="A545" s="12" t="n">
        <v>7</v>
      </c>
      <c r="B545" s="12" t="s">
        <v>321</v>
      </c>
      <c r="C545" s="12" t="s">
        <v>154</v>
      </c>
      <c r="D545" s="12" t="s">
        <v>155</v>
      </c>
      <c r="E545" s="12" t="s">
        <v>286</v>
      </c>
      <c r="F545" s="12" t="s">
        <v>31</v>
      </c>
      <c r="G545" s="12" t="n">
        <v>105</v>
      </c>
      <c r="H545" s="12" t="n">
        <v>163</v>
      </c>
      <c r="I545" s="12" t="s">
        <v>293</v>
      </c>
      <c r="J545" s="12" t="n">
        <v>4</v>
      </c>
      <c r="K545" s="12" t="n">
        <v>2</v>
      </c>
      <c r="L545" s="28" t="n">
        <v>1</v>
      </c>
      <c r="M545" s="12" t="n">
        <f aca="false">IF(L545=1,COUNTIFS($C$2:$C$1090,C545,$L$2:$L$1090,1),"")</f>
        <v>10</v>
      </c>
      <c r="N545" s="12" t="n">
        <f aca="false">IF(L545=1,1+COUNTIFS($C$2:$C$1090,C545,$L$2:$L$1090,1,$G$2:$G$1090,"&gt;"&amp;G545),"")</f>
        <v>4</v>
      </c>
      <c r="O545" s="12" t="n">
        <f aca="false">IF(L545=1,1+COUNTIFS($C$2:$C$1090,C545,$L$2:$L$1090,1,$H$2:$H$1090,"&gt;"&amp;H545),"")</f>
        <v>2</v>
      </c>
      <c r="P545" s="12" t="n">
        <f aca="false">IF(L545=1,N545-O545,"")</f>
        <v>2</v>
      </c>
      <c r="Q545" s="12" t="n">
        <f aca="false">INDEX(Directions!$D$2:$D$100,MATCH(C545,Directions!$A$2:$A$100,0))</f>
        <v>0</v>
      </c>
      <c r="R545" s="12" t="n">
        <f aca="false">IF(L545=1,P545*Q545,"")</f>
        <v>0</v>
      </c>
      <c r="S545" s="12" t="str">
        <f aca="false">IF(L545&lt;&gt;1,"Excluded",IF(Q545=0,"No direction",IF(R545&gt;0,"Better",IF(R545&lt;0,"Worse","No change"))))</f>
        <v>No direction</v>
      </c>
      <c r="T545" s="12"/>
      <c r="U545" s="12" t="str">
        <f aca="false">C545&amp;"|"&amp;E545</f>
        <v>F7_05|FRA</v>
      </c>
    </row>
    <row r="546" customFormat="false" ht="15" hidden="false" customHeight="false" outlineLevel="0" collapsed="false">
      <c r="A546" s="12" t="n">
        <v>7</v>
      </c>
      <c r="B546" s="12" t="s">
        <v>321</v>
      </c>
      <c r="C546" s="12" t="s">
        <v>154</v>
      </c>
      <c r="D546" s="12" t="s">
        <v>155</v>
      </c>
      <c r="E546" s="12" t="s">
        <v>32</v>
      </c>
      <c r="F546" s="12" t="s">
        <v>32</v>
      </c>
      <c r="G546" s="12" t="n">
        <v>52</v>
      </c>
      <c r="H546" s="12" t="n">
        <v>60</v>
      </c>
      <c r="I546" s="12" t="s">
        <v>293</v>
      </c>
      <c r="J546" s="12" t="n">
        <v>9</v>
      </c>
      <c r="K546" s="12" t="n">
        <v>8</v>
      </c>
      <c r="L546" s="28" t="n">
        <v>1</v>
      </c>
      <c r="M546" s="12" t="n">
        <f aca="false">IF(L546=1,COUNTIFS($C$2:$C$1090,C546,$L$2:$L$1090,1),"")</f>
        <v>10</v>
      </c>
      <c r="N546" s="12" t="n">
        <f aca="false">IF(L546=1,1+COUNTIFS($C$2:$C$1090,C546,$L$2:$L$1090,1,$G$2:$G$1090,"&gt;"&amp;G546),"")</f>
        <v>9</v>
      </c>
      <c r="O546" s="12" t="n">
        <f aca="false">IF(L546=1,1+COUNTIFS($C$2:$C$1090,C546,$L$2:$L$1090,1,$H$2:$H$1090,"&gt;"&amp;H546),"")</f>
        <v>8</v>
      </c>
      <c r="P546" s="12" t="n">
        <f aca="false">IF(L546=1,N546-O546,"")</f>
        <v>1</v>
      </c>
      <c r="Q546" s="12" t="n">
        <f aca="false">INDEX(Directions!$D$2:$D$100,MATCH(C546,Directions!$A$2:$A$100,0))</f>
        <v>0</v>
      </c>
      <c r="R546" s="12" t="n">
        <f aca="false">IF(L546=1,P546*Q546,"")</f>
        <v>0</v>
      </c>
      <c r="S546" s="12" t="str">
        <f aca="false">IF(L546&lt;&gt;1,"Excluded",IF(Q546=0,"No direction",IF(R546&gt;0,"Better",IF(R546&lt;0,"Worse","No change"))))</f>
        <v>No direction</v>
      </c>
      <c r="T546" s="12"/>
      <c r="U546" s="12" t="str">
        <f aca="false">C546&amp;"|"&amp;E546</f>
        <v>F7_05|NLD</v>
      </c>
    </row>
    <row r="547" customFormat="false" ht="15" hidden="false" customHeight="false" outlineLevel="0" collapsed="false">
      <c r="A547" s="12" t="n">
        <v>7</v>
      </c>
      <c r="B547" s="12" t="s">
        <v>321</v>
      </c>
      <c r="C547" s="12" t="s">
        <v>154</v>
      </c>
      <c r="D547" s="12" t="s">
        <v>155</v>
      </c>
      <c r="E547" s="12" t="s">
        <v>33</v>
      </c>
      <c r="F547" s="12" t="s">
        <v>33</v>
      </c>
      <c r="G547" s="12" t="n">
        <v>70</v>
      </c>
      <c r="H547" s="12" t="n">
        <v>91</v>
      </c>
      <c r="I547" s="12" t="s">
        <v>293</v>
      </c>
      <c r="J547" s="12" t="n">
        <v>6</v>
      </c>
      <c r="K547" s="12" t="n">
        <v>5</v>
      </c>
      <c r="L547" s="28" t="n">
        <v>1</v>
      </c>
      <c r="M547" s="12" t="n">
        <f aca="false">IF(L547=1,COUNTIFS($C$2:$C$1090,C547,$L$2:$L$1090,1),"")</f>
        <v>10</v>
      </c>
      <c r="N547" s="12" t="n">
        <f aca="false">IF(L547=1,1+COUNTIFS($C$2:$C$1090,C547,$L$2:$L$1090,1,$G$2:$G$1090,"&gt;"&amp;G547),"")</f>
        <v>6</v>
      </c>
      <c r="O547" s="12" t="n">
        <f aca="false">IF(L547=1,1+COUNTIFS($C$2:$C$1090,C547,$L$2:$L$1090,1,$H$2:$H$1090,"&gt;"&amp;H547),"")</f>
        <v>5</v>
      </c>
      <c r="P547" s="12" t="n">
        <f aca="false">IF(L547=1,N547-O547,"")</f>
        <v>1</v>
      </c>
      <c r="Q547" s="12" t="n">
        <f aca="false">INDEX(Directions!$D$2:$D$100,MATCH(C547,Directions!$A$2:$A$100,0))</f>
        <v>0</v>
      </c>
      <c r="R547" s="12" t="n">
        <f aca="false">IF(L547=1,P547*Q547,"")</f>
        <v>0</v>
      </c>
      <c r="S547" s="12" t="str">
        <f aca="false">IF(L547&lt;&gt;1,"Excluded",IF(Q547=0,"No direction",IF(R547&gt;0,"Better",IF(R547&lt;0,"Worse","No change"))))</f>
        <v>No direction</v>
      </c>
      <c r="T547" s="12"/>
      <c r="U547" s="12" t="str">
        <f aca="false">C547&amp;"|"&amp;E547</f>
        <v>F7_05|CHE</v>
      </c>
    </row>
    <row r="548" customFormat="false" ht="15" hidden="false" customHeight="false" outlineLevel="0" collapsed="false">
      <c r="A548" s="12" t="n">
        <v>7</v>
      </c>
      <c r="B548" s="12" t="s">
        <v>321</v>
      </c>
      <c r="C548" s="12" t="s">
        <v>154</v>
      </c>
      <c r="D548" s="12" t="s">
        <v>155</v>
      </c>
      <c r="E548" s="12" t="s">
        <v>287</v>
      </c>
      <c r="F548" s="12" t="s">
        <v>34</v>
      </c>
      <c r="G548" s="12" t="n">
        <v>82</v>
      </c>
      <c r="H548" s="12" t="n">
        <v>89</v>
      </c>
      <c r="I548" s="12" t="s">
        <v>293</v>
      </c>
      <c r="J548" s="12" t="n">
        <v>5</v>
      </c>
      <c r="K548" s="12" t="n">
        <v>6</v>
      </c>
      <c r="L548" s="28" t="n">
        <v>1</v>
      </c>
      <c r="M548" s="12" t="n">
        <f aca="false">IF(L548=1,COUNTIFS($C$2:$C$1090,C548,$L$2:$L$1090,1),"")</f>
        <v>10</v>
      </c>
      <c r="N548" s="12" t="n">
        <f aca="false">IF(L548=1,1+COUNTIFS($C$2:$C$1090,C548,$L$2:$L$1090,1,$G$2:$G$1090,"&gt;"&amp;G548),"")</f>
        <v>5</v>
      </c>
      <c r="O548" s="12" t="n">
        <f aca="false">IF(L548=1,1+COUNTIFS($C$2:$C$1090,C548,$L$2:$L$1090,1,$H$2:$H$1090,"&gt;"&amp;H548),"")</f>
        <v>6</v>
      </c>
      <c r="P548" s="12" t="n">
        <f aca="false">IF(L548=1,N548-O548,"")</f>
        <v>-1</v>
      </c>
      <c r="Q548" s="12" t="n">
        <f aca="false">INDEX(Directions!$D$2:$D$100,MATCH(C548,Directions!$A$2:$A$100,0))</f>
        <v>0</v>
      </c>
      <c r="R548" s="12" t="n">
        <f aca="false">IF(L548=1,P548*Q548,"")</f>
        <v>-0</v>
      </c>
      <c r="S548" s="12" t="str">
        <f aca="false">IF(L548&lt;&gt;1,"Excluded",IF(Q548=0,"No direction",IF(R548&gt;0,"Better",IF(R548&lt;0,"Worse","No change"))))</f>
        <v>No direction</v>
      </c>
      <c r="T548" s="12"/>
      <c r="U548" s="12" t="str">
        <f aca="false">C548&amp;"|"&amp;E548</f>
        <v>F7_05|DNK</v>
      </c>
    </row>
    <row r="549" customFormat="false" ht="15" hidden="false" customHeight="false" outlineLevel="0" collapsed="false">
      <c r="A549" s="12" t="n">
        <v>7</v>
      </c>
      <c r="B549" s="12" t="s">
        <v>321</v>
      </c>
      <c r="C549" s="12" t="s">
        <v>154</v>
      </c>
      <c r="D549" s="12" t="s">
        <v>155</v>
      </c>
      <c r="E549" s="12" t="s">
        <v>288</v>
      </c>
      <c r="F549" s="12" t="s">
        <v>35</v>
      </c>
      <c r="G549" s="12" t="n">
        <v>56</v>
      </c>
      <c r="H549" s="12" t="n">
        <v>57</v>
      </c>
      <c r="I549" s="12" t="s">
        <v>294</v>
      </c>
      <c r="J549" s="12" t="n">
        <v>7</v>
      </c>
      <c r="K549" s="12" t="n">
        <v>9</v>
      </c>
      <c r="L549" s="28" t="n">
        <v>1</v>
      </c>
      <c r="M549" s="12" t="n">
        <f aca="false">IF(L549=1,COUNTIFS($C$2:$C$1090,C549,$L$2:$L$1090,1),"")</f>
        <v>10</v>
      </c>
      <c r="N549" s="12" t="n">
        <f aca="false">IF(L549=1,1+COUNTIFS($C$2:$C$1090,C549,$L$2:$L$1090,1,$G$2:$G$1090,"&gt;"&amp;G549),"")</f>
        <v>7</v>
      </c>
      <c r="O549" s="12" t="n">
        <f aca="false">IF(L549=1,1+COUNTIFS($C$2:$C$1090,C549,$L$2:$L$1090,1,$H$2:$H$1090,"&gt;"&amp;H549),"")</f>
        <v>9</v>
      </c>
      <c r="P549" s="12" t="n">
        <f aca="false">IF(L549=1,N549-O549,"")</f>
        <v>-2</v>
      </c>
      <c r="Q549" s="12" t="n">
        <f aca="false">INDEX(Directions!$D$2:$D$100,MATCH(C549,Directions!$A$2:$A$100,0))</f>
        <v>0</v>
      </c>
      <c r="R549" s="12" t="n">
        <f aca="false">IF(L549=1,P549*Q549,"")</f>
        <v>-0</v>
      </c>
      <c r="S549" s="12" t="str">
        <f aca="false">IF(L549&lt;&gt;1,"Excluded",IF(Q549=0,"No direction",IF(R549&gt;0,"Better",IF(R549&lt;0,"Worse","No change"))))</f>
        <v>No direction</v>
      </c>
      <c r="T549" s="12"/>
      <c r="U549" s="12" t="str">
        <f aca="false">C549&amp;"|"&amp;E549</f>
        <v>F7_05|CAN</v>
      </c>
    </row>
    <row r="550" customFormat="false" ht="15" hidden="false" customHeight="false" outlineLevel="0" collapsed="false">
      <c r="A550" s="12" t="n">
        <v>7</v>
      </c>
      <c r="B550" s="12" t="s">
        <v>321</v>
      </c>
      <c r="C550" s="12" t="s">
        <v>154</v>
      </c>
      <c r="D550" s="12" t="s">
        <v>155</v>
      </c>
      <c r="E550" s="12" t="s">
        <v>289</v>
      </c>
      <c r="F550" s="12" t="s">
        <v>36</v>
      </c>
      <c r="G550" s="12" t="n">
        <v>112</v>
      </c>
      <c r="H550" s="12" t="n">
        <v>112</v>
      </c>
      <c r="I550" s="12" t="s">
        <v>325</v>
      </c>
      <c r="J550" s="12" t="n">
        <v>3</v>
      </c>
      <c r="K550" s="12" t="n">
        <v>3</v>
      </c>
      <c r="L550" s="28" t="n">
        <v>1</v>
      </c>
      <c r="M550" s="12" t="n">
        <f aca="false">IF(L550=1,COUNTIFS($C$2:$C$1090,C550,$L$2:$L$1090,1),"")</f>
        <v>10</v>
      </c>
      <c r="N550" s="12" t="n">
        <f aca="false">IF(L550=1,1+COUNTIFS($C$2:$C$1090,C550,$L$2:$L$1090,1,$G$2:$G$1090,"&gt;"&amp;G550),"")</f>
        <v>3</v>
      </c>
      <c r="O550" s="12" t="n">
        <f aca="false">IF(L550=1,1+COUNTIFS($C$2:$C$1090,C550,$L$2:$L$1090,1,$H$2:$H$1090,"&gt;"&amp;H550),"")</f>
        <v>3</v>
      </c>
      <c r="P550" s="12" t="n">
        <f aca="false">IF(L550=1,N550-O550,"")</f>
        <v>0</v>
      </c>
      <c r="Q550" s="12" t="n">
        <f aca="false">INDEX(Directions!$D$2:$D$100,MATCH(C550,Directions!$A$2:$A$100,0))</f>
        <v>0</v>
      </c>
      <c r="R550" s="12" t="n">
        <f aca="false">IF(L550=1,P550*Q550,"")</f>
        <v>0</v>
      </c>
      <c r="S550" s="12" t="str">
        <f aca="false">IF(L550&lt;&gt;1,"Excluded",IF(Q550=0,"No direction",IF(R550&gt;0,"Better",IF(R550&lt;0,"Worse","No change"))))</f>
        <v>No direction</v>
      </c>
      <c r="T550" s="12"/>
      <c r="U550" s="12" t="str">
        <f aca="false">C550&amp;"|"&amp;E550</f>
        <v>F7_05|JPN</v>
      </c>
    </row>
    <row r="551" customFormat="false" ht="15" hidden="false" customHeight="false" outlineLevel="0" collapsed="false">
      <c r="A551" s="12" t="n">
        <v>7</v>
      </c>
      <c r="B551" s="12" t="s">
        <v>321</v>
      </c>
      <c r="C551" s="12" t="s">
        <v>154</v>
      </c>
      <c r="D551" s="12" t="s">
        <v>155</v>
      </c>
      <c r="E551" s="12" t="s">
        <v>290</v>
      </c>
      <c r="F551" s="12" t="s">
        <v>37</v>
      </c>
      <c r="G551" s="12" t="n">
        <v>41</v>
      </c>
      <c r="H551" s="12" t="n">
        <v>56</v>
      </c>
      <c r="I551" s="12" t="s">
        <v>282</v>
      </c>
      <c r="J551" s="12" t="n">
        <v>10</v>
      </c>
      <c r="K551" s="12" t="n">
        <v>10</v>
      </c>
      <c r="L551" s="28" t="n">
        <v>1</v>
      </c>
      <c r="M551" s="12" t="n">
        <f aca="false">IF(L551=1,COUNTIFS($C$2:$C$1090,C551,$L$2:$L$1090,1),"")</f>
        <v>10</v>
      </c>
      <c r="N551" s="12" t="n">
        <f aca="false">IF(L551=1,1+COUNTIFS($C$2:$C$1090,C551,$L$2:$L$1090,1,$G$2:$G$1090,"&gt;"&amp;G551),"")</f>
        <v>10</v>
      </c>
      <c r="O551" s="12" t="n">
        <f aca="false">IF(L551=1,1+COUNTIFS($C$2:$C$1090,C551,$L$2:$L$1090,1,$H$2:$H$1090,"&gt;"&amp;H551),"")</f>
        <v>10</v>
      </c>
      <c r="P551" s="12" t="n">
        <f aca="false">IF(L551=1,N551-O551,"")</f>
        <v>0</v>
      </c>
      <c r="Q551" s="12" t="n">
        <f aca="false">INDEX(Directions!$D$2:$D$100,MATCH(C551,Directions!$A$2:$A$100,0))</f>
        <v>0</v>
      </c>
      <c r="R551" s="12" t="n">
        <f aca="false">IF(L551=1,P551*Q551,"")</f>
        <v>0</v>
      </c>
      <c r="S551" s="12" t="str">
        <f aca="false">IF(L551&lt;&gt;1,"Excluded",IF(Q551=0,"No direction",IF(R551&gt;0,"Better",IF(R551&lt;0,"Worse","No change"))))</f>
        <v>No direction</v>
      </c>
      <c r="T551" s="12"/>
      <c r="U551" s="12" t="str">
        <f aca="false">C551&amp;"|"&amp;E551</f>
        <v>F7_05|AUS</v>
      </c>
    </row>
    <row r="552" customFormat="false" ht="15" hidden="false" customHeight="false" outlineLevel="0" collapsed="false">
      <c r="A552" s="12" t="n">
        <v>7</v>
      </c>
      <c r="B552" s="12" t="s">
        <v>321</v>
      </c>
      <c r="C552" s="12" t="s">
        <v>156</v>
      </c>
      <c r="D552" s="12" t="s">
        <v>157</v>
      </c>
      <c r="E552" s="12" t="s">
        <v>281</v>
      </c>
      <c r="F552" s="12" t="s">
        <v>27</v>
      </c>
      <c r="G552" s="12" t="n">
        <v>245</v>
      </c>
      <c r="H552" s="12" t="n">
        <v>254</v>
      </c>
      <c r="I552" s="12" t="s">
        <v>295</v>
      </c>
      <c r="J552" s="12" t="n">
        <v>1</v>
      </c>
      <c r="K552" s="12" t="n">
        <v>1</v>
      </c>
      <c r="L552" s="28" t="n">
        <v>1</v>
      </c>
      <c r="M552" s="12" t="n">
        <f aca="false">IF(L552=1,COUNTIFS($C$2:$C$1090,C552,$L$2:$L$1090,1),"")</f>
        <v>10</v>
      </c>
      <c r="N552" s="12" t="n">
        <f aca="false">IF(L552=1,1+COUNTIFS($C$2:$C$1090,C552,$L$2:$L$1090,1,$G$2:$G$1090,"&gt;"&amp;G552),"")</f>
        <v>1</v>
      </c>
      <c r="O552" s="12" t="n">
        <f aca="false">IF(L552=1,1+COUNTIFS($C$2:$C$1090,C552,$L$2:$L$1090,1,$H$2:$H$1090,"&gt;"&amp;H552),"")</f>
        <v>1</v>
      </c>
      <c r="P552" s="12" t="n">
        <f aca="false">IF(L552=1,N552-O552,"")</f>
        <v>0</v>
      </c>
      <c r="Q552" s="12" t="n">
        <f aca="false">INDEX(Directions!$D$2:$D$100,MATCH(C552,Directions!$A$2:$A$100,0))</f>
        <v>0</v>
      </c>
      <c r="R552" s="12" t="n">
        <f aca="false">IF(L552=1,P552*Q552,"")</f>
        <v>0</v>
      </c>
      <c r="S552" s="12" t="str">
        <f aca="false">IF(L552&lt;&gt;1,"Excluded",IF(Q552=0,"No direction",IF(R552&gt;0,"Better",IF(R552&lt;0,"Worse","No change"))))</f>
        <v>No direction</v>
      </c>
      <c r="T552" s="12"/>
      <c r="U552" s="12" t="str">
        <f aca="false">C552&amp;"|"&amp;E552</f>
        <v>F7_06|USA</v>
      </c>
    </row>
    <row r="553" customFormat="false" ht="15" hidden="false" customHeight="false" outlineLevel="0" collapsed="false">
      <c r="A553" s="12" t="n">
        <v>7</v>
      </c>
      <c r="B553" s="12" t="s">
        <v>321</v>
      </c>
      <c r="C553" s="12" t="s">
        <v>156</v>
      </c>
      <c r="D553" s="12" t="s">
        <v>157</v>
      </c>
      <c r="E553" s="12" t="s">
        <v>283</v>
      </c>
      <c r="F553" s="12" t="s">
        <v>28</v>
      </c>
      <c r="G553" s="12" t="n">
        <v>79</v>
      </c>
      <c r="H553" s="12" t="n">
        <v>133</v>
      </c>
      <c r="I553" s="12" t="s">
        <v>293</v>
      </c>
      <c r="J553" s="12" t="n">
        <v>10</v>
      </c>
      <c r="K553" s="12" t="n">
        <v>10</v>
      </c>
      <c r="L553" s="28" t="n">
        <v>1</v>
      </c>
      <c r="M553" s="12" t="n">
        <f aca="false">IF(L553=1,COUNTIFS($C$2:$C$1090,C553,$L$2:$L$1090,1),"")</f>
        <v>10</v>
      </c>
      <c r="N553" s="12" t="n">
        <f aca="false">IF(L553=1,1+COUNTIFS($C$2:$C$1090,C553,$L$2:$L$1090,1,$G$2:$G$1090,"&gt;"&amp;G553),"")</f>
        <v>10</v>
      </c>
      <c r="O553" s="12" t="n">
        <f aca="false">IF(L553=1,1+COUNTIFS($C$2:$C$1090,C553,$L$2:$L$1090,1,$H$2:$H$1090,"&gt;"&amp;H553),"")</f>
        <v>10</v>
      </c>
      <c r="P553" s="12" t="n">
        <f aca="false">IF(L553=1,N553-O553,"")</f>
        <v>0</v>
      </c>
      <c r="Q553" s="12" t="n">
        <f aca="false">INDEX(Directions!$D$2:$D$100,MATCH(C553,Directions!$A$2:$A$100,0))</f>
        <v>0</v>
      </c>
      <c r="R553" s="12" t="n">
        <f aca="false">IF(L553=1,P553*Q553,"")</f>
        <v>0</v>
      </c>
      <c r="S553" s="12" t="str">
        <f aca="false">IF(L553&lt;&gt;1,"Excluded",IF(Q553=0,"No direction",IF(R553&gt;0,"Better",IF(R553&lt;0,"Worse","No change"))))</f>
        <v>No direction</v>
      </c>
      <c r="T553" s="12"/>
      <c r="U553" s="12" t="str">
        <f aca="false">C553&amp;"|"&amp;E553</f>
        <v>F7_06|GBR</v>
      </c>
    </row>
    <row r="554" customFormat="false" ht="15" hidden="false" customHeight="false" outlineLevel="0" collapsed="false">
      <c r="A554" s="12" t="n">
        <v>7</v>
      </c>
      <c r="B554" s="12" t="s">
        <v>321</v>
      </c>
      <c r="C554" s="12" t="s">
        <v>156</v>
      </c>
      <c r="D554" s="12" t="s">
        <v>157</v>
      </c>
      <c r="E554" s="12" t="s">
        <v>284</v>
      </c>
      <c r="F554" s="12" t="s">
        <v>29</v>
      </c>
      <c r="G554" s="12" t="n">
        <v>144</v>
      </c>
      <c r="H554" s="12" t="n">
        <v>176</v>
      </c>
      <c r="I554" s="12" t="s">
        <v>293</v>
      </c>
      <c r="J554" s="12" t="n">
        <v>6</v>
      </c>
      <c r="K554" s="12" t="n">
        <v>6</v>
      </c>
      <c r="L554" s="28" t="n">
        <v>1</v>
      </c>
      <c r="M554" s="12" t="n">
        <f aca="false">IF(L554=1,COUNTIFS($C$2:$C$1090,C554,$L$2:$L$1090,1),"")</f>
        <v>10</v>
      </c>
      <c r="N554" s="12" t="n">
        <f aca="false">IF(L554=1,1+COUNTIFS($C$2:$C$1090,C554,$L$2:$L$1090,1,$G$2:$G$1090,"&gt;"&amp;G554),"")</f>
        <v>6</v>
      </c>
      <c r="O554" s="12" t="n">
        <f aca="false">IF(L554=1,1+COUNTIFS($C$2:$C$1090,C554,$L$2:$L$1090,1,$H$2:$H$1090,"&gt;"&amp;H554),"")</f>
        <v>6</v>
      </c>
      <c r="P554" s="12" t="n">
        <f aca="false">IF(L554=1,N554-O554,"")</f>
        <v>0</v>
      </c>
      <c r="Q554" s="12" t="n">
        <f aca="false">INDEX(Directions!$D$2:$D$100,MATCH(C554,Directions!$A$2:$A$100,0))</f>
        <v>0</v>
      </c>
      <c r="R554" s="12" t="n">
        <f aca="false">IF(L554=1,P554*Q554,"")</f>
        <v>0</v>
      </c>
      <c r="S554" s="12" t="str">
        <f aca="false">IF(L554&lt;&gt;1,"Excluded",IF(Q554=0,"No direction",IF(R554&gt;0,"Better",IF(R554&lt;0,"Worse","No change"))))</f>
        <v>No direction</v>
      </c>
      <c r="T554" s="12"/>
      <c r="U554" s="12" t="str">
        <f aca="false">C554&amp;"|"&amp;E554</f>
        <v>F7_06|DEU</v>
      </c>
    </row>
    <row r="555" customFormat="false" ht="15" hidden="false" customHeight="false" outlineLevel="0" collapsed="false">
      <c r="A555" s="12" t="n">
        <v>7</v>
      </c>
      <c r="B555" s="12" t="s">
        <v>321</v>
      </c>
      <c r="C555" s="12" t="s">
        <v>156</v>
      </c>
      <c r="D555" s="12" t="s">
        <v>157</v>
      </c>
      <c r="E555" s="12" t="s">
        <v>285</v>
      </c>
      <c r="F555" s="12" t="s">
        <v>30</v>
      </c>
      <c r="G555" s="12" t="s">
        <v>302</v>
      </c>
      <c r="H555" s="12" t="s">
        <v>302</v>
      </c>
      <c r="I555" s="12"/>
      <c r="J555" s="12" t="s">
        <v>302</v>
      </c>
      <c r="K555" s="12" t="s">
        <v>302</v>
      </c>
      <c r="L555" s="28" t="n">
        <v>0</v>
      </c>
      <c r="M555" s="12" t="str">
        <f aca="false">IF(L555=1,COUNTIFS($C$2:$C$1090,C555,$L$2:$L$1090,1),"")</f>
        <v/>
      </c>
      <c r="N555" s="12" t="str">
        <f aca="false">IF(L555=1,1+COUNTIFS($C$2:$C$1090,C555,$L$2:$L$1090,1,$G$2:$G$1090,"&gt;"&amp;G555),"")</f>
        <v/>
      </c>
      <c r="O555" s="12" t="str">
        <f aca="false">IF(L555=1,1+COUNTIFS($C$2:$C$1090,C555,$L$2:$L$1090,1,$H$2:$H$1090,"&gt;"&amp;H555),"")</f>
        <v/>
      </c>
      <c r="P555" s="12" t="str">
        <f aca="false">IF(L555=1,N555-O555,"")</f>
        <v/>
      </c>
      <c r="Q555" s="12" t="n">
        <f aca="false">INDEX(Directions!$D$2:$D$100,MATCH(C555,Directions!$A$2:$A$100,0))</f>
        <v>0</v>
      </c>
      <c r="R555" s="12" t="str">
        <f aca="false">IF(L555=1,P555*Q555,"")</f>
        <v/>
      </c>
      <c r="S555" s="12" t="str">
        <f aca="false">IF(L555&lt;&gt;1,"Excluded",IF(Q555=0,"No direction",IF(R555&gt;0,"Better",IF(R555&lt;0,"Worse","No change"))))</f>
        <v>Excluded</v>
      </c>
      <c r="T555" s="12" t="s">
        <v>304</v>
      </c>
      <c r="U555" s="12" t="str">
        <f aca="false">C555&amp;"|"&amp;E555</f>
        <v>F7_06|SWE</v>
      </c>
    </row>
    <row r="556" customFormat="false" ht="15" hidden="false" customHeight="false" outlineLevel="0" collapsed="false">
      <c r="A556" s="12" t="n">
        <v>7</v>
      </c>
      <c r="B556" s="12" t="s">
        <v>321</v>
      </c>
      <c r="C556" s="12" t="s">
        <v>156</v>
      </c>
      <c r="D556" s="12" t="s">
        <v>157</v>
      </c>
      <c r="E556" s="12" t="s">
        <v>286</v>
      </c>
      <c r="F556" s="12" t="s">
        <v>31</v>
      </c>
      <c r="G556" s="12" t="n">
        <v>197</v>
      </c>
      <c r="H556" s="12" t="n">
        <v>241</v>
      </c>
      <c r="I556" s="12" t="s">
        <v>293</v>
      </c>
      <c r="J556" s="12" t="n">
        <v>3</v>
      </c>
      <c r="K556" s="12" t="n">
        <v>2</v>
      </c>
      <c r="L556" s="28" t="n">
        <v>1</v>
      </c>
      <c r="M556" s="12" t="n">
        <f aca="false">IF(L556=1,COUNTIFS($C$2:$C$1090,C556,$L$2:$L$1090,1),"")</f>
        <v>10</v>
      </c>
      <c r="N556" s="12" t="n">
        <f aca="false">IF(L556=1,1+COUNTIFS($C$2:$C$1090,C556,$L$2:$L$1090,1,$G$2:$G$1090,"&gt;"&amp;G556),"")</f>
        <v>3</v>
      </c>
      <c r="O556" s="12" t="n">
        <f aca="false">IF(L556=1,1+COUNTIFS($C$2:$C$1090,C556,$L$2:$L$1090,1,$H$2:$H$1090,"&gt;"&amp;H556),"")</f>
        <v>2</v>
      </c>
      <c r="P556" s="12" t="n">
        <f aca="false">IF(L556=1,N556-O556,"")</f>
        <v>1</v>
      </c>
      <c r="Q556" s="12" t="n">
        <f aca="false">INDEX(Directions!$D$2:$D$100,MATCH(C556,Directions!$A$2:$A$100,0))</f>
        <v>0</v>
      </c>
      <c r="R556" s="12" t="n">
        <f aca="false">IF(L556=1,P556*Q556,"")</f>
        <v>0</v>
      </c>
      <c r="S556" s="12" t="str">
        <f aca="false">IF(L556&lt;&gt;1,"Excluded",IF(Q556=0,"No direction",IF(R556&gt;0,"Better",IF(R556&lt;0,"Worse","No change"))))</f>
        <v>No direction</v>
      </c>
      <c r="T556" s="12"/>
      <c r="U556" s="12" t="str">
        <f aca="false">C556&amp;"|"&amp;E556</f>
        <v>F7_06|FRA</v>
      </c>
    </row>
    <row r="557" customFormat="false" ht="15" hidden="false" customHeight="false" outlineLevel="0" collapsed="false">
      <c r="A557" s="12" t="n">
        <v>7</v>
      </c>
      <c r="B557" s="12" t="s">
        <v>321</v>
      </c>
      <c r="C557" s="12" t="s">
        <v>156</v>
      </c>
      <c r="D557" s="12" t="s">
        <v>157</v>
      </c>
      <c r="E557" s="12" t="s">
        <v>32</v>
      </c>
      <c r="F557" s="12" t="s">
        <v>32</v>
      </c>
      <c r="G557" s="12" t="n">
        <v>81</v>
      </c>
      <c r="H557" s="12" t="n">
        <v>138</v>
      </c>
      <c r="I557" s="12" t="s">
        <v>293</v>
      </c>
      <c r="J557" s="12" t="n">
        <v>9</v>
      </c>
      <c r="K557" s="12" t="n">
        <v>9</v>
      </c>
      <c r="L557" s="28" t="n">
        <v>1</v>
      </c>
      <c r="M557" s="12" t="n">
        <f aca="false">IF(L557=1,COUNTIFS($C$2:$C$1090,C557,$L$2:$L$1090,1),"")</f>
        <v>10</v>
      </c>
      <c r="N557" s="12" t="n">
        <f aca="false">IF(L557=1,1+COUNTIFS($C$2:$C$1090,C557,$L$2:$L$1090,1,$G$2:$G$1090,"&gt;"&amp;G557),"")</f>
        <v>9</v>
      </c>
      <c r="O557" s="12" t="n">
        <f aca="false">IF(L557=1,1+COUNTIFS($C$2:$C$1090,C557,$L$2:$L$1090,1,$H$2:$H$1090,"&gt;"&amp;H557),"")</f>
        <v>9</v>
      </c>
      <c r="P557" s="12" t="n">
        <f aca="false">IF(L557=1,N557-O557,"")</f>
        <v>0</v>
      </c>
      <c r="Q557" s="12" t="n">
        <f aca="false">INDEX(Directions!$D$2:$D$100,MATCH(C557,Directions!$A$2:$A$100,0))</f>
        <v>0</v>
      </c>
      <c r="R557" s="12" t="n">
        <f aca="false">IF(L557=1,P557*Q557,"")</f>
        <v>0</v>
      </c>
      <c r="S557" s="12" t="str">
        <f aca="false">IF(L557&lt;&gt;1,"Excluded",IF(Q557=0,"No direction",IF(R557&gt;0,"Better",IF(R557&lt;0,"Worse","No change"))))</f>
        <v>No direction</v>
      </c>
      <c r="T557" s="12"/>
      <c r="U557" s="12" t="str">
        <f aca="false">C557&amp;"|"&amp;E557</f>
        <v>F7_06|NLD</v>
      </c>
    </row>
    <row r="558" customFormat="false" ht="15" hidden="false" customHeight="false" outlineLevel="0" collapsed="false">
      <c r="A558" s="12" t="n">
        <v>7</v>
      </c>
      <c r="B558" s="12" t="s">
        <v>321</v>
      </c>
      <c r="C558" s="12" t="s">
        <v>156</v>
      </c>
      <c r="D558" s="12" t="s">
        <v>157</v>
      </c>
      <c r="E558" s="12" t="s">
        <v>33</v>
      </c>
      <c r="F558" s="12" t="s">
        <v>33</v>
      </c>
      <c r="G558" s="12" t="n">
        <v>100</v>
      </c>
      <c r="H558" s="12" t="n">
        <v>140</v>
      </c>
      <c r="I558" s="12" t="s">
        <v>293</v>
      </c>
      <c r="J558" s="12" t="n">
        <v>8</v>
      </c>
      <c r="K558" s="12" t="n">
        <v>8</v>
      </c>
      <c r="L558" s="28" t="n">
        <v>1</v>
      </c>
      <c r="M558" s="12" t="n">
        <f aca="false">IF(L558=1,COUNTIFS($C$2:$C$1090,C558,$L$2:$L$1090,1),"")</f>
        <v>10</v>
      </c>
      <c r="N558" s="12" t="n">
        <f aca="false">IF(L558=1,1+COUNTIFS($C$2:$C$1090,C558,$L$2:$L$1090,1,$G$2:$G$1090,"&gt;"&amp;G558),"")</f>
        <v>8</v>
      </c>
      <c r="O558" s="12" t="n">
        <f aca="false">IF(L558=1,1+COUNTIFS($C$2:$C$1090,C558,$L$2:$L$1090,1,$H$2:$H$1090,"&gt;"&amp;H558),"")</f>
        <v>8</v>
      </c>
      <c r="P558" s="12" t="n">
        <f aca="false">IF(L558=1,N558-O558,"")</f>
        <v>0</v>
      </c>
      <c r="Q558" s="12" t="n">
        <f aca="false">INDEX(Directions!$D$2:$D$100,MATCH(C558,Directions!$A$2:$A$100,0))</f>
        <v>0</v>
      </c>
      <c r="R558" s="12" t="n">
        <f aca="false">IF(L558=1,P558*Q558,"")</f>
        <v>0</v>
      </c>
      <c r="S558" s="12" t="str">
        <f aca="false">IF(L558&lt;&gt;1,"Excluded",IF(Q558=0,"No direction",IF(R558&gt;0,"Better",IF(R558&lt;0,"Worse","No change"))))</f>
        <v>No direction</v>
      </c>
      <c r="T558" s="12"/>
      <c r="U558" s="12" t="str">
        <f aca="false">C558&amp;"|"&amp;E558</f>
        <v>F7_06|CHE</v>
      </c>
    </row>
    <row r="559" customFormat="false" ht="15" hidden="false" customHeight="false" outlineLevel="0" collapsed="false">
      <c r="A559" s="12" t="n">
        <v>7</v>
      </c>
      <c r="B559" s="12" t="s">
        <v>321</v>
      </c>
      <c r="C559" s="12" t="s">
        <v>156</v>
      </c>
      <c r="D559" s="12" t="s">
        <v>157</v>
      </c>
      <c r="E559" s="12" t="s">
        <v>287</v>
      </c>
      <c r="F559" s="12" t="s">
        <v>34</v>
      </c>
      <c r="G559" s="12" t="n">
        <v>162</v>
      </c>
      <c r="H559" s="12" t="n">
        <v>204</v>
      </c>
      <c r="I559" s="12" t="s">
        <v>293</v>
      </c>
      <c r="J559" s="12" t="n">
        <v>4</v>
      </c>
      <c r="K559" s="12" t="n">
        <v>4</v>
      </c>
      <c r="L559" s="28" t="n">
        <v>1</v>
      </c>
      <c r="M559" s="12" t="n">
        <f aca="false">IF(L559=1,COUNTIFS($C$2:$C$1090,C559,$L$2:$L$1090,1),"")</f>
        <v>10</v>
      </c>
      <c r="N559" s="12" t="n">
        <f aca="false">IF(L559=1,1+COUNTIFS($C$2:$C$1090,C559,$L$2:$L$1090,1,$G$2:$G$1090,"&gt;"&amp;G559),"")</f>
        <v>4</v>
      </c>
      <c r="O559" s="12" t="n">
        <f aca="false">IF(L559=1,1+COUNTIFS($C$2:$C$1090,C559,$L$2:$L$1090,1,$H$2:$H$1090,"&gt;"&amp;H559),"")</f>
        <v>4</v>
      </c>
      <c r="P559" s="12" t="n">
        <f aca="false">IF(L559=1,N559-O559,"")</f>
        <v>0</v>
      </c>
      <c r="Q559" s="12" t="n">
        <f aca="false">INDEX(Directions!$D$2:$D$100,MATCH(C559,Directions!$A$2:$A$100,0))</f>
        <v>0</v>
      </c>
      <c r="R559" s="12" t="n">
        <f aca="false">IF(L559=1,P559*Q559,"")</f>
        <v>0</v>
      </c>
      <c r="S559" s="12" t="str">
        <f aca="false">IF(L559&lt;&gt;1,"Excluded",IF(Q559=0,"No direction",IF(R559&gt;0,"Better",IF(R559&lt;0,"Worse","No change"))))</f>
        <v>No direction</v>
      </c>
      <c r="T559" s="12"/>
      <c r="U559" s="12" t="str">
        <f aca="false">C559&amp;"|"&amp;E559</f>
        <v>F7_06|DNK</v>
      </c>
    </row>
    <row r="560" customFormat="false" ht="15" hidden="false" customHeight="false" outlineLevel="0" collapsed="false">
      <c r="A560" s="12" t="n">
        <v>7</v>
      </c>
      <c r="B560" s="12" t="s">
        <v>321</v>
      </c>
      <c r="C560" s="12" t="s">
        <v>156</v>
      </c>
      <c r="D560" s="12" t="s">
        <v>157</v>
      </c>
      <c r="E560" s="12" t="s">
        <v>288</v>
      </c>
      <c r="F560" s="12" t="s">
        <v>35</v>
      </c>
      <c r="G560" s="12" t="n">
        <v>153</v>
      </c>
      <c r="H560" s="12" t="n">
        <v>164</v>
      </c>
      <c r="I560" s="12" t="s">
        <v>294</v>
      </c>
      <c r="J560" s="12" t="n">
        <v>5</v>
      </c>
      <c r="K560" s="12" t="n">
        <v>7</v>
      </c>
      <c r="L560" s="28" t="n">
        <v>1</v>
      </c>
      <c r="M560" s="12" t="n">
        <f aca="false">IF(L560=1,COUNTIFS($C$2:$C$1090,C560,$L$2:$L$1090,1),"")</f>
        <v>10</v>
      </c>
      <c r="N560" s="12" t="n">
        <f aca="false">IF(L560=1,1+COUNTIFS($C$2:$C$1090,C560,$L$2:$L$1090,1,$G$2:$G$1090,"&gt;"&amp;G560),"")</f>
        <v>5</v>
      </c>
      <c r="O560" s="12" t="n">
        <f aca="false">IF(L560=1,1+COUNTIFS($C$2:$C$1090,C560,$L$2:$L$1090,1,$H$2:$H$1090,"&gt;"&amp;H560),"")</f>
        <v>7</v>
      </c>
      <c r="P560" s="12" t="n">
        <f aca="false">IF(L560=1,N560-O560,"")</f>
        <v>-2</v>
      </c>
      <c r="Q560" s="12" t="n">
        <f aca="false">INDEX(Directions!$D$2:$D$100,MATCH(C560,Directions!$A$2:$A$100,0))</f>
        <v>0</v>
      </c>
      <c r="R560" s="12" t="n">
        <f aca="false">IF(L560=1,P560*Q560,"")</f>
        <v>-0</v>
      </c>
      <c r="S560" s="12" t="str">
        <f aca="false">IF(L560&lt;&gt;1,"Excluded",IF(Q560=0,"No direction",IF(R560&gt;0,"Better",IF(R560&lt;0,"Worse","No change"))))</f>
        <v>No direction</v>
      </c>
      <c r="T560" s="12"/>
      <c r="U560" s="12" t="str">
        <f aca="false">C560&amp;"|"&amp;E560</f>
        <v>F7_06|CAN</v>
      </c>
    </row>
    <row r="561" customFormat="false" ht="15" hidden="false" customHeight="false" outlineLevel="0" collapsed="false">
      <c r="A561" s="12" t="n">
        <v>7</v>
      </c>
      <c r="B561" s="12" t="s">
        <v>321</v>
      </c>
      <c r="C561" s="12" t="s">
        <v>156</v>
      </c>
      <c r="D561" s="12" t="s">
        <v>157</v>
      </c>
      <c r="E561" s="12" t="s">
        <v>289</v>
      </c>
      <c r="F561" s="12" t="s">
        <v>36</v>
      </c>
      <c r="G561" s="12" t="n">
        <v>231</v>
      </c>
      <c r="H561" s="12" t="n">
        <v>231</v>
      </c>
      <c r="I561" s="12" t="s">
        <v>325</v>
      </c>
      <c r="J561" s="12" t="n">
        <v>2</v>
      </c>
      <c r="K561" s="12" t="n">
        <v>3</v>
      </c>
      <c r="L561" s="28" t="n">
        <v>1</v>
      </c>
      <c r="M561" s="12" t="n">
        <f aca="false">IF(L561=1,COUNTIFS($C$2:$C$1090,C561,$L$2:$L$1090,1),"")</f>
        <v>10</v>
      </c>
      <c r="N561" s="12" t="n">
        <f aca="false">IF(L561=1,1+COUNTIFS($C$2:$C$1090,C561,$L$2:$L$1090,1,$G$2:$G$1090,"&gt;"&amp;G561),"")</f>
        <v>2</v>
      </c>
      <c r="O561" s="12" t="n">
        <f aca="false">IF(L561=1,1+COUNTIFS($C$2:$C$1090,C561,$L$2:$L$1090,1,$H$2:$H$1090,"&gt;"&amp;H561),"")</f>
        <v>3</v>
      </c>
      <c r="P561" s="12" t="n">
        <f aca="false">IF(L561=1,N561-O561,"")</f>
        <v>-1</v>
      </c>
      <c r="Q561" s="12" t="n">
        <f aca="false">INDEX(Directions!$D$2:$D$100,MATCH(C561,Directions!$A$2:$A$100,0))</f>
        <v>0</v>
      </c>
      <c r="R561" s="12" t="n">
        <f aca="false">IF(L561=1,P561*Q561,"")</f>
        <v>-0</v>
      </c>
      <c r="S561" s="12" t="str">
        <f aca="false">IF(L561&lt;&gt;1,"Excluded",IF(Q561=0,"No direction",IF(R561&gt;0,"Better",IF(R561&lt;0,"Worse","No change"))))</f>
        <v>No direction</v>
      </c>
      <c r="T561" s="12"/>
      <c r="U561" s="12" t="str">
        <f aca="false">C561&amp;"|"&amp;E561</f>
        <v>F7_06|JPN</v>
      </c>
    </row>
    <row r="562" customFormat="false" ht="15" hidden="false" customHeight="false" outlineLevel="0" collapsed="false">
      <c r="A562" s="12" t="n">
        <v>7</v>
      </c>
      <c r="B562" s="12" t="s">
        <v>321</v>
      </c>
      <c r="C562" s="12" t="s">
        <v>156</v>
      </c>
      <c r="D562" s="12" t="s">
        <v>157</v>
      </c>
      <c r="E562" s="12" t="s">
        <v>290</v>
      </c>
      <c r="F562" s="12" t="s">
        <v>37</v>
      </c>
      <c r="G562" s="12" t="n">
        <v>120</v>
      </c>
      <c r="H562" s="12" t="n">
        <v>188</v>
      </c>
      <c r="I562" s="12" t="s">
        <v>282</v>
      </c>
      <c r="J562" s="12" t="n">
        <v>7</v>
      </c>
      <c r="K562" s="12" t="n">
        <v>5</v>
      </c>
      <c r="L562" s="28" t="n">
        <v>1</v>
      </c>
      <c r="M562" s="12" t="n">
        <f aca="false">IF(L562=1,COUNTIFS($C$2:$C$1090,C562,$L$2:$L$1090,1),"")</f>
        <v>10</v>
      </c>
      <c r="N562" s="12" t="n">
        <f aca="false">IF(L562=1,1+COUNTIFS($C$2:$C$1090,C562,$L$2:$L$1090,1,$G$2:$G$1090,"&gt;"&amp;G562),"")</f>
        <v>7</v>
      </c>
      <c r="O562" s="12" t="n">
        <f aca="false">IF(L562=1,1+COUNTIFS($C$2:$C$1090,C562,$L$2:$L$1090,1,$H$2:$H$1090,"&gt;"&amp;H562),"")</f>
        <v>5</v>
      </c>
      <c r="P562" s="12" t="n">
        <f aca="false">IF(L562=1,N562-O562,"")</f>
        <v>2</v>
      </c>
      <c r="Q562" s="12" t="n">
        <f aca="false">INDEX(Directions!$D$2:$D$100,MATCH(C562,Directions!$A$2:$A$100,0))</f>
        <v>0</v>
      </c>
      <c r="R562" s="12" t="n">
        <f aca="false">IF(L562=1,P562*Q562,"")</f>
        <v>0</v>
      </c>
      <c r="S562" s="12" t="str">
        <f aca="false">IF(L562&lt;&gt;1,"Excluded",IF(Q562=0,"No direction",IF(R562&gt;0,"Better",IF(R562&lt;0,"Worse","No change"))))</f>
        <v>No direction</v>
      </c>
      <c r="T562" s="12"/>
      <c r="U562" s="12" t="str">
        <f aca="false">C562&amp;"|"&amp;E562</f>
        <v>F7_06|AUS</v>
      </c>
    </row>
    <row r="563" customFormat="false" ht="15" hidden="false" customHeight="false" outlineLevel="0" collapsed="false">
      <c r="A563" s="12" t="n">
        <v>7</v>
      </c>
      <c r="B563" s="12" t="s">
        <v>321</v>
      </c>
      <c r="C563" s="12" t="s">
        <v>158</v>
      </c>
      <c r="D563" s="12" t="s">
        <v>159</v>
      </c>
      <c r="E563" s="12" t="s">
        <v>281</v>
      </c>
      <c r="F563" s="12" t="s">
        <v>27</v>
      </c>
      <c r="G563" s="12" t="n">
        <v>204</v>
      </c>
      <c r="H563" s="12" t="n">
        <v>204</v>
      </c>
      <c r="I563" s="12" t="s">
        <v>322</v>
      </c>
      <c r="J563" s="12" t="n">
        <v>7</v>
      </c>
      <c r="K563" s="12" t="n">
        <v>9</v>
      </c>
      <c r="L563" s="28" t="n">
        <v>1</v>
      </c>
      <c r="M563" s="12" t="n">
        <f aca="false">IF(L563=1,COUNTIFS($C$2:$C$1090,C563,$L$2:$L$1090,1),"")</f>
        <v>10</v>
      </c>
      <c r="N563" s="12" t="n">
        <f aca="false">IF(L563=1,1+COUNTIFS($C$2:$C$1090,C563,$L$2:$L$1090,1,$G$2:$G$1090,"&gt;"&amp;G563),"")</f>
        <v>7</v>
      </c>
      <c r="O563" s="12" t="n">
        <f aca="false">IF(L563=1,1+COUNTIFS($C$2:$C$1090,C563,$L$2:$L$1090,1,$H$2:$H$1090,"&gt;"&amp;H563),"")</f>
        <v>9</v>
      </c>
      <c r="P563" s="12" t="n">
        <f aca="false">IF(L563=1,N563-O563,"")</f>
        <v>-2</v>
      </c>
      <c r="Q563" s="12" t="n">
        <f aca="false">INDEX(Directions!$D$2:$D$100,MATCH(C563,Directions!$A$2:$A$100,0))</f>
        <v>0</v>
      </c>
      <c r="R563" s="12" t="n">
        <f aca="false">IF(L563=1,P563*Q563,"")</f>
        <v>-0</v>
      </c>
      <c r="S563" s="12" t="str">
        <f aca="false">IF(L563&lt;&gt;1,"Excluded",IF(Q563=0,"No direction",IF(R563&gt;0,"Better",IF(R563&lt;0,"Worse","No change"))))</f>
        <v>No direction</v>
      </c>
      <c r="T563" s="12" t="s">
        <v>323</v>
      </c>
      <c r="U563" s="12" t="str">
        <f aca="false">C563&amp;"|"&amp;E563</f>
        <v>F7_07|USA</v>
      </c>
    </row>
    <row r="564" customFormat="false" ht="15" hidden="false" customHeight="false" outlineLevel="0" collapsed="false">
      <c r="A564" s="12" t="n">
        <v>7</v>
      </c>
      <c r="B564" s="12" t="s">
        <v>321</v>
      </c>
      <c r="C564" s="12" t="s">
        <v>158</v>
      </c>
      <c r="D564" s="12" t="s">
        <v>159</v>
      </c>
      <c r="E564" s="12" t="s">
        <v>283</v>
      </c>
      <c r="F564" s="12" t="s">
        <v>28</v>
      </c>
      <c r="G564" s="12" t="n">
        <v>183</v>
      </c>
      <c r="H564" s="12" t="n">
        <v>224</v>
      </c>
      <c r="I564" s="12" t="s">
        <v>293</v>
      </c>
      <c r="J564" s="12" t="n">
        <v>8</v>
      </c>
      <c r="K564" s="12" t="n">
        <v>7</v>
      </c>
      <c r="L564" s="28" t="n">
        <v>1</v>
      </c>
      <c r="M564" s="12" t="n">
        <f aca="false">IF(L564=1,COUNTIFS($C$2:$C$1090,C564,$L$2:$L$1090,1),"")</f>
        <v>10</v>
      </c>
      <c r="N564" s="12" t="n">
        <f aca="false">IF(L564=1,1+COUNTIFS($C$2:$C$1090,C564,$L$2:$L$1090,1,$G$2:$G$1090,"&gt;"&amp;G564),"")</f>
        <v>8</v>
      </c>
      <c r="O564" s="12" t="n">
        <f aca="false">IF(L564=1,1+COUNTIFS($C$2:$C$1090,C564,$L$2:$L$1090,1,$H$2:$H$1090,"&gt;"&amp;H564),"")</f>
        <v>7</v>
      </c>
      <c r="P564" s="12" t="n">
        <f aca="false">IF(L564=1,N564-O564,"")</f>
        <v>1</v>
      </c>
      <c r="Q564" s="12" t="n">
        <f aca="false">INDEX(Directions!$D$2:$D$100,MATCH(C564,Directions!$A$2:$A$100,0))</f>
        <v>0</v>
      </c>
      <c r="R564" s="12" t="n">
        <f aca="false">IF(L564=1,P564*Q564,"")</f>
        <v>0</v>
      </c>
      <c r="S564" s="12" t="str">
        <f aca="false">IF(L564&lt;&gt;1,"Excluded",IF(Q564=0,"No direction",IF(R564&gt;0,"Better",IF(R564&lt;0,"Worse","No change"))))</f>
        <v>No direction</v>
      </c>
      <c r="T564" s="12"/>
      <c r="U564" s="12" t="str">
        <f aca="false">C564&amp;"|"&amp;E564</f>
        <v>F7_07|GBR</v>
      </c>
    </row>
    <row r="565" customFormat="false" ht="15" hidden="false" customHeight="false" outlineLevel="0" collapsed="false">
      <c r="A565" s="12" t="n">
        <v>7</v>
      </c>
      <c r="B565" s="12" t="s">
        <v>321</v>
      </c>
      <c r="C565" s="12" t="s">
        <v>158</v>
      </c>
      <c r="D565" s="12" t="s">
        <v>159</v>
      </c>
      <c r="E565" s="12" t="s">
        <v>284</v>
      </c>
      <c r="F565" s="12" t="s">
        <v>29</v>
      </c>
      <c r="G565" s="12" t="n">
        <v>283</v>
      </c>
      <c r="H565" s="12" t="n">
        <v>359</v>
      </c>
      <c r="I565" s="12" t="s">
        <v>293</v>
      </c>
      <c r="J565" s="12" t="n">
        <v>2</v>
      </c>
      <c r="K565" s="12" t="n">
        <v>1</v>
      </c>
      <c r="L565" s="28" t="n">
        <v>1</v>
      </c>
      <c r="M565" s="12" t="n">
        <f aca="false">IF(L565=1,COUNTIFS($C$2:$C$1090,C565,$L$2:$L$1090,1),"")</f>
        <v>10</v>
      </c>
      <c r="N565" s="12" t="n">
        <f aca="false">IF(L565=1,1+COUNTIFS($C$2:$C$1090,C565,$L$2:$L$1090,1,$G$2:$G$1090,"&gt;"&amp;G565),"")</f>
        <v>2</v>
      </c>
      <c r="O565" s="12" t="n">
        <f aca="false">IF(L565=1,1+COUNTIFS($C$2:$C$1090,C565,$L$2:$L$1090,1,$H$2:$H$1090,"&gt;"&amp;H565),"")</f>
        <v>1</v>
      </c>
      <c r="P565" s="12" t="n">
        <f aca="false">IF(L565=1,N565-O565,"")</f>
        <v>1</v>
      </c>
      <c r="Q565" s="12" t="n">
        <f aca="false">INDEX(Directions!$D$2:$D$100,MATCH(C565,Directions!$A$2:$A$100,0))</f>
        <v>0</v>
      </c>
      <c r="R565" s="12" t="n">
        <f aca="false">IF(L565=1,P565*Q565,"")</f>
        <v>0</v>
      </c>
      <c r="S565" s="12" t="str">
        <f aca="false">IF(L565&lt;&gt;1,"Excluded",IF(Q565=0,"No direction",IF(R565&gt;0,"Better",IF(R565&lt;0,"Worse","No change"))))</f>
        <v>No direction</v>
      </c>
      <c r="T565" s="12"/>
      <c r="U565" s="12" t="str">
        <f aca="false">C565&amp;"|"&amp;E565</f>
        <v>F7_07|DEU</v>
      </c>
    </row>
    <row r="566" customFormat="false" ht="15" hidden="false" customHeight="false" outlineLevel="0" collapsed="false">
      <c r="A566" s="12" t="n">
        <v>7</v>
      </c>
      <c r="B566" s="12" t="s">
        <v>321</v>
      </c>
      <c r="C566" s="12" t="s">
        <v>158</v>
      </c>
      <c r="D566" s="12" t="s">
        <v>159</v>
      </c>
      <c r="E566" s="12" t="s">
        <v>285</v>
      </c>
      <c r="F566" s="12" t="s">
        <v>30</v>
      </c>
      <c r="G566" s="12" t="n">
        <v>234</v>
      </c>
      <c r="H566" s="12" t="n">
        <v>280</v>
      </c>
      <c r="I566" s="12" t="s">
        <v>293</v>
      </c>
      <c r="J566" s="12" t="n">
        <v>5</v>
      </c>
      <c r="K566" s="12" t="n">
        <v>4</v>
      </c>
      <c r="L566" s="28" t="n">
        <v>1</v>
      </c>
      <c r="M566" s="12" t="n">
        <f aca="false">IF(L566=1,COUNTIFS($C$2:$C$1090,C566,$L$2:$L$1090,1),"")</f>
        <v>10</v>
      </c>
      <c r="N566" s="12" t="n">
        <f aca="false">IF(L566=1,1+COUNTIFS($C$2:$C$1090,C566,$L$2:$L$1090,1,$G$2:$G$1090,"&gt;"&amp;G566),"")</f>
        <v>5</v>
      </c>
      <c r="O566" s="12" t="n">
        <f aca="false">IF(L566=1,1+COUNTIFS($C$2:$C$1090,C566,$L$2:$L$1090,1,$H$2:$H$1090,"&gt;"&amp;H566),"")</f>
        <v>4</v>
      </c>
      <c r="P566" s="12" t="n">
        <f aca="false">IF(L566=1,N566-O566,"")</f>
        <v>1</v>
      </c>
      <c r="Q566" s="12" t="n">
        <f aca="false">INDEX(Directions!$D$2:$D$100,MATCH(C566,Directions!$A$2:$A$100,0))</f>
        <v>0</v>
      </c>
      <c r="R566" s="12" t="n">
        <f aca="false">IF(L566=1,P566*Q566,"")</f>
        <v>0</v>
      </c>
      <c r="S566" s="12" t="str">
        <f aca="false">IF(L566&lt;&gt;1,"Excluded",IF(Q566=0,"No direction",IF(R566&gt;0,"Better",IF(R566&lt;0,"Worse","No change"))))</f>
        <v>No direction</v>
      </c>
      <c r="T566" s="12"/>
      <c r="U566" s="12" t="str">
        <f aca="false">C566&amp;"|"&amp;E566</f>
        <v>F7_07|SWE</v>
      </c>
    </row>
    <row r="567" customFormat="false" ht="15" hidden="false" customHeight="false" outlineLevel="0" collapsed="false">
      <c r="A567" s="12" t="n">
        <v>7</v>
      </c>
      <c r="B567" s="12" t="s">
        <v>321</v>
      </c>
      <c r="C567" s="12" t="s">
        <v>158</v>
      </c>
      <c r="D567" s="12" t="s">
        <v>159</v>
      </c>
      <c r="E567" s="12" t="s">
        <v>286</v>
      </c>
      <c r="F567" s="12" t="s">
        <v>31</v>
      </c>
      <c r="G567" s="12" t="n">
        <v>236</v>
      </c>
      <c r="H567" s="12" t="n">
        <v>273</v>
      </c>
      <c r="I567" s="12" t="s">
        <v>293</v>
      </c>
      <c r="J567" s="12" t="n">
        <v>4</v>
      </c>
      <c r="K567" s="12" t="n">
        <v>5</v>
      </c>
      <c r="L567" s="28" t="n">
        <v>1</v>
      </c>
      <c r="M567" s="12" t="n">
        <f aca="false">IF(L567=1,COUNTIFS($C$2:$C$1090,C567,$L$2:$L$1090,1),"")</f>
        <v>10</v>
      </c>
      <c r="N567" s="12" t="n">
        <f aca="false">IF(L567=1,1+COUNTIFS($C$2:$C$1090,C567,$L$2:$L$1090,1,$G$2:$G$1090,"&gt;"&amp;G567),"")</f>
        <v>4</v>
      </c>
      <c r="O567" s="12" t="n">
        <f aca="false">IF(L567=1,1+COUNTIFS($C$2:$C$1090,C567,$L$2:$L$1090,1,$H$2:$H$1090,"&gt;"&amp;H567),"")</f>
        <v>5</v>
      </c>
      <c r="P567" s="12" t="n">
        <f aca="false">IF(L567=1,N567-O567,"")</f>
        <v>-1</v>
      </c>
      <c r="Q567" s="12" t="n">
        <f aca="false">INDEX(Directions!$D$2:$D$100,MATCH(C567,Directions!$A$2:$A$100,0))</f>
        <v>0</v>
      </c>
      <c r="R567" s="12" t="n">
        <f aca="false">IF(L567=1,P567*Q567,"")</f>
        <v>-0</v>
      </c>
      <c r="S567" s="12" t="str">
        <f aca="false">IF(L567&lt;&gt;1,"Excluded",IF(Q567=0,"No direction",IF(R567&gt;0,"Better",IF(R567&lt;0,"Worse","No change"))))</f>
        <v>No direction</v>
      </c>
      <c r="T567" s="12"/>
      <c r="U567" s="12" t="str">
        <f aca="false">C567&amp;"|"&amp;E567</f>
        <v>F7_07|FRA</v>
      </c>
    </row>
    <row r="568" customFormat="false" ht="15" hidden="false" customHeight="false" outlineLevel="0" collapsed="false">
      <c r="A568" s="12" t="n">
        <v>7</v>
      </c>
      <c r="B568" s="12" t="s">
        <v>321</v>
      </c>
      <c r="C568" s="12" t="s">
        <v>158</v>
      </c>
      <c r="D568" s="12" t="s">
        <v>159</v>
      </c>
      <c r="E568" s="12" t="s">
        <v>32</v>
      </c>
      <c r="F568" s="12" t="s">
        <v>32</v>
      </c>
      <c r="G568" s="12" t="n">
        <v>216</v>
      </c>
      <c r="H568" s="12" t="n">
        <v>268</v>
      </c>
      <c r="I568" s="12" t="s">
        <v>293</v>
      </c>
      <c r="J568" s="12" t="n">
        <v>6</v>
      </c>
      <c r="K568" s="12" t="n">
        <v>6</v>
      </c>
      <c r="L568" s="28" t="n">
        <v>1</v>
      </c>
      <c r="M568" s="12" t="n">
        <f aca="false">IF(L568=1,COUNTIFS($C$2:$C$1090,C568,$L$2:$L$1090,1),"")</f>
        <v>10</v>
      </c>
      <c r="N568" s="12" t="n">
        <f aca="false">IF(L568=1,1+COUNTIFS($C$2:$C$1090,C568,$L$2:$L$1090,1,$G$2:$G$1090,"&gt;"&amp;G568),"")</f>
        <v>6</v>
      </c>
      <c r="O568" s="12" t="n">
        <f aca="false">IF(L568=1,1+COUNTIFS($C$2:$C$1090,C568,$L$2:$L$1090,1,$H$2:$H$1090,"&gt;"&amp;H568),"")</f>
        <v>6</v>
      </c>
      <c r="P568" s="12" t="n">
        <f aca="false">IF(L568=1,N568-O568,"")</f>
        <v>0</v>
      </c>
      <c r="Q568" s="12" t="n">
        <f aca="false">INDEX(Directions!$D$2:$D$100,MATCH(C568,Directions!$A$2:$A$100,0))</f>
        <v>0</v>
      </c>
      <c r="R568" s="12" t="n">
        <f aca="false">IF(L568=1,P568*Q568,"")</f>
        <v>0</v>
      </c>
      <c r="S568" s="12" t="str">
        <f aca="false">IF(L568&lt;&gt;1,"Excluded",IF(Q568=0,"No direction",IF(R568&gt;0,"Better",IF(R568&lt;0,"Worse","No change"))))</f>
        <v>No direction</v>
      </c>
      <c r="T568" s="12"/>
      <c r="U568" s="12" t="str">
        <f aca="false">C568&amp;"|"&amp;E568</f>
        <v>F7_07|NLD</v>
      </c>
    </row>
    <row r="569" customFormat="false" ht="15" hidden="false" customHeight="false" outlineLevel="0" collapsed="false">
      <c r="A569" s="12" t="n">
        <v>7</v>
      </c>
      <c r="B569" s="12" t="s">
        <v>321</v>
      </c>
      <c r="C569" s="12" t="s">
        <v>158</v>
      </c>
      <c r="D569" s="12" t="s">
        <v>159</v>
      </c>
      <c r="E569" s="12" t="s">
        <v>33</v>
      </c>
      <c r="F569" s="12" t="s">
        <v>33</v>
      </c>
      <c r="G569" s="12" t="n">
        <v>292</v>
      </c>
      <c r="H569" s="12" t="n">
        <v>358</v>
      </c>
      <c r="I569" s="12" t="s">
        <v>293</v>
      </c>
      <c r="J569" s="12" t="n">
        <v>1</v>
      </c>
      <c r="K569" s="12" t="n">
        <v>2</v>
      </c>
      <c r="L569" s="28" t="n">
        <v>1</v>
      </c>
      <c r="M569" s="12" t="n">
        <f aca="false">IF(L569=1,COUNTIFS($C$2:$C$1090,C569,$L$2:$L$1090,1),"")</f>
        <v>10</v>
      </c>
      <c r="N569" s="12" t="n">
        <f aca="false">IF(L569=1,1+COUNTIFS($C$2:$C$1090,C569,$L$2:$L$1090,1,$G$2:$G$1090,"&gt;"&amp;G569),"")</f>
        <v>1</v>
      </c>
      <c r="O569" s="12" t="n">
        <f aca="false">IF(L569=1,1+COUNTIFS($C$2:$C$1090,C569,$L$2:$L$1090,1,$H$2:$H$1090,"&gt;"&amp;H569),"")</f>
        <v>2</v>
      </c>
      <c r="P569" s="12" t="n">
        <f aca="false">IF(L569=1,N569-O569,"")</f>
        <v>-1</v>
      </c>
      <c r="Q569" s="12" t="n">
        <f aca="false">INDEX(Directions!$D$2:$D$100,MATCH(C569,Directions!$A$2:$A$100,0))</f>
        <v>0</v>
      </c>
      <c r="R569" s="12" t="n">
        <f aca="false">IF(L569=1,P569*Q569,"")</f>
        <v>-0</v>
      </c>
      <c r="S569" s="12" t="str">
        <f aca="false">IF(L569&lt;&gt;1,"Excluded",IF(Q569=0,"No direction",IF(R569&gt;0,"Better",IF(R569&lt;0,"Worse","No change"))))</f>
        <v>No direction</v>
      </c>
      <c r="T569" s="12"/>
      <c r="U569" s="12" t="str">
        <f aca="false">C569&amp;"|"&amp;E569</f>
        <v>F7_07|CHE</v>
      </c>
    </row>
    <row r="570" customFormat="false" ht="15" hidden="false" customHeight="false" outlineLevel="0" collapsed="false">
      <c r="A570" s="12" t="n">
        <v>7</v>
      </c>
      <c r="B570" s="12" t="s">
        <v>321</v>
      </c>
      <c r="C570" s="12" t="s">
        <v>158</v>
      </c>
      <c r="D570" s="12" t="s">
        <v>159</v>
      </c>
      <c r="E570" s="12" t="s">
        <v>287</v>
      </c>
      <c r="F570" s="12" t="s">
        <v>34</v>
      </c>
      <c r="G570" s="12" t="n">
        <v>237</v>
      </c>
      <c r="H570" s="12" t="n">
        <v>297</v>
      </c>
      <c r="I570" s="12" t="s">
        <v>293</v>
      </c>
      <c r="J570" s="12" t="n">
        <v>3</v>
      </c>
      <c r="K570" s="12" t="n">
        <v>3</v>
      </c>
      <c r="L570" s="28" t="n">
        <v>1</v>
      </c>
      <c r="M570" s="12" t="n">
        <f aca="false">IF(L570=1,COUNTIFS($C$2:$C$1090,C570,$L$2:$L$1090,1),"")</f>
        <v>10</v>
      </c>
      <c r="N570" s="12" t="n">
        <f aca="false">IF(L570=1,1+COUNTIFS($C$2:$C$1090,C570,$L$2:$L$1090,1,$G$2:$G$1090,"&gt;"&amp;G570),"")</f>
        <v>3</v>
      </c>
      <c r="O570" s="12" t="n">
        <f aca="false">IF(L570=1,1+COUNTIFS($C$2:$C$1090,C570,$L$2:$L$1090,1,$H$2:$H$1090,"&gt;"&amp;H570),"")</f>
        <v>3</v>
      </c>
      <c r="P570" s="12" t="n">
        <f aca="false">IF(L570=1,N570-O570,"")</f>
        <v>0</v>
      </c>
      <c r="Q570" s="12" t="n">
        <f aca="false">INDEX(Directions!$D$2:$D$100,MATCH(C570,Directions!$A$2:$A$100,0))</f>
        <v>0</v>
      </c>
      <c r="R570" s="12" t="n">
        <f aca="false">IF(L570=1,P570*Q570,"")</f>
        <v>0</v>
      </c>
      <c r="S570" s="12" t="str">
        <f aca="false">IF(L570&lt;&gt;1,"Excluded",IF(Q570=0,"No direction",IF(R570&gt;0,"Better",IF(R570&lt;0,"Worse","No change"))))</f>
        <v>No direction</v>
      </c>
      <c r="T570" s="12"/>
      <c r="U570" s="12" t="str">
        <f aca="false">C570&amp;"|"&amp;E570</f>
        <v>F7_07|DNK</v>
      </c>
    </row>
    <row r="571" customFormat="false" ht="15" hidden="false" customHeight="false" outlineLevel="0" collapsed="false">
      <c r="A571" s="12" t="n">
        <v>7</v>
      </c>
      <c r="B571" s="12" t="s">
        <v>321</v>
      </c>
      <c r="C571" s="12" t="s">
        <v>158</v>
      </c>
      <c r="D571" s="12" t="s">
        <v>159</v>
      </c>
      <c r="E571" s="12" t="s">
        <v>288</v>
      </c>
      <c r="F571" s="12" t="s">
        <v>35</v>
      </c>
      <c r="G571" s="12" t="n">
        <v>136</v>
      </c>
      <c r="H571" s="12" t="n">
        <v>192</v>
      </c>
      <c r="I571" s="12" t="s">
        <v>293</v>
      </c>
      <c r="J571" s="12" t="n">
        <v>10</v>
      </c>
      <c r="K571" s="12" t="n">
        <v>10</v>
      </c>
      <c r="L571" s="28" t="n">
        <v>1</v>
      </c>
      <c r="M571" s="12" t="n">
        <f aca="false">IF(L571=1,COUNTIFS($C$2:$C$1090,C571,$L$2:$L$1090,1),"")</f>
        <v>10</v>
      </c>
      <c r="N571" s="12" t="n">
        <f aca="false">IF(L571=1,1+COUNTIFS($C$2:$C$1090,C571,$L$2:$L$1090,1,$G$2:$G$1090,"&gt;"&amp;G571),"")</f>
        <v>10</v>
      </c>
      <c r="O571" s="12" t="n">
        <f aca="false">IF(L571=1,1+COUNTIFS($C$2:$C$1090,C571,$L$2:$L$1090,1,$H$2:$H$1090,"&gt;"&amp;H571),"")</f>
        <v>10</v>
      </c>
      <c r="P571" s="12" t="n">
        <f aca="false">IF(L571=1,N571-O571,"")</f>
        <v>0</v>
      </c>
      <c r="Q571" s="12" t="n">
        <f aca="false">INDEX(Directions!$D$2:$D$100,MATCH(C571,Directions!$A$2:$A$100,0))</f>
        <v>0</v>
      </c>
      <c r="R571" s="12" t="n">
        <f aca="false">IF(L571=1,P571*Q571,"")</f>
        <v>0</v>
      </c>
      <c r="S571" s="12" t="str">
        <f aca="false">IF(L571&lt;&gt;1,"Excluded",IF(Q571=0,"No direction",IF(R571&gt;0,"Better",IF(R571&lt;0,"Worse","No change"))))</f>
        <v>No direction</v>
      </c>
      <c r="T571" s="12"/>
      <c r="U571" s="12" t="str">
        <f aca="false">C571&amp;"|"&amp;E571</f>
        <v>F7_07|CAN</v>
      </c>
    </row>
    <row r="572" customFormat="false" ht="15" hidden="false" customHeight="false" outlineLevel="0" collapsed="false">
      <c r="A572" s="12" t="n">
        <v>7</v>
      </c>
      <c r="B572" s="12" t="s">
        <v>321</v>
      </c>
      <c r="C572" s="12" t="s">
        <v>158</v>
      </c>
      <c r="D572" s="12" t="s">
        <v>159</v>
      </c>
      <c r="E572" s="12" t="s">
        <v>289</v>
      </c>
      <c r="F572" s="12" t="s">
        <v>36</v>
      </c>
      <c r="G572" s="12" t="n">
        <v>90</v>
      </c>
      <c r="H572" s="12" t="s">
        <v>302</v>
      </c>
      <c r="I572" s="12"/>
      <c r="J572" s="12" t="n">
        <v>11</v>
      </c>
      <c r="K572" s="12" t="s">
        <v>302</v>
      </c>
      <c r="L572" s="28" t="n">
        <v>0</v>
      </c>
      <c r="M572" s="12" t="str">
        <f aca="false">IF(L572=1,COUNTIFS($C$2:$C$1090,C572,$L$2:$L$1090,1),"")</f>
        <v/>
      </c>
      <c r="N572" s="12" t="str">
        <f aca="false">IF(L572=1,1+COUNTIFS($C$2:$C$1090,C572,$L$2:$L$1090,1,$G$2:$G$1090,"&gt;"&amp;G572),"")</f>
        <v/>
      </c>
      <c r="O572" s="12" t="str">
        <f aca="false">IF(L572=1,1+COUNTIFS($C$2:$C$1090,C572,$L$2:$L$1090,1,$H$2:$H$1090,"&gt;"&amp;H572),"")</f>
        <v/>
      </c>
      <c r="P572" s="12" t="str">
        <f aca="false">IF(L572=1,N572-O572,"")</f>
        <v/>
      </c>
      <c r="Q572" s="12" t="n">
        <f aca="false">INDEX(Directions!$D$2:$D$100,MATCH(C572,Directions!$A$2:$A$100,0))</f>
        <v>0</v>
      </c>
      <c r="R572" s="12" t="str">
        <f aca="false">IF(L572=1,P572*Q572,"")</f>
        <v/>
      </c>
      <c r="S572" s="12" t="str">
        <f aca="false">IF(L572&lt;&gt;1,"Excluded",IF(Q572=0,"No direction",IF(R572&gt;0,"Better",IF(R572&lt;0,"Worse","No change"))))</f>
        <v>Excluded</v>
      </c>
      <c r="T572" s="12" t="s">
        <v>303</v>
      </c>
      <c r="U572" s="12" t="str">
        <f aca="false">C572&amp;"|"&amp;E572</f>
        <v>F7_07|JPN</v>
      </c>
    </row>
    <row r="573" customFormat="false" ht="15" hidden="false" customHeight="false" outlineLevel="0" collapsed="false">
      <c r="A573" s="12" t="n">
        <v>7</v>
      </c>
      <c r="B573" s="12" t="s">
        <v>321</v>
      </c>
      <c r="C573" s="12" t="s">
        <v>158</v>
      </c>
      <c r="D573" s="12" t="s">
        <v>159</v>
      </c>
      <c r="E573" s="12" t="s">
        <v>290</v>
      </c>
      <c r="F573" s="12" t="s">
        <v>37</v>
      </c>
      <c r="G573" s="12" t="n">
        <v>171</v>
      </c>
      <c r="H573" s="12" t="n">
        <v>211</v>
      </c>
      <c r="I573" s="12" t="s">
        <v>293</v>
      </c>
      <c r="J573" s="12" t="n">
        <v>9</v>
      </c>
      <c r="K573" s="12" t="n">
        <v>8</v>
      </c>
      <c r="L573" s="28" t="n">
        <v>1</v>
      </c>
      <c r="M573" s="12" t="n">
        <f aca="false">IF(L573=1,COUNTIFS($C$2:$C$1090,C573,$L$2:$L$1090,1),"")</f>
        <v>10</v>
      </c>
      <c r="N573" s="12" t="n">
        <f aca="false">IF(L573=1,1+COUNTIFS($C$2:$C$1090,C573,$L$2:$L$1090,1,$G$2:$G$1090,"&gt;"&amp;G573),"")</f>
        <v>9</v>
      </c>
      <c r="O573" s="12" t="n">
        <f aca="false">IF(L573=1,1+COUNTIFS($C$2:$C$1090,C573,$L$2:$L$1090,1,$H$2:$H$1090,"&gt;"&amp;H573),"")</f>
        <v>8</v>
      </c>
      <c r="P573" s="12" t="n">
        <f aca="false">IF(L573=1,N573-O573,"")</f>
        <v>1</v>
      </c>
      <c r="Q573" s="12" t="n">
        <f aca="false">INDEX(Directions!$D$2:$D$100,MATCH(C573,Directions!$A$2:$A$100,0))</f>
        <v>0</v>
      </c>
      <c r="R573" s="12" t="n">
        <f aca="false">IF(L573=1,P573*Q573,"")</f>
        <v>0</v>
      </c>
      <c r="S573" s="12" t="str">
        <f aca="false">IF(L573&lt;&gt;1,"Excluded",IF(Q573=0,"No direction",IF(R573&gt;0,"Better",IF(R573&lt;0,"Worse","No change"))))</f>
        <v>No direction</v>
      </c>
      <c r="T573" s="12"/>
      <c r="U573" s="12" t="str">
        <f aca="false">C573&amp;"|"&amp;E573</f>
        <v>F7_07|AUS</v>
      </c>
    </row>
    <row r="574" customFormat="false" ht="15" hidden="false" customHeight="false" outlineLevel="0" collapsed="false">
      <c r="A574" s="12" t="n">
        <v>7</v>
      </c>
      <c r="B574" s="12" t="s">
        <v>321</v>
      </c>
      <c r="C574" s="12" t="s">
        <v>160</v>
      </c>
      <c r="D574" s="12" t="s">
        <v>161</v>
      </c>
      <c r="E574" s="12" t="s">
        <v>281</v>
      </c>
      <c r="F574" s="12" t="s">
        <v>27</v>
      </c>
      <c r="G574" s="12" t="n">
        <v>226</v>
      </c>
      <c r="H574" s="12" t="n">
        <v>226</v>
      </c>
      <c r="I574" s="12" t="s">
        <v>322</v>
      </c>
      <c r="J574" s="12" t="n">
        <v>1</v>
      </c>
      <c r="K574" s="12" t="n">
        <v>6</v>
      </c>
      <c r="L574" s="28" t="n">
        <v>1</v>
      </c>
      <c r="M574" s="12" t="n">
        <f aca="false">IF(L574=1,COUNTIFS($C$2:$C$1090,C574,$L$2:$L$1090,1),"")</f>
        <v>10</v>
      </c>
      <c r="N574" s="12" t="n">
        <f aca="false">IF(L574=1,1+COUNTIFS($C$2:$C$1090,C574,$L$2:$L$1090,1,$G$2:$G$1090,"&gt;"&amp;G574),"")</f>
        <v>1</v>
      </c>
      <c r="O574" s="12" t="n">
        <f aca="false">IF(L574=1,1+COUNTIFS($C$2:$C$1090,C574,$L$2:$L$1090,1,$H$2:$H$1090,"&gt;"&amp;H574),"")</f>
        <v>6</v>
      </c>
      <c r="P574" s="12" t="n">
        <f aca="false">IF(L574=1,N574-O574,"")</f>
        <v>-5</v>
      </c>
      <c r="Q574" s="12" t="n">
        <f aca="false">INDEX(Directions!$D$2:$D$100,MATCH(C574,Directions!$A$2:$A$100,0))</f>
        <v>0</v>
      </c>
      <c r="R574" s="12" t="n">
        <f aca="false">IF(L574=1,P574*Q574,"")</f>
        <v>-0</v>
      </c>
      <c r="S574" s="12" t="str">
        <f aca="false">IF(L574&lt;&gt;1,"Excluded",IF(Q574=0,"No direction",IF(R574&gt;0,"Better",IF(R574&lt;0,"Worse","No change"))))</f>
        <v>No direction</v>
      </c>
      <c r="T574" s="12" t="s">
        <v>323</v>
      </c>
      <c r="U574" s="12" t="str">
        <f aca="false">C574&amp;"|"&amp;E574</f>
        <v>F7_08|USA</v>
      </c>
    </row>
    <row r="575" customFormat="false" ht="15" hidden="false" customHeight="false" outlineLevel="0" collapsed="false">
      <c r="A575" s="12" t="n">
        <v>7</v>
      </c>
      <c r="B575" s="12" t="s">
        <v>321</v>
      </c>
      <c r="C575" s="12" t="s">
        <v>160</v>
      </c>
      <c r="D575" s="12" t="s">
        <v>161</v>
      </c>
      <c r="E575" s="12" t="s">
        <v>283</v>
      </c>
      <c r="F575" s="12" t="s">
        <v>28</v>
      </c>
      <c r="G575" s="12" t="n">
        <v>141</v>
      </c>
      <c r="H575" s="12" t="n">
        <v>170</v>
      </c>
      <c r="I575" s="12" t="s">
        <v>293</v>
      </c>
      <c r="J575" s="12" t="n">
        <v>8</v>
      </c>
      <c r="K575" s="12" t="n">
        <v>9</v>
      </c>
      <c r="L575" s="28" t="n">
        <v>1</v>
      </c>
      <c r="M575" s="12" t="n">
        <f aca="false">IF(L575=1,COUNTIFS($C$2:$C$1090,C575,$L$2:$L$1090,1),"")</f>
        <v>10</v>
      </c>
      <c r="N575" s="12" t="n">
        <f aca="false">IF(L575=1,1+COUNTIFS($C$2:$C$1090,C575,$L$2:$L$1090,1,$G$2:$G$1090,"&gt;"&amp;G575),"")</f>
        <v>8</v>
      </c>
      <c r="O575" s="12" t="n">
        <f aca="false">IF(L575=1,1+COUNTIFS($C$2:$C$1090,C575,$L$2:$L$1090,1,$H$2:$H$1090,"&gt;"&amp;H575),"")</f>
        <v>9</v>
      </c>
      <c r="P575" s="12" t="n">
        <f aca="false">IF(L575=1,N575-O575,"")</f>
        <v>-1</v>
      </c>
      <c r="Q575" s="12" t="n">
        <f aca="false">INDEX(Directions!$D$2:$D$100,MATCH(C575,Directions!$A$2:$A$100,0))</f>
        <v>0</v>
      </c>
      <c r="R575" s="12" t="n">
        <f aca="false">IF(L575=1,P575*Q575,"")</f>
        <v>-0</v>
      </c>
      <c r="S575" s="12" t="str">
        <f aca="false">IF(L575&lt;&gt;1,"Excluded",IF(Q575=0,"No direction",IF(R575&gt;0,"Better",IF(R575&lt;0,"Worse","No change"))))</f>
        <v>No direction</v>
      </c>
      <c r="T575" s="12"/>
      <c r="U575" s="12" t="str">
        <f aca="false">C575&amp;"|"&amp;E575</f>
        <v>F7_08|GBR</v>
      </c>
    </row>
    <row r="576" customFormat="false" ht="15" hidden="false" customHeight="false" outlineLevel="0" collapsed="false">
      <c r="A576" s="12" t="n">
        <v>7</v>
      </c>
      <c r="B576" s="12" t="s">
        <v>321</v>
      </c>
      <c r="C576" s="12" t="s">
        <v>160</v>
      </c>
      <c r="D576" s="12" t="s">
        <v>161</v>
      </c>
      <c r="E576" s="12" t="s">
        <v>284</v>
      </c>
      <c r="F576" s="12" t="s">
        <v>29</v>
      </c>
      <c r="G576" s="12" t="n">
        <v>190</v>
      </c>
      <c r="H576" s="12" t="n">
        <v>288</v>
      </c>
      <c r="I576" s="12" t="s">
        <v>293</v>
      </c>
      <c r="J576" s="12" t="n">
        <v>2</v>
      </c>
      <c r="K576" s="12" t="n">
        <v>2</v>
      </c>
      <c r="L576" s="28" t="n">
        <v>1</v>
      </c>
      <c r="M576" s="12" t="n">
        <f aca="false">IF(L576=1,COUNTIFS($C$2:$C$1090,C576,$L$2:$L$1090,1),"")</f>
        <v>10</v>
      </c>
      <c r="N576" s="12" t="n">
        <f aca="false">IF(L576=1,1+COUNTIFS($C$2:$C$1090,C576,$L$2:$L$1090,1,$G$2:$G$1090,"&gt;"&amp;G576),"")</f>
        <v>2</v>
      </c>
      <c r="O576" s="12" t="n">
        <f aca="false">IF(L576=1,1+COUNTIFS($C$2:$C$1090,C576,$L$2:$L$1090,1,$H$2:$H$1090,"&gt;"&amp;H576),"")</f>
        <v>2</v>
      </c>
      <c r="P576" s="12" t="n">
        <f aca="false">IF(L576=1,N576-O576,"")</f>
        <v>0</v>
      </c>
      <c r="Q576" s="12" t="n">
        <f aca="false">INDEX(Directions!$D$2:$D$100,MATCH(C576,Directions!$A$2:$A$100,0))</f>
        <v>0</v>
      </c>
      <c r="R576" s="12" t="n">
        <f aca="false">IF(L576=1,P576*Q576,"")</f>
        <v>0</v>
      </c>
      <c r="S576" s="12" t="str">
        <f aca="false">IF(L576&lt;&gt;1,"Excluded",IF(Q576=0,"No direction",IF(R576&gt;0,"Better",IF(R576&lt;0,"Worse","No change"))))</f>
        <v>No direction</v>
      </c>
      <c r="T576" s="12"/>
      <c r="U576" s="12" t="str">
        <f aca="false">C576&amp;"|"&amp;E576</f>
        <v>F7_08|DEU</v>
      </c>
    </row>
    <row r="577" customFormat="false" ht="15" hidden="false" customHeight="false" outlineLevel="0" collapsed="false">
      <c r="A577" s="12" t="n">
        <v>7</v>
      </c>
      <c r="B577" s="12" t="s">
        <v>321</v>
      </c>
      <c r="C577" s="12" t="s">
        <v>160</v>
      </c>
      <c r="D577" s="12" t="s">
        <v>161</v>
      </c>
      <c r="E577" s="12" t="s">
        <v>285</v>
      </c>
      <c r="F577" s="12" t="s">
        <v>30</v>
      </c>
      <c r="G577" s="12" t="n">
        <v>124</v>
      </c>
      <c r="H577" s="12" t="n">
        <v>175</v>
      </c>
      <c r="I577" s="12" t="s">
        <v>293</v>
      </c>
      <c r="J577" s="12" t="n">
        <v>9</v>
      </c>
      <c r="K577" s="12" t="n">
        <v>8</v>
      </c>
      <c r="L577" s="28" t="n">
        <v>1</v>
      </c>
      <c r="M577" s="12" t="n">
        <f aca="false">IF(L577=1,COUNTIFS($C$2:$C$1090,C577,$L$2:$L$1090,1),"")</f>
        <v>10</v>
      </c>
      <c r="N577" s="12" t="n">
        <f aca="false">IF(L577=1,1+COUNTIFS($C$2:$C$1090,C577,$L$2:$L$1090,1,$G$2:$G$1090,"&gt;"&amp;G577),"")</f>
        <v>9</v>
      </c>
      <c r="O577" s="12" t="n">
        <f aca="false">IF(L577=1,1+COUNTIFS($C$2:$C$1090,C577,$L$2:$L$1090,1,$H$2:$H$1090,"&gt;"&amp;H577),"")</f>
        <v>8</v>
      </c>
      <c r="P577" s="12" t="n">
        <f aca="false">IF(L577=1,N577-O577,"")</f>
        <v>1</v>
      </c>
      <c r="Q577" s="12" t="n">
        <f aca="false">INDEX(Directions!$D$2:$D$100,MATCH(C577,Directions!$A$2:$A$100,0))</f>
        <v>0</v>
      </c>
      <c r="R577" s="12" t="n">
        <f aca="false">IF(L577=1,P577*Q577,"")</f>
        <v>0</v>
      </c>
      <c r="S577" s="12" t="str">
        <f aca="false">IF(L577&lt;&gt;1,"Excluded",IF(Q577=0,"No direction",IF(R577&gt;0,"Better",IF(R577&lt;0,"Worse","No change"))))</f>
        <v>No direction</v>
      </c>
      <c r="T577" s="12"/>
      <c r="U577" s="12" t="str">
        <f aca="false">C577&amp;"|"&amp;E577</f>
        <v>F7_08|SWE</v>
      </c>
    </row>
    <row r="578" customFormat="false" ht="15" hidden="false" customHeight="false" outlineLevel="0" collapsed="false">
      <c r="A578" s="12" t="n">
        <v>7</v>
      </c>
      <c r="B578" s="12" t="s">
        <v>321</v>
      </c>
      <c r="C578" s="12" t="s">
        <v>160</v>
      </c>
      <c r="D578" s="12" t="s">
        <v>161</v>
      </c>
      <c r="E578" s="12" t="s">
        <v>286</v>
      </c>
      <c r="F578" s="12" t="s">
        <v>31</v>
      </c>
      <c r="G578" s="12" t="n">
        <v>145</v>
      </c>
      <c r="H578" s="12" t="n">
        <v>210</v>
      </c>
      <c r="I578" s="12" t="s">
        <v>293</v>
      </c>
      <c r="J578" s="12" t="n">
        <v>7</v>
      </c>
      <c r="K578" s="12" t="n">
        <v>7</v>
      </c>
      <c r="L578" s="28" t="n">
        <v>1</v>
      </c>
      <c r="M578" s="12" t="n">
        <f aca="false">IF(L578=1,COUNTIFS($C$2:$C$1090,C578,$L$2:$L$1090,1),"")</f>
        <v>10</v>
      </c>
      <c r="N578" s="12" t="n">
        <f aca="false">IF(L578=1,1+COUNTIFS($C$2:$C$1090,C578,$L$2:$L$1090,1,$G$2:$G$1090,"&gt;"&amp;G578),"")</f>
        <v>7</v>
      </c>
      <c r="O578" s="12" t="n">
        <f aca="false">IF(L578=1,1+COUNTIFS($C$2:$C$1090,C578,$L$2:$L$1090,1,$H$2:$H$1090,"&gt;"&amp;H578),"")</f>
        <v>7</v>
      </c>
      <c r="P578" s="12" t="n">
        <f aca="false">IF(L578=1,N578-O578,"")</f>
        <v>0</v>
      </c>
      <c r="Q578" s="12" t="n">
        <f aca="false">INDEX(Directions!$D$2:$D$100,MATCH(C578,Directions!$A$2:$A$100,0))</f>
        <v>0</v>
      </c>
      <c r="R578" s="12" t="n">
        <f aca="false">IF(L578=1,P578*Q578,"")</f>
        <v>0</v>
      </c>
      <c r="S578" s="12" t="str">
        <f aca="false">IF(L578&lt;&gt;1,"Excluded",IF(Q578=0,"No direction",IF(R578&gt;0,"Better",IF(R578&lt;0,"Worse","No change"))))</f>
        <v>No direction</v>
      </c>
      <c r="T578" s="12"/>
      <c r="U578" s="12" t="str">
        <f aca="false">C578&amp;"|"&amp;E578</f>
        <v>F7_08|FRA</v>
      </c>
    </row>
    <row r="579" customFormat="false" ht="15" hidden="false" customHeight="false" outlineLevel="0" collapsed="false">
      <c r="A579" s="12" t="n">
        <v>7</v>
      </c>
      <c r="B579" s="12" t="s">
        <v>321</v>
      </c>
      <c r="C579" s="12" t="s">
        <v>160</v>
      </c>
      <c r="D579" s="12" t="s">
        <v>161</v>
      </c>
      <c r="E579" s="12" t="s">
        <v>32</v>
      </c>
      <c r="F579" s="12" t="s">
        <v>32</v>
      </c>
      <c r="G579" s="12" t="n">
        <v>118</v>
      </c>
      <c r="H579" s="12" t="n">
        <v>164</v>
      </c>
      <c r="I579" s="12" t="s">
        <v>293</v>
      </c>
      <c r="J579" s="12" t="n">
        <v>10</v>
      </c>
      <c r="K579" s="12" t="n">
        <v>10</v>
      </c>
      <c r="L579" s="28" t="n">
        <v>1</v>
      </c>
      <c r="M579" s="12" t="n">
        <f aca="false">IF(L579=1,COUNTIFS($C$2:$C$1090,C579,$L$2:$L$1090,1),"")</f>
        <v>10</v>
      </c>
      <c r="N579" s="12" t="n">
        <f aca="false">IF(L579=1,1+COUNTIFS($C$2:$C$1090,C579,$L$2:$L$1090,1,$G$2:$G$1090,"&gt;"&amp;G579),"")</f>
        <v>10</v>
      </c>
      <c r="O579" s="12" t="n">
        <f aca="false">IF(L579=1,1+COUNTIFS($C$2:$C$1090,C579,$L$2:$L$1090,1,$H$2:$H$1090,"&gt;"&amp;H579),"")</f>
        <v>10</v>
      </c>
      <c r="P579" s="12" t="n">
        <f aca="false">IF(L579=1,N579-O579,"")</f>
        <v>0</v>
      </c>
      <c r="Q579" s="12" t="n">
        <f aca="false">INDEX(Directions!$D$2:$D$100,MATCH(C579,Directions!$A$2:$A$100,0))</f>
        <v>0</v>
      </c>
      <c r="R579" s="12" t="n">
        <f aca="false">IF(L579=1,P579*Q579,"")</f>
        <v>0</v>
      </c>
      <c r="S579" s="12" t="str">
        <f aca="false">IF(L579&lt;&gt;1,"Excluded",IF(Q579=0,"No direction",IF(R579&gt;0,"Better",IF(R579&lt;0,"Worse","No change"))))</f>
        <v>No direction</v>
      </c>
      <c r="T579" s="12"/>
      <c r="U579" s="12" t="str">
        <f aca="false">C579&amp;"|"&amp;E579</f>
        <v>F7_08|NLD</v>
      </c>
    </row>
    <row r="580" customFormat="false" ht="15" hidden="false" customHeight="false" outlineLevel="0" collapsed="false">
      <c r="A580" s="12" t="n">
        <v>7</v>
      </c>
      <c r="B580" s="12" t="s">
        <v>321</v>
      </c>
      <c r="C580" s="12" t="s">
        <v>160</v>
      </c>
      <c r="D580" s="12" t="s">
        <v>161</v>
      </c>
      <c r="E580" s="12" t="s">
        <v>33</v>
      </c>
      <c r="F580" s="12" t="s">
        <v>33</v>
      </c>
      <c r="G580" s="12" t="n">
        <v>176</v>
      </c>
      <c r="H580" s="12" t="n">
        <v>328</v>
      </c>
      <c r="I580" s="12" t="s">
        <v>293</v>
      </c>
      <c r="J580" s="12" t="n">
        <v>4</v>
      </c>
      <c r="K580" s="12" t="n">
        <v>1</v>
      </c>
      <c r="L580" s="28" t="n">
        <v>1</v>
      </c>
      <c r="M580" s="12" t="n">
        <f aca="false">IF(L580=1,COUNTIFS($C$2:$C$1090,C580,$L$2:$L$1090,1),"")</f>
        <v>10</v>
      </c>
      <c r="N580" s="12" t="n">
        <f aca="false">IF(L580=1,1+COUNTIFS($C$2:$C$1090,C580,$L$2:$L$1090,1,$G$2:$G$1090,"&gt;"&amp;G580),"")</f>
        <v>4</v>
      </c>
      <c r="O580" s="12" t="n">
        <f aca="false">IF(L580=1,1+COUNTIFS($C$2:$C$1090,C580,$L$2:$L$1090,1,$H$2:$H$1090,"&gt;"&amp;H580),"")</f>
        <v>1</v>
      </c>
      <c r="P580" s="12" t="n">
        <f aca="false">IF(L580=1,N580-O580,"")</f>
        <v>3</v>
      </c>
      <c r="Q580" s="12" t="n">
        <f aca="false">INDEX(Directions!$D$2:$D$100,MATCH(C580,Directions!$A$2:$A$100,0))</f>
        <v>0</v>
      </c>
      <c r="R580" s="12" t="n">
        <f aca="false">IF(L580=1,P580*Q580,"")</f>
        <v>0</v>
      </c>
      <c r="S580" s="12" t="str">
        <f aca="false">IF(L580&lt;&gt;1,"Excluded",IF(Q580=0,"No direction",IF(R580&gt;0,"Better",IF(R580&lt;0,"Worse","No change"))))</f>
        <v>No direction</v>
      </c>
      <c r="T580" s="12"/>
      <c r="U580" s="12" t="str">
        <f aca="false">C580&amp;"|"&amp;E580</f>
        <v>F7_08|CHE</v>
      </c>
    </row>
    <row r="581" customFormat="false" ht="15" hidden="false" customHeight="false" outlineLevel="0" collapsed="false">
      <c r="A581" s="12" t="n">
        <v>7</v>
      </c>
      <c r="B581" s="12" t="s">
        <v>321</v>
      </c>
      <c r="C581" s="12" t="s">
        <v>160</v>
      </c>
      <c r="D581" s="12" t="s">
        <v>161</v>
      </c>
      <c r="E581" s="12" t="s">
        <v>287</v>
      </c>
      <c r="F581" s="12" t="s">
        <v>34</v>
      </c>
      <c r="G581" s="12" t="n">
        <v>168</v>
      </c>
      <c r="H581" s="12" t="n">
        <v>264</v>
      </c>
      <c r="I581" s="12" t="s">
        <v>293</v>
      </c>
      <c r="J581" s="12" t="n">
        <v>5</v>
      </c>
      <c r="K581" s="12" t="n">
        <v>3</v>
      </c>
      <c r="L581" s="28" t="n">
        <v>1</v>
      </c>
      <c r="M581" s="12" t="n">
        <f aca="false">IF(L581=1,COUNTIFS($C$2:$C$1090,C581,$L$2:$L$1090,1),"")</f>
        <v>10</v>
      </c>
      <c r="N581" s="12" t="n">
        <f aca="false">IF(L581=1,1+COUNTIFS($C$2:$C$1090,C581,$L$2:$L$1090,1,$G$2:$G$1090,"&gt;"&amp;G581),"")</f>
        <v>5</v>
      </c>
      <c r="O581" s="12" t="n">
        <f aca="false">IF(L581=1,1+COUNTIFS($C$2:$C$1090,C581,$L$2:$L$1090,1,$H$2:$H$1090,"&gt;"&amp;H581),"")</f>
        <v>3</v>
      </c>
      <c r="P581" s="12" t="n">
        <f aca="false">IF(L581=1,N581-O581,"")</f>
        <v>2</v>
      </c>
      <c r="Q581" s="12" t="n">
        <f aca="false">INDEX(Directions!$D$2:$D$100,MATCH(C581,Directions!$A$2:$A$100,0))</f>
        <v>0</v>
      </c>
      <c r="R581" s="12" t="n">
        <f aca="false">IF(L581=1,P581*Q581,"")</f>
        <v>0</v>
      </c>
      <c r="S581" s="12" t="str">
        <f aca="false">IF(L581&lt;&gt;1,"Excluded",IF(Q581=0,"No direction",IF(R581&gt;0,"Better",IF(R581&lt;0,"Worse","No change"))))</f>
        <v>No direction</v>
      </c>
      <c r="T581" s="12"/>
      <c r="U581" s="12" t="str">
        <f aca="false">C581&amp;"|"&amp;E581</f>
        <v>F7_08|DNK</v>
      </c>
    </row>
    <row r="582" customFormat="false" ht="15" hidden="false" customHeight="false" outlineLevel="0" collapsed="false">
      <c r="A582" s="12" t="n">
        <v>7</v>
      </c>
      <c r="B582" s="12" t="s">
        <v>321</v>
      </c>
      <c r="C582" s="12" t="s">
        <v>160</v>
      </c>
      <c r="D582" s="12" t="s">
        <v>161</v>
      </c>
      <c r="E582" s="12" t="s">
        <v>288</v>
      </c>
      <c r="F582" s="12" t="s">
        <v>35</v>
      </c>
      <c r="G582" s="12" t="n">
        <v>166</v>
      </c>
      <c r="H582" s="12" t="n">
        <v>231</v>
      </c>
      <c r="I582" s="12" t="s">
        <v>293</v>
      </c>
      <c r="J582" s="12" t="n">
        <v>6</v>
      </c>
      <c r="K582" s="12" t="n">
        <v>5</v>
      </c>
      <c r="L582" s="28" t="n">
        <v>1</v>
      </c>
      <c r="M582" s="12" t="n">
        <f aca="false">IF(L582=1,COUNTIFS($C$2:$C$1090,C582,$L$2:$L$1090,1),"")</f>
        <v>10</v>
      </c>
      <c r="N582" s="12" t="n">
        <f aca="false">IF(L582=1,1+COUNTIFS($C$2:$C$1090,C582,$L$2:$L$1090,1,$G$2:$G$1090,"&gt;"&amp;G582),"")</f>
        <v>6</v>
      </c>
      <c r="O582" s="12" t="n">
        <f aca="false">IF(L582=1,1+COUNTIFS($C$2:$C$1090,C582,$L$2:$L$1090,1,$H$2:$H$1090,"&gt;"&amp;H582),"")</f>
        <v>5</v>
      </c>
      <c r="P582" s="12" t="n">
        <f aca="false">IF(L582=1,N582-O582,"")</f>
        <v>1</v>
      </c>
      <c r="Q582" s="12" t="n">
        <f aca="false">INDEX(Directions!$D$2:$D$100,MATCH(C582,Directions!$A$2:$A$100,0))</f>
        <v>0</v>
      </c>
      <c r="R582" s="12" t="n">
        <f aca="false">IF(L582=1,P582*Q582,"")</f>
        <v>0</v>
      </c>
      <c r="S582" s="12" t="str">
        <f aca="false">IF(L582&lt;&gt;1,"Excluded",IF(Q582=0,"No direction",IF(R582&gt;0,"Better",IF(R582&lt;0,"Worse","No change"))))</f>
        <v>No direction</v>
      </c>
      <c r="T582" s="12"/>
      <c r="U582" s="12" t="str">
        <f aca="false">C582&amp;"|"&amp;E582</f>
        <v>F7_08|CAN</v>
      </c>
    </row>
    <row r="583" customFormat="false" ht="15" hidden="false" customHeight="false" outlineLevel="0" collapsed="false">
      <c r="A583" s="12" t="n">
        <v>7</v>
      </c>
      <c r="B583" s="12" t="s">
        <v>321</v>
      </c>
      <c r="C583" s="12" t="s">
        <v>160</v>
      </c>
      <c r="D583" s="12" t="s">
        <v>161</v>
      </c>
      <c r="E583" s="12" t="s">
        <v>289</v>
      </c>
      <c r="F583" s="12" t="s">
        <v>36</v>
      </c>
      <c r="G583" s="12" t="s">
        <v>302</v>
      </c>
      <c r="H583" s="12" t="s">
        <v>302</v>
      </c>
      <c r="I583" s="12"/>
      <c r="J583" s="12" t="s">
        <v>302</v>
      </c>
      <c r="K583" s="12" t="s">
        <v>302</v>
      </c>
      <c r="L583" s="28" t="n">
        <v>0</v>
      </c>
      <c r="M583" s="12" t="str">
        <f aca="false">IF(L583=1,COUNTIFS($C$2:$C$1090,C583,$L$2:$L$1090,1),"")</f>
        <v/>
      </c>
      <c r="N583" s="12" t="str">
        <f aca="false">IF(L583=1,1+COUNTIFS($C$2:$C$1090,C583,$L$2:$L$1090,1,$G$2:$G$1090,"&gt;"&amp;G583),"")</f>
        <v/>
      </c>
      <c r="O583" s="12" t="str">
        <f aca="false">IF(L583=1,1+COUNTIFS($C$2:$C$1090,C583,$L$2:$L$1090,1,$H$2:$H$1090,"&gt;"&amp;H583),"")</f>
        <v/>
      </c>
      <c r="P583" s="12" t="str">
        <f aca="false">IF(L583=1,N583-O583,"")</f>
        <v/>
      </c>
      <c r="Q583" s="12" t="n">
        <f aca="false">INDEX(Directions!$D$2:$D$100,MATCH(C583,Directions!$A$2:$A$100,0))</f>
        <v>0</v>
      </c>
      <c r="R583" s="12" t="str">
        <f aca="false">IF(L583=1,P583*Q583,"")</f>
        <v/>
      </c>
      <c r="S583" s="12" t="str">
        <f aca="false">IF(L583&lt;&gt;1,"Excluded",IF(Q583=0,"No direction",IF(R583&gt;0,"Better",IF(R583&lt;0,"Worse","No change"))))</f>
        <v>Excluded</v>
      </c>
      <c r="T583" s="12" t="s">
        <v>304</v>
      </c>
      <c r="U583" s="12" t="str">
        <f aca="false">C583&amp;"|"&amp;E583</f>
        <v>F7_08|JPN</v>
      </c>
    </row>
    <row r="584" customFormat="false" ht="15" hidden="false" customHeight="false" outlineLevel="0" collapsed="false">
      <c r="A584" s="12" t="n">
        <v>7</v>
      </c>
      <c r="B584" s="12" t="s">
        <v>321</v>
      </c>
      <c r="C584" s="12" t="s">
        <v>160</v>
      </c>
      <c r="D584" s="12" t="s">
        <v>161</v>
      </c>
      <c r="E584" s="12" t="s">
        <v>290</v>
      </c>
      <c r="F584" s="12" t="s">
        <v>37</v>
      </c>
      <c r="G584" s="12" t="n">
        <v>180</v>
      </c>
      <c r="H584" s="12" t="n">
        <v>259</v>
      </c>
      <c r="I584" s="12" t="s">
        <v>293</v>
      </c>
      <c r="J584" s="12" t="n">
        <v>3</v>
      </c>
      <c r="K584" s="12" t="n">
        <v>4</v>
      </c>
      <c r="L584" s="28" t="n">
        <v>1</v>
      </c>
      <c r="M584" s="12" t="n">
        <f aca="false">IF(L584=1,COUNTIFS($C$2:$C$1090,C584,$L$2:$L$1090,1),"")</f>
        <v>10</v>
      </c>
      <c r="N584" s="12" t="n">
        <f aca="false">IF(L584=1,1+COUNTIFS($C$2:$C$1090,C584,$L$2:$L$1090,1,$G$2:$G$1090,"&gt;"&amp;G584),"")</f>
        <v>3</v>
      </c>
      <c r="O584" s="12" t="n">
        <f aca="false">IF(L584=1,1+COUNTIFS($C$2:$C$1090,C584,$L$2:$L$1090,1,$H$2:$H$1090,"&gt;"&amp;H584),"")</f>
        <v>4</v>
      </c>
      <c r="P584" s="12" t="n">
        <f aca="false">IF(L584=1,N584-O584,"")</f>
        <v>-1</v>
      </c>
      <c r="Q584" s="12" t="n">
        <f aca="false">INDEX(Directions!$D$2:$D$100,MATCH(C584,Directions!$A$2:$A$100,0))</f>
        <v>0</v>
      </c>
      <c r="R584" s="12" t="n">
        <f aca="false">IF(L584=1,P584*Q584,"")</f>
        <v>-0</v>
      </c>
      <c r="S584" s="12" t="str">
        <f aca="false">IF(L584&lt;&gt;1,"Excluded",IF(Q584=0,"No direction",IF(R584&gt;0,"Better",IF(R584&lt;0,"Worse","No change"))))</f>
        <v>No direction</v>
      </c>
      <c r="T584" s="12"/>
      <c r="U584" s="12" t="str">
        <f aca="false">C584&amp;"|"&amp;E584</f>
        <v>F7_08|AUS</v>
      </c>
    </row>
    <row r="585" customFormat="false" ht="15" hidden="false" customHeight="false" outlineLevel="0" collapsed="false">
      <c r="A585" s="12" t="n">
        <v>7</v>
      </c>
      <c r="B585" s="12" t="s">
        <v>321</v>
      </c>
      <c r="C585" s="12" t="s">
        <v>162</v>
      </c>
      <c r="D585" s="12" t="s">
        <v>163</v>
      </c>
      <c r="E585" s="12" t="s">
        <v>281</v>
      </c>
      <c r="F585" s="12" t="s">
        <v>27</v>
      </c>
      <c r="G585" s="12" t="n">
        <v>266</v>
      </c>
      <c r="H585" s="12" t="s">
        <v>302</v>
      </c>
      <c r="I585" s="12"/>
      <c r="J585" s="12" t="n">
        <v>3</v>
      </c>
      <c r="K585" s="12" t="s">
        <v>302</v>
      </c>
      <c r="L585" s="28" t="n">
        <v>0</v>
      </c>
      <c r="M585" s="12" t="str">
        <f aca="false">IF(L585=1,COUNTIFS($C$2:$C$1090,C585,$L$2:$L$1090,1),"")</f>
        <v/>
      </c>
      <c r="N585" s="12" t="str">
        <f aca="false">IF(L585=1,1+COUNTIFS($C$2:$C$1090,C585,$L$2:$L$1090,1,$G$2:$G$1090,"&gt;"&amp;G585),"")</f>
        <v/>
      </c>
      <c r="O585" s="12" t="str">
        <f aca="false">IF(L585=1,1+COUNTIFS($C$2:$C$1090,C585,$L$2:$L$1090,1,$H$2:$H$1090,"&gt;"&amp;H585),"")</f>
        <v/>
      </c>
      <c r="P585" s="12" t="str">
        <f aca="false">IF(L585=1,N585-O585,"")</f>
        <v/>
      </c>
      <c r="Q585" s="12" t="n">
        <f aca="false">INDEX(Directions!$D$2:$D$100,MATCH(C585,Directions!$A$2:$A$100,0))</f>
        <v>0</v>
      </c>
      <c r="R585" s="12" t="str">
        <f aca="false">IF(L585=1,P585*Q585,"")</f>
        <v/>
      </c>
      <c r="S585" s="12" t="str">
        <f aca="false">IF(L585&lt;&gt;1,"Excluded",IF(Q585=0,"No direction",IF(R585&gt;0,"Better",IF(R585&lt;0,"Worse","No change"))))</f>
        <v>Excluded</v>
      </c>
      <c r="T585" s="12" t="s">
        <v>303</v>
      </c>
      <c r="U585" s="12" t="str">
        <f aca="false">C585&amp;"|"&amp;E585</f>
        <v>F7_09|USA</v>
      </c>
    </row>
    <row r="586" customFormat="false" ht="15" hidden="false" customHeight="false" outlineLevel="0" collapsed="false">
      <c r="A586" s="12" t="n">
        <v>7</v>
      </c>
      <c r="B586" s="12" t="s">
        <v>321</v>
      </c>
      <c r="C586" s="12" t="s">
        <v>162</v>
      </c>
      <c r="D586" s="12" t="s">
        <v>163</v>
      </c>
      <c r="E586" s="12" t="s">
        <v>283</v>
      </c>
      <c r="F586" s="12" t="s">
        <v>28</v>
      </c>
      <c r="G586" s="12" t="n">
        <v>161</v>
      </c>
      <c r="H586" s="12" t="n">
        <v>142</v>
      </c>
      <c r="I586" s="12" t="s">
        <v>293</v>
      </c>
      <c r="J586" s="12" t="n">
        <v>10</v>
      </c>
      <c r="K586" s="12" t="n">
        <v>6</v>
      </c>
      <c r="L586" s="28" t="n">
        <v>1</v>
      </c>
      <c r="M586" s="12" t="n">
        <f aca="false">IF(L586=1,COUNTIFS($C$2:$C$1090,C586,$L$2:$L$1090,1),"")</f>
        <v>9</v>
      </c>
      <c r="N586" s="12" t="n">
        <f aca="false">IF(L586=1,1+COUNTIFS($C$2:$C$1090,C586,$L$2:$L$1090,1,$G$2:$G$1090,"&gt;"&amp;G586),"")</f>
        <v>9</v>
      </c>
      <c r="O586" s="12" t="n">
        <f aca="false">IF(L586=1,1+COUNTIFS($C$2:$C$1090,C586,$L$2:$L$1090,1,$H$2:$H$1090,"&gt;"&amp;H586),"")</f>
        <v>6</v>
      </c>
      <c r="P586" s="12" t="n">
        <f aca="false">IF(L586=1,N586-O586,"")</f>
        <v>3</v>
      </c>
      <c r="Q586" s="12" t="n">
        <f aca="false">INDEX(Directions!$D$2:$D$100,MATCH(C586,Directions!$A$2:$A$100,0))</f>
        <v>0</v>
      </c>
      <c r="R586" s="12" t="n">
        <f aca="false">IF(L586=1,P586*Q586,"")</f>
        <v>0</v>
      </c>
      <c r="S586" s="12" t="str">
        <f aca="false">IF(L586&lt;&gt;1,"Excluded",IF(Q586=0,"No direction",IF(R586&gt;0,"Better",IF(R586&lt;0,"Worse","No change"))))</f>
        <v>No direction</v>
      </c>
      <c r="T586" s="12"/>
      <c r="U586" s="12" t="str">
        <f aca="false">C586&amp;"|"&amp;E586</f>
        <v>F7_09|GBR</v>
      </c>
    </row>
    <row r="587" customFormat="false" ht="15" hidden="false" customHeight="false" outlineLevel="0" collapsed="false">
      <c r="A587" s="12" t="n">
        <v>7</v>
      </c>
      <c r="B587" s="12" t="s">
        <v>321</v>
      </c>
      <c r="C587" s="12" t="s">
        <v>162</v>
      </c>
      <c r="D587" s="12" t="s">
        <v>163</v>
      </c>
      <c r="E587" s="12" t="s">
        <v>284</v>
      </c>
      <c r="F587" s="12" t="s">
        <v>29</v>
      </c>
      <c r="G587" s="12" t="n">
        <v>301</v>
      </c>
      <c r="H587" s="12" t="n">
        <v>226</v>
      </c>
      <c r="I587" s="12" t="s">
        <v>293</v>
      </c>
      <c r="J587" s="12" t="n">
        <v>1</v>
      </c>
      <c r="K587" s="12" t="n">
        <v>3</v>
      </c>
      <c r="L587" s="28" t="n">
        <v>1</v>
      </c>
      <c r="M587" s="12" t="n">
        <f aca="false">IF(L587=1,COUNTIFS($C$2:$C$1090,C587,$L$2:$L$1090,1),"")</f>
        <v>9</v>
      </c>
      <c r="N587" s="12" t="n">
        <f aca="false">IF(L587=1,1+COUNTIFS($C$2:$C$1090,C587,$L$2:$L$1090,1,$G$2:$G$1090,"&gt;"&amp;G587),"")</f>
        <v>1</v>
      </c>
      <c r="O587" s="12" t="n">
        <f aca="false">IF(L587=1,1+COUNTIFS($C$2:$C$1090,C587,$L$2:$L$1090,1,$H$2:$H$1090,"&gt;"&amp;H587),"")</f>
        <v>3</v>
      </c>
      <c r="P587" s="12" t="n">
        <f aca="false">IF(L587=1,N587-O587,"")</f>
        <v>-2</v>
      </c>
      <c r="Q587" s="12" t="n">
        <f aca="false">INDEX(Directions!$D$2:$D$100,MATCH(C587,Directions!$A$2:$A$100,0))</f>
        <v>0</v>
      </c>
      <c r="R587" s="12" t="n">
        <f aca="false">IF(L587=1,P587*Q587,"")</f>
        <v>-0</v>
      </c>
      <c r="S587" s="12" t="str">
        <f aca="false">IF(L587&lt;&gt;1,"Excluded",IF(Q587=0,"No direction",IF(R587&gt;0,"Better",IF(R587&lt;0,"Worse","No change"))))</f>
        <v>No direction</v>
      </c>
      <c r="T587" s="12"/>
      <c r="U587" s="12" t="str">
        <f aca="false">C587&amp;"|"&amp;E587</f>
        <v>F7_09|DEU</v>
      </c>
    </row>
    <row r="588" customFormat="false" ht="15" hidden="false" customHeight="false" outlineLevel="0" collapsed="false">
      <c r="A588" s="12" t="n">
        <v>7</v>
      </c>
      <c r="B588" s="12" t="s">
        <v>321</v>
      </c>
      <c r="C588" s="12" t="s">
        <v>162</v>
      </c>
      <c r="D588" s="12" t="s">
        <v>163</v>
      </c>
      <c r="E588" s="12" t="s">
        <v>285</v>
      </c>
      <c r="F588" s="12" t="s">
        <v>30</v>
      </c>
      <c r="G588" s="12" t="n">
        <v>186</v>
      </c>
      <c r="H588" s="12" t="n">
        <v>138</v>
      </c>
      <c r="I588" s="12" t="s">
        <v>293</v>
      </c>
      <c r="J588" s="12" t="n">
        <v>7</v>
      </c>
      <c r="K588" s="12" t="n">
        <v>7</v>
      </c>
      <c r="L588" s="28" t="n">
        <v>1</v>
      </c>
      <c r="M588" s="12" t="n">
        <f aca="false">IF(L588=1,COUNTIFS($C$2:$C$1090,C588,$L$2:$L$1090,1),"")</f>
        <v>9</v>
      </c>
      <c r="N588" s="12" t="n">
        <f aca="false">IF(L588=1,1+COUNTIFS($C$2:$C$1090,C588,$L$2:$L$1090,1,$G$2:$G$1090,"&gt;"&amp;G588),"")</f>
        <v>6</v>
      </c>
      <c r="O588" s="12" t="n">
        <f aca="false">IF(L588=1,1+COUNTIFS($C$2:$C$1090,C588,$L$2:$L$1090,1,$H$2:$H$1090,"&gt;"&amp;H588),"")</f>
        <v>7</v>
      </c>
      <c r="P588" s="12" t="n">
        <f aca="false">IF(L588=1,N588-O588,"")</f>
        <v>-1</v>
      </c>
      <c r="Q588" s="12" t="n">
        <f aca="false">INDEX(Directions!$D$2:$D$100,MATCH(C588,Directions!$A$2:$A$100,0))</f>
        <v>0</v>
      </c>
      <c r="R588" s="12" t="n">
        <f aca="false">IF(L588=1,P588*Q588,"")</f>
        <v>-0</v>
      </c>
      <c r="S588" s="12" t="str">
        <f aca="false">IF(L588&lt;&gt;1,"Excluded",IF(Q588=0,"No direction",IF(R588&gt;0,"Better",IF(R588&lt;0,"Worse","No change"))))</f>
        <v>No direction</v>
      </c>
      <c r="T588" s="12"/>
      <c r="U588" s="12" t="str">
        <f aca="false">C588&amp;"|"&amp;E588</f>
        <v>F7_09|SWE</v>
      </c>
    </row>
    <row r="589" customFormat="false" ht="15" hidden="false" customHeight="false" outlineLevel="0" collapsed="false">
      <c r="A589" s="12" t="n">
        <v>7</v>
      </c>
      <c r="B589" s="12" t="s">
        <v>321</v>
      </c>
      <c r="C589" s="12" t="s">
        <v>162</v>
      </c>
      <c r="D589" s="12" t="s">
        <v>163</v>
      </c>
      <c r="E589" s="12" t="s">
        <v>286</v>
      </c>
      <c r="F589" s="12" t="s">
        <v>31</v>
      </c>
      <c r="G589" s="12" t="n">
        <v>182</v>
      </c>
      <c r="H589" s="12" t="n">
        <v>169</v>
      </c>
      <c r="I589" s="12" t="s">
        <v>293</v>
      </c>
      <c r="J589" s="12" t="n">
        <v>8</v>
      </c>
      <c r="K589" s="12" t="n">
        <v>5</v>
      </c>
      <c r="L589" s="28" t="n">
        <v>1</v>
      </c>
      <c r="M589" s="12" t="n">
        <f aca="false">IF(L589=1,COUNTIFS($C$2:$C$1090,C589,$L$2:$L$1090,1),"")</f>
        <v>9</v>
      </c>
      <c r="N589" s="12" t="n">
        <f aca="false">IF(L589=1,1+COUNTIFS($C$2:$C$1090,C589,$L$2:$L$1090,1,$G$2:$G$1090,"&gt;"&amp;G589),"")</f>
        <v>7</v>
      </c>
      <c r="O589" s="12" t="n">
        <f aca="false">IF(L589=1,1+COUNTIFS($C$2:$C$1090,C589,$L$2:$L$1090,1,$H$2:$H$1090,"&gt;"&amp;H589),"")</f>
        <v>5</v>
      </c>
      <c r="P589" s="12" t="n">
        <f aca="false">IF(L589=1,N589-O589,"")</f>
        <v>2</v>
      </c>
      <c r="Q589" s="12" t="n">
        <f aca="false">INDEX(Directions!$D$2:$D$100,MATCH(C589,Directions!$A$2:$A$100,0))</f>
        <v>0</v>
      </c>
      <c r="R589" s="12" t="n">
        <f aca="false">IF(L589=1,P589*Q589,"")</f>
        <v>0</v>
      </c>
      <c r="S589" s="12" t="str">
        <f aca="false">IF(L589&lt;&gt;1,"Excluded",IF(Q589=0,"No direction",IF(R589&gt;0,"Better",IF(R589&lt;0,"Worse","No change"))))</f>
        <v>No direction</v>
      </c>
      <c r="T589" s="12"/>
      <c r="U589" s="12" t="str">
        <f aca="false">C589&amp;"|"&amp;E589</f>
        <v>F7_09|FRA</v>
      </c>
    </row>
    <row r="590" customFormat="false" ht="15" hidden="false" customHeight="false" outlineLevel="0" collapsed="false">
      <c r="A590" s="12" t="n">
        <v>7</v>
      </c>
      <c r="B590" s="12" t="s">
        <v>321</v>
      </c>
      <c r="C590" s="12" t="s">
        <v>162</v>
      </c>
      <c r="D590" s="12" t="s">
        <v>163</v>
      </c>
      <c r="E590" s="12" t="s">
        <v>32</v>
      </c>
      <c r="F590" s="12" t="s">
        <v>32</v>
      </c>
      <c r="G590" s="12" t="n">
        <v>167</v>
      </c>
      <c r="H590" s="12" t="n">
        <v>96</v>
      </c>
      <c r="I590" s="12" t="s">
        <v>293</v>
      </c>
      <c r="J590" s="12" t="n">
        <v>9</v>
      </c>
      <c r="K590" s="12" t="n">
        <v>9</v>
      </c>
      <c r="L590" s="28" t="n">
        <v>1</v>
      </c>
      <c r="M590" s="12" t="n">
        <f aca="false">IF(L590=1,COUNTIFS($C$2:$C$1090,C590,$L$2:$L$1090,1),"")</f>
        <v>9</v>
      </c>
      <c r="N590" s="12" t="n">
        <f aca="false">IF(L590=1,1+COUNTIFS($C$2:$C$1090,C590,$L$2:$L$1090,1,$G$2:$G$1090,"&gt;"&amp;G590),"")</f>
        <v>8</v>
      </c>
      <c r="O590" s="12" t="n">
        <f aca="false">IF(L590=1,1+COUNTIFS($C$2:$C$1090,C590,$L$2:$L$1090,1,$H$2:$H$1090,"&gt;"&amp;H590),"")</f>
        <v>9</v>
      </c>
      <c r="P590" s="12" t="n">
        <f aca="false">IF(L590=1,N590-O590,"")</f>
        <v>-1</v>
      </c>
      <c r="Q590" s="12" t="n">
        <f aca="false">INDEX(Directions!$D$2:$D$100,MATCH(C590,Directions!$A$2:$A$100,0))</f>
        <v>0</v>
      </c>
      <c r="R590" s="12" t="n">
        <f aca="false">IF(L590=1,P590*Q590,"")</f>
        <v>-0</v>
      </c>
      <c r="S590" s="12" t="str">
        <f aca="false">IF(L590&lt;&gt;1,"Excluded",IF(Q590=0,"No direction",IF(R590&gt;0,"Better",IF(R590&lt;0,"Worse","No change"))))</f>
        <v>No direction</v>
      </c>
      <c r="T590" s="12"/>
      <c r="U590" s="12" t="str">
        <f aca="false">C590&amp;"|"&amp;E590</f>
        <v>F7_09|NLD</v>
      </c>
    </row>
    <row r="591" customFormat="false" ht="15" hidden="false" customHeight="false" outlineLevel="0" collapsed="false">
      <c r="A591" s="12" t="n">
        <v>7</v>
      </c>
      <c r="B591" s="12" t="s">
        <v>321</v>
      </c>
      <c r="C591" s="12" t="s">
        <v>162</v>
      </c>
      <c r="D591" s="12" t="s">
        <v>163</v>
      </c>
      <c r="E591" s="12" t="s">
        <v>33</v>
      </c>
      <c r="F591" s="12" t="s">
        <v>33</v>
      </c>
      <c r="G591" s="12" t="n">
        <v>291</v>
      </c>
      <c r="H591" s="12" t="n">
        <v>264</v>
      </c>
      <c r="I591" s="12" t="s">
        <v>293</v>
      </c>
      <c r="J591" s="12" t="n">
        <v>2</v>
      </c>
      <c r="K591" s="12" t="n">
        <v>1</v>
      </c>
      <c r="L591" s="28" t="n">
        <v>1</v>
      </c>
      <c r="M591" s="12" t="n">
        <f aca="false">IF(L591=1,COUNTIFS($C$2:$C$1090,C591,$L$2:$L$1090,1),"")</f>
        <v>9</v>
      </c>
      <c r="N591" s="12" t="n">
        <f aca="false">IF(L591=1,1+COUNTIFS($C$2:$C$1090,C591,$L$2:$L$1090,1,$G$2:$G$1090,"&gt;"&amp;G591),"")</f>
        <v>2</v>
      </c>
      <c r="O591" s="12" t="n">
        <f aca="false">IF(L591=1,1+COUNTIFS($C$2:$C$1090,C591,$L$2:$L$1090,1,$H$2:$H$1090,"&gt;"&amp;H591),"")</f>
        <v>1</v>
      </c>
      <c r="P591" s="12" t="n">
        <f aca="false">IF(L591=1,N591-O591,"")</f>
        <v>1</v>
      </c>
      <c r="Q591" s="12" t="n">
        <f aca="false">INDEX(Directions!$D$2:$D$100,MATCH(C591,Directions!$A$2:$A$100,0))</f>
        <v>0</v>
      </c>
      <c r="R591" s="12" t="n">
        <f aca="false">IF(L591=1,P591*Q591,"")</f>
        <v>0</v>
      </c>
      <c r="S591" s="12" t="str">
        <f aca="false">IF(L591&lt;&gt;1,"Excluded",IF(Q591=0,"No direction",IF(R591&gt;0,"Better",IF(R591&lt;0,"Worse","No change"))))</f>
        <v>No direction</v>
      </c>
      <c r="T591" s="12"/>
      <c r="U591" s="12" t="str">
        <f aca="false">C591&amp;"|"&amp;E591</f>
        <v>F7_09|CHE</v>
      </c>
    </row>
    <row r="592" customFormat="false" ht="15" hidden="false" customHeight="false" outlineLevel="0" collapsed="false">
      <c r="A592" s="12" t="n">
        <v>7</v>
      </c>
      <c r="B592" s="12" t="s">
        <v>321</v>
      </c>
      <c r="C592" s="12" t="s">
        <v>162</v>
      </c>
      <c r="D592" s="12" t="s">
        <v>163</v>
      </c>
      <c r="E592" s="12" t="s">
        <v>287</v>
      </c>
      <c r="F592" s="12" t="s">
        <v>34</v>
      </c>
      <c r="G592" s="12" t="n">
        <v>197</v>
      </c>
      <c r="H592" s="12" t="n">
        <v>129</v>
      </c>
      <c r="I592" s="12" t="s">
        <v>293</v>
      </c>
      <c r="J592" s="12" t="n">
        <v>6</v>
      </c>
      <c r="K592" s="12" t="n">
        <v>8</v>
      </c>
      <c r="L592" s="28" t="n">
        <v>1</v>
      </c>
      <c r="M592" s="12" t="n">
        <f aca="false">IF(L592=1,COUNTIFS($C$2:$C$1090,C592,$L$2:$L$1090,1),"")</f>
        <v>9</v>
      </c>
      <c r="N592" s="12" t="n">
        <f aca="false">IF(L592=1,1+COUNTIFS($C$2:$C$1090,C592,$L$2:$L$1090,1,$G$2:$G$1090,"&gt;"&amp;G592),"")</f>
        <v>5</v>
      </c>
      <c r="O592" s="12" t="n">
        <f aca="false">IF(L592=1,1+COUNTIFS($C$2:$C$1090,C592,$L$2:$L$1090,1,$H$2:$H$1090,"&gt;"&amp;H592),"")</f>
        <v>8</v>
      </c>
      <c r="P592" s="12" t="n">
        <f aca="false">IF(L592=1,N592-O592,"")</f>
        <v>-3</v>
      </c>
      <c r="Q592" s="12" t="n">
        <f aca="false">INDEX(Directions!$D$2:$D$100,MATCH(C592,Directions!$A$2:$A$100,0))</f>
        <v>0</v>
      </c>
      <c r="R592" s="12" t="n">
        <f aca="false">IF(L592=1,P592*Q592,"")</f>
        <v>-0</v>
      </c>
      <c r="S592" s="12" t="str">
        <f aca="false">IF(L592&lt;&gt;1,"Excluded",IF(Q592=0,"No direction",IF(R592&gt;0,"Better",IF(R592&lt;0,"Worse","No change"))))</f>
        <v>No direction</v>
      </c>
      <c r="T592" s="12"/>
      <c r="U592" s="12" t="str">
        <f aca="false">C592&amp;"|"&amp;E592</f>
        <v>F7_09|DNK</v>
      </c>
    </row>
    <row r="593" customFormat="false" ht="15" hidden="false" customHeight="false" outlineLevel="0" collapsed="false">
      <c r="A593" s="12" t="n">
        <v>7</v>
      </c>
      <c r="B593" s="12" t="s">
        <v>321</v>
      </c>
      <c r="C593" s="12" t="s">
        <v>162</v>
      </c>
      <c r="D593" s="12" t="s">
        <v>163</v>
      </c>
      <c r="E593" s="12" t="s">
        <v>288</v>
      </c>
      <c r="F593" s="12" t="s">
        <v>35</v>
      </c>
      <c r="G593" s="12" t="n">
        <v>232</v>
      </c>
      <c r="H593" s="12" t="n">
        <v>220</v>
      </c>
      <c r="I593" s="12" t="s">
        <v>293</v>
      </c>
      <c r="J593" s="12" t="n">
        <v>5</v>
      </c>
      <c r="K593" s="12" t="n">
        <v>4</v>
      </c>
      <c r="L593" s="28" t="n">
        <v>1</v>
      </c>
      <c r="M593" s="12" t="n">
        <f aca="false">IF(L593=1,COUNTIFS($C$2:$C$1090,C593,$L$2:$L$1090,1),"")</f>
        <v>9</v>
      </c>
      <c r="N593" s="12" t="n">
        <f aca="false">IF(L593=1,1+COUNTIFS($C$2:$C$1090,C593,$L$2:$L$1090,1,$G$2:$G$1090,"&gt;"&amp;G593),"")</f>
        <v>4</v>
      </c>
      <c r="O593" s="12" t="n">
        <f aca="false">IF(L593=1,1+COUNTIFS($C$2:$C$1090,C593,$L$2:$L$1090,1,$H$2:$H$1090,"&gt;"&amp;H593),"")</f>
        <v>4</v>
      </c>
      <c r="P593" s="12" t="n">
        <f aca="false">IF(L593=1,N593-O593,"")</f>
        <v>0</v>
      </c>
      <c r="Q593" s="12" t="n">
        <f aca="false">INDEX(Directions!$D$2:$D$100,MATCH(C593,Directions!$A$2:$A$100,0))</f>
        <v>0</v>
      </c>
      <c r="R593" s="12" t="n">
        <f aca="false">IF(L593=1,P593*Q593,"")</f>
        <v>0</v>
      </c>
      <c r="S593" s="12" t="str">
        <f aca="false">IF(L593&lt;&gt;1,"Excluded",IF(Q593=0,"No direction",IF(R593&gt;0,"Better",IF(R593&lt;0,"Worse","No change"))))</f>
        <v>No direction</v>
      </c>
      <c r="T593" s="12"/>
      <c r="U593" s="12" t="str">
        <f aca="false">C593&amp;"|"&amp;E593</f>
        <v>F7_09|CAN</v>
      </c>
    </row>
    <row r="594" customFormat="false" ht="15" hidden="false" customHeight="false" outlineLevel="0" collapsed="false">
      <c r="A594" s="12" t="n">
        <v>7</v>
      </c>
      <c r="B594" s="12" t="s">
        <v>321</v>
      </c>
      <c r="C594" s="12" t="s">
        <v>162</v>
      </c>
      <c r="D594" s="12" t="s">
        <v>163</v>
      </c>
      <c r="E594" s="12" t="s">
        <v>289</v>
      </c>
      <c r="F594" s="12" t="s">
        <v>36</v>
      </c>
      <c r="G594" s="12" t="s">
        <v>302</v>
      </c>
      <c r="H594" s="12" t="s">
        <v>302</v>
      </c>
      <c r="I594" s="12"/>
      <c r="J594" s="12" t="s">
        <v>302</v>
      </c>
      <c r="K594" s="12" t="s">
        <v>302</v>
      </c>
      <c r="L594" s="28" t="n">
        <v>0</v>
      </c>
      <c r="M594" s="12" t="str">
        <f aca="false">IF(L594=1,COUNTIFS($C$2:$C$1090,C594,$L$2:$L$1090,1),"")</f>
        <v/>
      </c>
      <c r="N594" s="12" t="str">
        <f aca="false">IF(L594=1,1+COUNTIFS($C$2:$C$1090,C594,$L$2:$L$1090,1,$G$2:$G$1090,"&gt;"&amp;G594),"")</f>
        <v/>
      </c>
      <c r="O594" s="12" t="str">
        <f aca="false">IF(L594=1,1+COUNTIFS($C$2:$C$1090,C594,$L$2:$L$1090,1,$H$2:$H$1090,"&gt;"&amp;H594),"")</f>
        <v/>
      </c>
      <c r="P594" s="12" t="str">
        <f aca="false">IF(L594=1,N594-O594,"")</f>
        <v/>
      </c>
      <c r="Q594" s="12" t="n">
        <f aca="false">INDEX(Directions!$D$2:$D$100,MATCH(C594,Directions!$A$2:$A$100,0))</f>
        <v>0</v>
      </c>
      <c r="R594" s="12" t="str">
        <f aca="false">IF(L594=1,P594*Q594,"")</f>
        <v/>
      </c>
      <c r="S594" s="12" t="str">
        <f aca="false">IF(L594&lt;&gt;1,"Excluded",IF(Q594=0,"No direction",IF(R594&gt;0,"Better",IF(R594&lt;0,"Worse","No change"))))</f>
        <v>Excluded</v>
      </c>
      <c r="T594" s="12" t="s">
        <v>304</v>
      </c>
      <c r="U594" s="12" t="str">
        <f aca="false">C594&amp;"|"&amp;E594</f>
        <v>F7_09|JPN</v>
      </c>
    </row>
    <row r="595" customFormat="false" ht="15" hidden="false" customHeight="false" outlineLevel="0" collapsed="false">
      <c r="A595" s="12" t="n">
        <v>7</v>
      </c>
      <c r="B595" s="12" t="s">
        <v>321</v>
      </c>
      <c r="C595" s="12" t="s">
        <v>162</v>
      </c>
      <c r="D595" s="12" t="s">
        <v>163</v>
      </c>
      <c r="E595" s="12" t="s">
        <v>290</v>
      </c>
      <c r="F595" s="12" t="s">
        <v>37</v>
      </c>
      <c r="G595" s="12" t="n">
        <v>262</v>
      </c>
      <c r="H595" s="12" t="n">
        <v>240</v>
      </c>
      <c r="I595" s="12" t="s">
        <v>293</v>
      </c>
      <c r="J595" s="12" t="n">
        <v>4</v>
      </c>
      <c r="K595" s="12" t="n">
        <v>2</v>
      </c>
      <c r="L595" s="28" t="n">
        <v>1</v>
      </c>
      <c r="M595" s="12" t="n">
        <f aca="false">IF(L595=1,COUNTIFS($C$2:$C$1090,C595,$L$2:$L$1090,1),"")</f>
        <v>9</v>
      </c>
      <c r="N595" s="12" t="n">
        <f aca="false">IF(L595=1,1+COUNTIFS($C$2:$C$1090,C595,$L$2:$L$1090,1,$G$2:$G$1090,"&gt;"&amp;G595),"")</f>
        <v>3</v>
      </c>
      <c r="O595" s="12" t="n">
        <f aca="false">IF(L595=1,1+COUNTIFS($C$2:$C$1090,C595,$L$2:$L$1090,1,$H$2:$H$1090,"&gt;"&amp;H595),"")</f>
        <v>2</v>
      </c>
      <c r="P595" s="12" t="n">
        <f aca="false">IF(L595=1,N595-O595,"")</f>
        <v>1</v>
      </c>
      <c r="Q595" s="12" t="n">
        <f aca="false">INDEX(Directions!$D$2:$D$100,MATCH(C595,Directions!$A$2:$A$100,0))</f>
        <v>0</v>
      </c>
      <c r="R595" s="12" t="n">
        <f aca="false">IF(L595=1,P595*Q595,"")</f>
        <v>0</v>
      </c>
      <c r="S595" s="12" t="str">
        <f aca="false">IF(L595&lt;&gt;1,"Excluded",IF(Q595=0,"No direction",IF(R595&gt;0,"Better",IF(R595&lt;0,"Worse","No change"))))</f>
        <v>No direction</v>
      </c>
      <c r="T595" s="12"/>
      <c r="U595" s="12" t="str">
        <f aca="false">C595&amp;"|"&amp;E595</f>
        <v>F7_09|AUS</v>
      </c>
    </row>
    <row r="596" customFormat="false" ht="15" hidden="false" customHeight="false" outlineLevel="0" collapsed="false">
      <c r="A596" s="12" t="n">
        <v>7</v>
      </c>
      <c r="B596" s="12" t="s">
        <v>321</v>
      </c>
      <c r="C596" s="12" t="s">
        <v>164</v>
      </c>
      <c r="D596" s="12" t="s">
        <v>165</v>
      </c>
      <c r="E596" s="12" t="s">
        <v>281</v>
      </c>
      <c r="F596" s="12" t="s">
        <v>27</v>
      </c>
      <c r="G596" s="12" t="n">
        <v>33</v>
      </c>
      <c r="H596" s="12" t="n">
        <v>32.3</v>
      </c>
      <c r="I596" s="12" t="s">
        <v>293</v>
      </c>
      <c r="J596" s="12" t="n">
        <v>1</v>
      </c>
      <c r="K596" s="12" t="n">
        <v>5</v>
      </c>
      <c r="L596" s="28" t="n">
        <v>1</v>
      </c>
      <c r="M596" s="12" t="n">
        <f aca="false">IF(L596=1,COUNTIFS($C$2:$C$1090,C596,$L$2:$L$1090,1),"")</f>
        <v>10</v>
      </c>
      <c r="N596" s="12" t="n">
        <f aca="false">IF(L596=1,1+COUNTIFS($C$2:$C$1090,C596,$L$2:$L$1090,1,$G$2:$G$1090,"&gt;"&amp;G596),"")</f>
        <v>1</v>
      </c>
      <c r="O596" s="12" t="n">
        <f aca="false">IF(L596=1,1+COUNTIFS($C$2:$C$1090,C596,$L$2:$L$1090,1,$H$2:$H$1090,"&gt;"&amp;H596),"")</f>
        <v>5</v>
      </c>
      <c r="P596" s="12" t="n">
        <f aca="false">IF(L596=1,N596-O596,"")</f>
        <v>-4</v>
      </c>
      <c r="Q596" s="12" t="n">
        <f aca="false">INDEX(Directions!$D$2:$D$100,MATCH(C596,Directions!$A$2:$A$100,0))</f>
        <v>0</v>
      </c>
      <c r="R596" s="12" t="n">
        <f aca="false">IF(L596=1,P596*Q596,"")</f>
        <v>-0</v>
      </c>
      <c r="S596" s="12" t="str">
        <f aca="false">IF(L596&lt;&gt;1,"Excluded",IF(Q596=0,"No direction",IF(R596&gt;0,"Better",IF(R596&lt;0,"Worse","No change"))))</f>
        <v>No direction</v>
      </c>
      <c r="T596" s="12"/>
      <c r="U596" s="12" t="str">
        <f aca="false">C596&amp;"|"&amp;E596</f>
        <v>F7_10|USA</v>
      </c>
    </row>
    <row r="597" customFormat="false" ht="15" hidden="false" customHeight="false" outlineLevel="0" collapsed="false">
      <c r="A597" s="12" t="n">
        <v>7</v>
      </c>
      <c r="B597" s="12" t="s">
        <v>321</v>
      </c>
      <c r="C597" s="12" t="s">
        <v>164</v>
      </c>
      <c r="D597" s="12" t="s">
        <v>165</v>
      </c>
      <c r="E597" s="12" t="s">
        <v>283</v>
      </c>
      <c r="F597" s="12" t="s">
        <v>28</v>
      </c>
      <c r="G597" s="12" t="n">
        <v>23</v>
      </c>
      <c r="H597" s="12" t="n">
        <v>39.9</v>
      </c>
      <c r="I597" s="12" t="s">
        <v>291</v>
      </c>
      <c r="J597" s="12" t="n">
        <v>6</v>
      </c>
      <c r="K597" s="12" t="n">
        <v>2</v>
      </c>
      <c r="L597" s="28" t="n">
        <v>1</v>
      </c>
      <c r="M597" s="12" t="n">
        <f aca="false">IF(L597=1,COUNTIFS($C$2:$C$1090,C597,$L$2:$L$1090,1),"")</f>
        <v>10</v>
      </c>
      <c r="N597" s="12" t="n">
        <f aca="false">IF(L597=1,1+COUNTIFS($C$2:$C$1090,C597,$L$2:$L$1090,1,$G$2:$G$1090,"&gt;"&amp;G597),"")</f>
        <v>6</v>
      </c>
      <c r="O597" s="12" t="n">
        <f aca="false">IF(L597=1,1+COUNTIFS($C$2:$C$1090,C597,$L$2:$L$1090,1,$H$2:$H$1090,"&gt;"&amp;H597),"")</f>
        <v>2</v>
      </c>
      <c r="P597" s="12" t="n">
        <f aca="false">IF(L597=1,N597-O597,"")</f>
        <v>4</v>
      </c>
      <c r="Q597" s="12" t="n">
        <f aca="false">INDEX(Directions!$D$2:$D$100,MATCH(C597,Directions!$A$2:$A$100,0))</f>
        <v>0</v>
      </c>
      <c r="R597" s="12" t="n">
        <f aca="false">IF(L597=1,P597*Q597,"")</f>
        <v>0</v>
      </c>
      <c r="S597" s="12" t="str">
        <f aca="false">IF(L597&lt;&gt;1,"Excluded",IF(Q597=0,"No direction",IF(R597&gt;0,"Better",IF(R597&lt;0,"Worse","No change"))))</f>
        <v>No direction</v>
      </c>
      <c r="T597" s="12"/>
      <c r="U597" s="12" t="str">
        <f aca="false">C597&amp;"|"&amp;E597</f>
        <v>F7_10|GBR</v>
      </c>
    </row>
    <row r="598" customFormat="false" ht="15" hidden="false" customHeight="false" outlineLevel="0" collapsed="false">
      <c r="A598" s="12" t="n">
        <v>7</v>
      </c>
      <c r="B598" s="12" t="s">
        <v>321</v>
      </c>
      <c r="C598" s="12" t="s">
        <v>164</v>
      </c>
      <c r="D598" s="12" t="s">
        <v>165</v>
      </c>
      <c r="E598" s="12" t="s">
        <v>284</v>
      </c>
      <c r="F598" s="12" t="s">
        <v>29</v>
      </c>
      <c r="G598" s="12" t="n">
        <v>31</v>
      </c>
      <c r="H598" s="12" t="n">
        <v>32.2</v>
      </c>
      <c r="I598" s="12" t="s">
        <v>293</v>
      </c>
      <c r="J598" s="12" t="n">
        <v>4</v>
      </c>
      <c r="K598" s="12" t="n">
        <v>6</v>
      </c>
      <c r="L598" s="28" t="n">
        <v>1</v>
      </c>
      <c r="M598" s="12" t="n">
        <f aca="false">IF(L598=1,COUNTIFS($C$2:$C$1090,C598,$L$2:$L$1090,1),"")</f>
        <v>10</v>
      </c>
      <c r="N598" s="12" t="n">
        <f aca="false">IF(L598=1,1+COUNTIFS($C$2:$C$1090,C598,$L$2:$L$1090,1,$G$2:$G$1090,"&gt;"&amp;G598),"")</f>
        <v>4</v>
      </c>
      <c r="O598" s="12" t="n">
        <f aca="false">IF(L598=1,1+COUNTIFS($C$2:$C$1090,C598,$L$2:$L$1090,1,$H$2:$H$1090,"&gt;"&amp;H598),"")</f>
        <v>6</v>
      </c>
      <c r="P598" s="12" t="n">
        <f aca="false">IF(L598=1,N598-O598,"")</f>
        <v>-2</v>
      </c>
      <c r="Q598" s="12" t="n">
        <f aca="false">INDEX(Directions!$D$2:$D$100,MATCH(C598,Directions!$A$2:$A$100,0))</f>
        <v>0</v>
      </c>
      <c r="R598" s="12" t="n">
        <f aca="false">IF(L598=1,P598*Q598,"")</f>
        <v>-0</v>
      </c>
      <c r="S598" s="12" t="str">
        <f aca="false">IF(L598&lt;&gt;1,"Excluded",IF(Q598=0,"No direction",IF(R598&gt;0,"Better",IF(R598&lt;0,"Worse","No change"))))</f>
        <v>No direction</v>
      </c>
      <c r="T598" s="12"/>
      <c r="U598" s="12" t="str">
        <f aca="false">C598&amp;"|"&amp;E598</f>
        <v>F7_10|DEU</v>
      </c>
    </row>
    <row r="599" customFormat="false" ht="15" hidden="false" customHeight="false" outlineLevel="0" collapsed="false">
      <c r="A599" s="12" t="n">
        <v>7</v>
      </c>
      <c r="B599" s="12" t="s">
        <v>321</v>
      </c>
      <c r="C599" s="12" t="s">
        <v>164</v>
      </c>
      <c r="D599" s="12" t="s">
        <v>165</v>
      </c>
      <c r="E599" s="12" t="s">
        <v>285</v>
      </c>
      <c r="F599" s="12" t="s">
        <v>30</v>
      </c>
      <c r="G599" s="12" t="n">
        <v>17</v>
      </c>
      <c r="H599" s="12" t="n">
        <v>19</v>
      </c>
      <c r="I599" s="12" t="s">
        <v>293</v>
      </c>
      <c r="J599" s="12" t="n">
        <v>10</v>
      </c>
      <c r="K599" s="12" t="n">
        <v>9</v>
      </c>
      <c r="L599" s="28" t="n">
        <v>1</v>
      </c>
      <c r="M599" s="12" t="n">
        <f aca="false">IF(L599=1,COUNTIFS($C$2:$C$1090,C599,$L$2:$L$1090,1),"")</f>
        <v>10</v>
      </c>
      <c r="N599" s="12" t="n">
        <f aca="false">IF(L599=1,1+COUNTIFS($C$2:$C$1090,C599,$L$2:$L$1090,1,$G$2:$G$1090,"&gt;"&amp;G599),"")</f>
        <v>9</v>
      </c>
      <c r="O599" s="12" t="n">
        <f aca="false">IF(L599=1,1+COUNTIFS($C$2:$C$1090,C599,$L$2:$L$1090,1,$H$2:$H$1090,"&gt;"&amp;H599),"")</f>
        <v>9</v>
      </c>
      <c r="P599" s="12" t="n">
        <f aca="false">IF(L599=1,N599-O599,"")</f>
        <v>0</v>
      </c>
      <c r="Q599" s="12" t="n">
        <f aca="false">INDEX(Directions!$D$2:$D$100,MATCH(C599,Directions!$A$2:$A$100,0))</f>
        <v>0</v>
      </c>
      <c r="R599" s="12" t="n">
        <f aca="false">IF(L599=1,P599*Q599,"")</f>
        <v>0</v>
      </c>
      <c r="S599" s="12" t="str">
        <f aca="false">IF(L599&lt;&gt;1,"Excluded",IF(Q599=0,"No direction",IF(R599&gt;0,"Better",IF(R599&lt;0,"Worse","No change"))))</f>
        <v>No direction</v>
      </c>
      <c r="T599" s="12"/>
      <c r="U599" s="12" t="str">
        <f aca="false">C599&amp;"|"&amp;E599</f>
        <v>F7_10|SWE</v>
      </c>
    </row>
    <row r="600" customFormat="false" ht="15" hidden="false" customHeight="false" outlineLevel="0" collapsed="false">
      <c r="A600" s="12" t="n">
        <v>7</v>
      </c>
      <c r="B600" s="12" t="s">
        <v>321</v>
      </c>
      <c r="C600" s="12" t="s">
        <v>164</v>
      </c>
      <c r="D600" s="12" t="s">
        <v>165</v>
      </c>
      <c r="E600" s="12" t="s">
        <v>286</v>
      </c>
      <c r="F600" s="12" t="s">
        <v>31</v>
      </c>
      <c r="G600" s="12" t="n">
        <v>21</v>
      </c>
      <c r="H600" s="12" t="n">
        <v>21.6</v>
      </c>
      <c r="I600" s="12" t="s">
        <v>293</v>
      </c>
      <c r="J600" s="12" t="n">
        <v>7</v>
      </c>
      <c r="K600" s="12" t="n">
        <v>7</v>
      </c>
      <c r="L600" s="28" t="n">
        <v>1</v>
      </c>
      <c r="M600" s="12" t="n">
        <f aca="false">IF(L600=1,COUNTIFS($C$2:$C$1090,C600,$L$2:$L$1090,1),"")</f>
        <v>10</v>
      </c>
      <c r="N600" s="12" t="n">
        <f aca="false">IF(L600=1,1+COUNTIFS($C$2:$C$1090,C600,$L$2:$L$1090,1,$G$2:$G$1090,"&gt;"&amp;G600),"")</f>
        <v>7</v>
      </c>
      <c r="O600" s="12" t="n">
        <f aca="false">IF(L600=1,1+COUNTIFS($C$2:$C$1090,C600,$L$2:$L$1090,1,$H$2:$H$1090,"&gt;"&amp;H600),"")</f>
        <v>7</v>
      </c>
      <c r="P600" s="12" t="n">
        <f aca="false">IF(L600=1,N600-O600,"")</f>
        <v>0</v>
      </c>
      <c r="Q600" s="12" t="n">
        <f aca="false">INDEX(Directions!$D$2:$D$100,MATCH(C600,Directions!$A$2:$A$100,0))</f>
        <v>0</v>
      </c>
      <c r="R600" s="12" t="n">
        <f aca="false">IF(L600=1,P600*Q600,"")</f>
        <v>0</v>
      </c>
      <c r="S600" s="12" t="str">
        <f aca="false">IF(L600&lt;&gt;1,"Excluded",IF(Q600=0,"No direction",IF(R600&gt;0,"Better",IF(R600&lt;0,"Worse","No change"))))</f>
        <v>No direction</v>
      </c>
      <c r="T600" s="12"/>
      <c r="U600" s="12" t="str">
        <f aca="false">C600&amp;"|"&amp;E600</f>
        <v>F7_10|FRA</v>
      </c>
    </row>
    <row r="601" customFormat="false" ht="15" hidden="false" customHeight="false" outlineLevel="0" collapsed="false">
      <c r="A601" s="12" t="n">
        <v>7</v>
      </c>
      <c r="B601" s="12" t="s">
        <v>321</v>
      </c>
      <c r="C601" s="12" t="s">
        <v>164</v>
      </c>
      <c r="D601" s="12" t="s">
        <v>165</v>
      </c>
      <c r="E601" s="12" t="s">
        <v>32</v>
      </c>
      <c r="F601" s="12" t="s">
        <v>32</v>
      </c>
      <c r="G601" s="12" t="n">
        <v>16</v>
      </c>
      <c r="H601" s="12" t="n">
        <v>16</v>
      </c>
      <c r="I601" s="12" t="s">
        <v>293</v>
      </c>
      <c r="J601" s="12" t="n">
        <v>11</v>
      </c>
      <c r="K601" s="12" t="n">
        <v>10</v>
      </c>
      <c r="L601" s="28" t="n">
        <v>1</v>
      </c>
      <c r="M601" s="12" t="n">
        <f aca="false">IF(L601=1,COUNTIFS($C$2:$C$1090,C601,$L$2:$L$1090,1),"")</f>
        <v>10</v>
      </c>
      <c r="N601" s="12" t="n">
        <f aca="false">IF(L601=1,1+COUNTIFS($C$2:$C$1090,C601,$L$2:$L$1090,1,$G$2:$G$1090,"&gt;"&amp;G601),"")</f>
        <v>10</v>
      </c>
      <c r="O601" s="12" t="n">
        <f aca="false">IF(L601=1,1+COUNTIFS($C$2:$C$1090,C601,$L$2:$L$1090,1,$H$2:$H$1090,"&gt;"&amp;H601),"")</f>
        <v>10</v>
      </c>
      <c r="P601" s="12" t="n">
        <f aca="false">IF(L601=1,N601-O601,"")</f>
        <v>0</v>
      </c>
      <c r="Q601" s="12" t="n">
        <f aca="false">INDEX(Directions!$D$2:$D$100,MATCH(C601,Directions!$A$2:$A$100,0))</f>
        <v>0</v>
      </c>
      <c r="R601" s="12" t="n">
        <f aca="false">IF(L601=1,P601*Q601,"")</f>
        <v>0</v>
      </c>
      <c r="S601" s="12" t="str">
        <f aca="false">IF(L601&lt;&gt;1,"Excluded",IF(Q601=0,"No direction",IF(R601&gt;0,"Better",IF(R601&lt;0,"Worse","No change"))))</f>
        <v>No direction</v>
      </c>
      <c r="T601" s="12"/>
      <c r="U601" s="12" t="str">
        <f aca="false">C601&amp;"|"&amp;E601</f>
        <v>F7_10|NLD</v>
      </c>
    </row>
    <row r="602" customFormat="false" ht="15" hidden="false" customHeight="false" outlineLevel="0" collapsed="false">
      <c r="A602" s="12" t="n">
        <v>7</v>
      </c>
      <c r="B602" s="12" t="s">
        <v>321</v>
      </c>
      <c r="C602" s="12" t="s">
        <v>164</v>
      </c>
      <c r="D602" s="12" t="s">
        <v>165</v>
      </c>
      <c r="E602" s="12" t="s">
        <v>33</v>
      </c>
      <c r="F602" s="12" t="s">
        <v>33</v>
      </c>
      <c r="G602" s="12" t="n">
        <v>33</v>
      </c>
      <c r="H602" s="12" t="n">
        <v>33.6</v>
      </c>
      <c r="I602" s="12" t="s">
        <v>293</v>
      </c>
      <c r="J602" s="12" t="n">
        <v>2</v>
      </c>
      <c r="K602" s="12" t="n">
        <v>3</v>
      </c>
      <c r="L602" s="28" t="n">
        <v>1</v>
      </c>
      <c r="M602" s="12" t="n">
        <f aca="false">IF(L602=1,COUNTIFS($C$2:$C$1090,C602,$L$2:$L$1090,1),"")</f>
        <v>10</v>
      </c>
      <c r="N602" s="12" t="n">
        <f aca="false">IF(L602=1,1+COUNTIFS($C$2:$C$1090,C602,$L$2:$L$1090,1,$G$2:$G$1090,"&gt;"&amp;G602),"")</f>
        <v>1</v>
      </c>
      <c r="O602" s="12" t="n">
        <f aca="false">IF(L602=1,1+COUNTIFS($C$2:$C$1090,C602,$L$2:$L$1090,1,$H$2:$H$1090,"&gt;"&amp;H602),"")</f>
        <v>3</v>
      </c>
      <c r="P602" s="12" t="n">
        <f aca="false">IF(L602=1,N602-O602,"")</f>
        <v>-2</v>
      </c>
      <c r="Q602" s="12" t="n">
        <f aca="false">INDEX(Directions!$D$2:$D$100,MATCH(C602,Directions!$A$2:$A$100,0))</f>
        <v>0</v>
      </c>
      <c r="R602" s="12" t="n">
        <f aca="false">IF(L602=1,P602*Q602,"")</f>
        <v>-0</v>
      </c>
      <c r="S602" s="12" t="str">
        <f aca="false">IF(L602&lt;&gt;1,"Excluded",IF(Q602=0,"No direction",IF(R602&gt;0,"Better",IF(R602&lt;0,"Worse","No change"))))</f>
        <v>No direction</v>
      </c>
      <c r="T602" s="12"/>
      <c r="U602" s="12" t="str">
        <f aca="false">C602&amp;"|"&amp;E602</f>
        <v>F7_10|CHE</v>
      </c>
    </row>
    <row r="603" customFormat="false" ht="15" hidden="false" customHeight="false" outlineLevel="0" collapsed="false">
      <c r="A603" s="12" t="n">
        <v>7</v>
      </c>
      <c r="B603" s="12" t="s">
        <v>321</v>
      </c>
      <c r="C603" s="12" t="s">
        <v>164</v>
      </c>
      <c r="D603" s="12" t="s">
        <v>165</v>
      </c>
      <c r="E603" s="12" t="s">
        <v>287</v>
      </c>
      <c r="F603" s="12" t="s">
        <v>34</v>
      </c>
      <c r="G603" s="12" t="n">
        <v>21</v>
      </c>
      <c r="H603" s="12" t="n">
        <v>20.2</v>
      </c>
      <c r="I603" s="12" t="s">
        <v>293</v>
      </c>
      <c r="J603" s="12" t="n">
        <v>8</v>
      </c>
      <c r="K603" s="12" t="n">
        <v>8</v>
      </c>
      <c r="L603" s="28" t="n">
        <v>1</v>
      </c>
      <c r="M603" s="12" t="n">
        <f aca="false">IF(L603=1,COUNTIFS($C$2:$C$1090,C603,$L$2:$L$1090,1),"")</f>
        <v>10</v>
      </c>
      <c r="N603" s="12" t="n">
        <f aca="false">IF(L603=1,1+COUNTIFS($C$2:$C$1090,C603,$L$2:$L$1090,1,$G$2:$G$1090,"&gt;"&amp;G603),"")</f>
        <v>7</v>
      </c>
      <c r="O603" s="12" t="n">
        <f aca="false">IF(L603=1,1+COUNTIFS($C$2:$C$1090,C603,$L$2:$L$1090,1,$H$2:$H$1090,"&gt;"&amp;H603),"")</f>
        <v>8</v>
      </c>
      <c r="P603" s="12" t="n">
        <f aca="false">IF(L603=1,N603-O603,"")</f>
        <v>-1</v>
      </c>
      <c r="Q603" s="12" t="n">
        <f aca="false">INDEX(Directions!$D$2:$D$100,MATCH(C603,Directions!$A$2:$A$100,0))</f>
        <v>0</v>
      </c>
      <c r="R603" s="12" t="n">
        <f aca="false">IF(L603=1,P603*Q603,"")</f>
        <v>-0</v>
      </c>
      <c r="S603" s="12" t="str">
        <f aca="false">IF(L603&lt;&gt;1,"Excluded",IF(Q603=0,"No direction",IF(R603&gt;0,"Better",IF(R603&lt;0,"Worse","No change"))))</f>
        <v>No direction</v>
      </c>
      <c r="T603" s="12"/>
      <c r="U603" s="12" t="str">
        <f aca="false">C603&amp;"|"&amp;E603</f>
        <v>F7_10|DNK</v>
      </c>
    </row>
    <row r="604" customFormat="false" ht="15" hidden="false" customHeight="false" outlineLevel="0" collapsed="false">
      <c r="A604" s="12" t="n">
        <v>7</v>
      </c>
      <c r="B604" s="12" t="s">
        <v>321</v>
      </c>
      <c r="C604" s="12" t="s">
        <v>164</v>
      </c>
      <c r="D604" s="12" t="s">
        <v>165</v>
      </c>
      <c r="E604" s="12" t="s">
        <v>288</v>
      </c>
      <c r="F604" s="12" t="s">
        <v>35</v>
      </c>
      <c r="G604" s="12" t="n">
        <v>26</v>
      </c>
      <c r="H604" s="12" t="n">
        <v>32.7</v>
      </c>
      <c r="I604" s="12" t="s">
        <v>291</v>
      </c>
      <c r="J604" s="12" t="n">
        <v>5</v>
      </c>
      <c r="K604" s="12" t="n">
        <v>4</v>
      </c>
      <c r="L604" s="28" t="n">
        <v>1</v>
      </c>
      <c r="M604" s="12" t="n">
        <f aca="false">IF(L604=1,COUNTIFS($C$2:$C$1090,C604,$L$2:$L$1090,1),"")</f>
        <v>10</v>
      </c>
      <c r="N604" s="12" t="n">
        <f aca="false">IF(L604=1,1+COUNTIFS($C$2:$C$1090,C604,$L$2:$L$1090,1,$G$2:$G$1090,"&gt;"&amp;G604),"")</f>
        <v>5</v>
      </c>
      <c r="O604" s="12" t="n">
        <f aca="false">IF(L604=1,1+COUNTIFS($C$2:$C$1090,C604,$L$2:$L$1090,1,$H$2:$H$1090,"&gt;"&amp;H604),"")</f>
        <v>4</v>
      </c>
      <c r="P604" s="12" t="n">
        <f aca="false">IF(L604=1,N604-O604,"")</f>
        <v>1</v>
      </c>
      <c r="Q604" s="12" t="n">
        <f aca="false">INDEX(Directions!$D$2:$D$100,MATCH(C604,Directions!$A$2:$A$100,0))</f>
        <v>0</v>
      </c>
      <c r="R604" s="12" t="n">
        <f aca="false">IF(L604=1,P604*Q604,"")</f>
        <v>0</v>
      </c>
      <c r="S604" s="12" t="str">
        <f aca="false">IF(L604&lt;&gt;1,"Excluded",IF(Q604=0,"No direction",IF(R604&gt;0,"Better",IF(R604&lt;0,"Worse","No change"))))</f>
        <v>No direction</v>
      </c>
      <c r="T604" s="12"/>
      <c r="U604" s="12" t="str">
        <f aca="false">C604&amp;"|"&amp;E604</f>
        <v>F7_10|CAN</v>
      </c>
    </row>
    <row r="605" customFormat="false" ht="15" hidden="false" customHeight="false" outlineLevel="0" collapsed="false">
      <c r="A605" s="12" t="n">
        <v>7</v>
      </c>
      <c r="B605" s="12" t="s">
        <v>321</v>
      </c>
      <c r="C605" s="12" t="s">
        <v>164</v>
      </c>
      <c r="D605" s="12" t="s">
        <v>165</v>
      </c>
      <c r="E605" s="12" t="s">
        <v>289</v>
      </c>
      <c r="F605" s="12" t="s">
        <v>36</v>
      </c>
      <c r="G605" s="12" t="n">
        <v>18</v>
      </c>
      <c r="H605" s="12" t="s">
        <v>302</v>
      </c>
      <c r="I605" s="12"/>
      <c r="J605" s="12" t="n">
        <v>9</v>
      </c>
      <c r="K605" s="12" t="s">
        <v>302</v>
      </c>
      <c r="L605" s="28" t="n">
        <v>0</v>
      </c>
      <c r="M605" s="12" t="str">
        <f aca="false">IF(L605=1,COUNTIFS($C$2:$C$1090,C605,$L$2:$L$1090,1),"")</f>
        <v/>
      </c>
      <c r="N605" s="12" t="str">
        <f aca="false">IF(L605=1,1+COUNTIFS($C$2:$C$1090,C605,$L$2:$L$1090,1,$G$2:$G$1090,"&gt;"&amp;G605),"")</f>
        <v/>
      </c>
      <c r="O605" s="12" t="str">
        <f aca="false">IF(L605=1,1+COUNTIFS($C$2:$C$1090,C605,$L$2:$L$1090,1,$H$2:$H$1090,"&gt;"&amp;H605),"")</f>
        <v/>
      </c>
      <c r="P605" s="12" t="str">
        <f aca="false">IF(L605=1,N605-O605,"")</f>
        <v/>
      </c>
      <c r="Q605" s="12" t="n">
        <f aca="false">INDEX(Directions!$D$2:$D$100,MATCH(C605,Directions!$A$2:$A$100,0))</f>
        <v>0</v>
      </c>
      <c r="R605" s="12" t="str">
        <f aca="false">IF(L605=1,P605*Q605,"")</f>
        <v/>
      </c>
      <c r="S605" s="12" t="str">
        <f aca="false">IF(L605&lt;&gt;1,"Excluded",IF(Q605=0,"No direction",IF(R605&gt;0,"Better",IF(R605&lt;0,"Worse","No change"))))</f>
        <v>Excluded</v>
      </c>
      <c r="T605" s="12" t="s">
        <v>303</v>
      </c>
      <c r="U605" s="12" t="str">
        <f aca="false">C605&amp;"|"&amp;E605</f>
        <v>F7_10|JPN</v>
      </c>
    </row>
    <row r="606" customFormat="false" ht="15" hidden="false" customHeight="false" outlineLevel="0" collapsed="false">
      <c r="A606" s="12" t="n">
        <v>7</v>
      </c>
      <c r="B606" s="12" t="s">
        <v>321</v>
      </c>
      <c r="C606" s="12" t="s">
        <v>164</v>
      </c>
      <c r="D606" s="12" t="s">
        <v>165</v>
      </c>
      <c r="E606" s="12" t="s">
        <v>290</v>
      </c>
      <c r="F606" s="12" t="s">
        <v>37</v>
      </c>
      <c r="G606" s="12" t="n">
        <v>32</v>
      </c>
      <c r="H606" s="12" t="n">
        <v>40.8</v>
      </c>
      <c r="I606" s="12" t="s">
        <v>291</v>
      </c>
      <c r="J606" s="12" t="n">
        <v>3</v>
      </c>
      <c r="K606" s="12" t="n">
        <v>1</v>
      </c>
      <c r="L606" s="28" t="n">
        <v>1</v>
      </c>
      <c r="M606" s="12" t="n">
        <f aca="false">IF(L606=1,COUNTIFS($C$2:$C$1090,C606,$L$2:$L$1090,1),"")</f>
        <v>10</v>
      </c>
      <c r="N606" s="12" t="n">
        <f aca="false">IF(L606=1,1+COUNTIFS($C$2:$C$1090,C606,$L$2:$L$1090,1,$G$2:$G$1090,"&gt;"&amp;G606),"")</f>
        <v>3</v>
      </c>
      <c r="O606" s="12" t="n">
        <f aca="false">IF(L606=1,1+COUNTIFS($C$2:$C$1090,C606,$L$2:$L$1090,1,$H$2:$H$1090,"&gt;"&amp;H606),"")</f>
        <v>1</v>
      </c>
      <c r="P606" s="12" t="n">
        <f aca="false">IF(L606=1,N606-O606,"")</f>
        <v>2</v>
      </c>
      <c r="Q606" s="12" t="n">
        <f aca="false">INDEX(Directions!$D$2:$D$100,MATCH(C606,Directions!$A$2:$A$100,0))</f>
        <v>0</v>
      </c>
      <c r="R606" s="12" t="n">
        <f aca="false">IF(L606=1,P606*Q606,"")</f>
        <v>0</v>
      </c>
      <c r="S606" s="12" t="str">
        <f aca="false">IF(L606&lt;&gt;1,"Excluded",IF(Q606=0,"No direction",IF(R606&gt;0,"Better",IF(R606&lt;0,"Worse","No change"))))</f>
        <v>No direction</v>
      </c>
      <c r="T606" s="12"/>
      <c r="U606" s="12" t="str">
        <f aca="false">C606&amp;"|"&amp;E606</f>
        <v>F7_10|AUS</v>
      </c>
    </row>
    <row r="607" customFormat="false" ht="15" hidden="false" customHeight="false" outlineLevel="0" collapsed="false">
      <c r="A607" s="12" t="n">
        <v>7</v>
      </c>
      <c r="B607" s="12" t="s">
        <v>321</v>
      </c>
      <c r="C607" s="12" t="s">
        <v>166</v>
      </c>
      <c r="D607" s="12" t="s">
        <v>167</v>
      </c>
      <c r="E607" s="12" t="s">
        <v>281</v>
      </c>
      <c r="F607" s="12" t="s">
        <v>27</v>
      </c>
      <c r="G607" s="12" t="n">
        <v>1110</v>
      </c>
      <c r="H607" s="12" t="s">
        <v>302</v>
      </c>
      <c r="I607" s="12"/>
      <c r="J607" s="12" t="n">
        <v>2</v>
      </c>
      <c r="K607" s="12" t="s">
        <v>302</v>
      </c>
      <c r="L607" s="28" t="n">
        <v>0</v>
      </c>
      <c r="M607" s="12" t="str">
        <f aca="false">IF(L607=1,COUNTIFS($C$2:$C$1090,C607,$L$2:$L$1090,1),"")</f>
        <v/>
      </c>
      <c r="N607" s="12" t="str">
        <f aca="false">IF(L607=1,1+COUNTIFS($C$2:$C$1090,C607,$L$2:$L$1090,1,$G$2:$G$1090,"&gt;"&amp;G607),"")</f>
        <v/>
      </c>
      <c r="O607" s="12" t="str">
        <f aca="false">IF(L607=1,1+COUNTIFS($C$2:$C$1090,C607,$L$2:$L$1090,1,$H$2:$H$1090,"&gt;"&amp;H607),"")</f>
        <v/>
      </c>
      <c r="P607" s="12" t="str">
        <f aca="false">IF(L607=1,N607-O607,"")</f>
        <v/>
      </c>
      <c r="Q607" s="12" t="n">
        <f aca="false">INDEX(Directions!$D$2:$D$100,MATCH(C607,Directions!$A$2:$A$100,0))</f>
        <v>0</v>
      </c>
      <c r="R607" s="12" t="str">
        <f aca="false">IF(L607=1,P607*Q607,"")</f>
        <v/>
      </c>
      <c r="S607" s="12" t="str">
        <f aca="false">IF(L607&lt;&gt;1,"Excluded",IF(Q607=0,"No direction",IF(R607&gt;0,"Better",IF(R607&lt;0,"Worse","No change"))))</f>
        <v>Excluded</v>
      </c>
      <c r="T607" s="12" t="s">
        <v>303</v>
      </c>
      <c r="U607" s="12" t="str">
        <f aca="false">C607&amp;"|"&amp;E607</f>
        <v>F7_11|USA</v>
      </c>
    </row>
    <row r="608" customFormat="false" ht="15" hidden="false" customHeight="false" outlineLevel="0" collapsed="false">
      <c r="A608" s="12" t="n">
        <v>7</v>
      </c>
      <c r="B608" s="12" t="s">
        <v>321</v>
      </c>
      <c r="C608" s="12" t="s">
        <v>166</v>
      </c>
      <c r="D608" s="12" t="s">
        <v>167</v>
      </c>
      <c r="E608" s="12" t="s">
        <v>283</v>
      </c>
      <c r="F608" s="12" t="s">
        <v>28</v>
      </c>
      <c r="G608" s="12" t="n">
        <v>736</v>
      </c>
      <c r="H608" s="12" t="n">
        <v>1246</v>
      </c>
      <c r="I608" s="12" t="s">
        <v>293</v>
      </c>
      <c r="J608" s="12" t="n">
        <v>9</v>
      </c>
      <c r="K608" s="12" t="n">
        <v>7</v>
      </c>
      <c r="L608" s="28" t="n">
        <v>1</v>
      </c>
      <c r="M608" s="12" t="n">
        <f aca="false">IF(L608=1,COUNTIFS($C$2:$C$1090,C608,$L$2:$L$1090,1),"")</f>
        <v>9</v>
      </c>
      <c r="N608" s="12" t="n">
        <f aca="false">IF(L608=1,1+COUNTIFS($C$2:$C$1090,C608,$L$2:$L$1090,1,$G$2:$G$1090,"&gt;"&amp;G608),"")</f>
        <v>8</v>
      </c>
      <c r="O608" s="12" t="n">
        <f aca="false">IF(L608=1,1+COUNTIFS($C$2:$C$1090,C608,$L$2:$L$1090,1,$H$2:$H$1090,"&gt;"&amp;H608),"")</f>
        <v>7</v>
      </c>
      <c r="P608" s="12" t="n">
        <f aca="false">IF(L608=1,N608-O608,"")</f>
        <v>1</v>
      </c>
      <c r="Q608" s="12" t="n">
        <f aca="false">INDEX(Directions!$D$2:$D$100,MATCH(C608,Directions!$A$2:$A$100,0))</f>
        <v>0</v>
      </c>
      <c r="R608" s="12" t="n">
        <f aca="false">IF(L608=1,P608*Q608,"")</f>
        <v>0</v>
      </c>
      <c r="S608" s="12" t="str">
        <f aca="false">IF(L608&lt;&gt;1,"Excluded",IF(Q608=0,"No direction",IF(R608&gt;0,"Better",IF(R608&lt;0,"Worse","No change"))))</f>
        <v>No direction</v>
      </c>
      <c r="T608" s="12"/>
      <c r="U608" s="12" t="str">
        <f aca="false">C608&amp;"|"&amp;E608</f>
        <v>F7_11|GBR</v>
      </c>
    </row>
    <row r="609" customFormat="false" ht="15" hidden="false" customHeight="false" outlineLevel="0" collapsed="false">
      <c r="A609" s="12" t="n">
        <v>7</v>
      </c>
      <c r="B609" s="12" t="s">
        <v>321</v>
      </c>
      <c r="C609" s="12" t="s">
        <v>166</v>
      </c>
      <c r="D609" s="12" t="s">
        <v>167</v>
      </c>
      <c r="E609" s="12" t="s">
        <v>284</v>
      </c>
      <c r="F609" s="12" t="s">
        <v>29</v>
      </c>
      <c r="G609" s="12" t="n">
        <v>1027</v>
      </c>
      <c r="H609" s="12" t="n">
        <v>1276</v>
      </c>
      <c r="I609" s="12" t="s">
        <v>293</v>
      </c>
      <c r="J609" s="12" t="n">
        <v>7</v>
      </c>
      <c r="K609" s="12" t="n">
        <v>5</v>
      </c>
      <c r="L609" s="28" t="n">
        <v>1</v>
      </c>
      <c r="M609" s="12" t="n">
        <f aca="false">IF(L609=1,COUNTIFS($C$2:$C$1090,C609,$L$2:$L$1090,1),"")</f>
        <v>9</v>
      </c>
      <c r="N609" s="12" t="n">
        <f aca="false">IF(L609=1,1+COUNTIFS($C$2:$C$1090,C609,$L$2:$L$1090,1,$G$2:$G$1090,"&gt;"&amp;G609),"")</f>
        <v>6</v>
      </c>
      <c r="O609" s="12" t="n">
        <f aca="false">IF(L609=1,1+COUNTIFS($C$2:$C$1090,C609,$L$2:$L$1090,1,$H$2:$H$1090,"&gt;"&amp;H609),"")</f>
        <v>5</v>
      </c>
      <c r="P609" s="12" t="n">
        <f aca="false">IF(L609=1,N609-O609,"")</f>
        <v>1</v>
      </c>
      <c r="Q609" s="12" t="n">
        <f aca="false">INDEX(Directions!$D$2:$D$100,MATCH(C609,Directions!$A$2:$A$100,0))</f>
        <v>0</v>
      </c>
      <c r="R609" s="12" t="n">
        <f aca="false">IF(L609=1,P609*Q609,"")</f>
        <v>0</v>
      </c>
      <c r="S609" s="12" t="str">
        <f aca="false">IF(L609&lt;&gt;1,"Excluded",IF(Q609=0,"No direction",IF(R609&gt;0,"Better",IF(R609&lt;0,"Worse","No change"))))</f>
        <v>No direction</v>
      </c>
      <c r="T609" s="12"/>
      <c r="U609" s="12" t="str">
        <f aca="false">C609&amp;"|"&amp;E609</f>
        <v>F7_11|DEU</v>
      </c>
    </row>
    <row r="610" customFormat="false" ht="15" hidden="false" customHeight="false" outlineLevel="0" collapsed="false">
      <c r="A610" s="12" t="n">
        <v>7</v>
      </c>
      <c r="B610" s="12" t="s">
        <v>321</v>
      </c>
      <c r="C610" s="12" t="s">
        <v>166</v>
      </c>
      <c r="D610" s="12" t="s">
        <v>167</v>
      </c>
      <c r="E610" s="12" t="s">
        <v>285</v>
      </c>
      <c r="F610" s="12" t="s">
        <v>30</v>
      </c>
      <c r="G610" s="12" t="n">
        <v>1029</v>
      </c>
      <c r="H610" s="12" t="n">
        <v>1261</v>
      </c>
      <c r="I610" s="12" t="s">
        <v>293</v>
      </c>
      <c r="J610" s="12" t="n">
        <v>6</v>
      </c>
      <c r="K610" s="12" t="n">
        <v>6</v>
      </c>
      <c r="L610" s="28" t="n">
        <v>1</v>
      </c>
      <c r="M610" s="12" t="n">
        <f aca="false">IF(L610=1,COUNTIFS($C$2:$C$1090,C610,$L$2:$L$1090,1),"")</f>
        <v>9</v>
      </c>
      <c r="N610" s="12" t="n">
        <f aca="false">IF(L610=1,1+COUNTIFS($C$2:$C$1090,C610,$L$2:$L$1090,1,$G$2:$G$1090,"&gt;"&amp;G610),"")</f>
        <v>5</v>
      </c>
      <c r="O610" s="12" t="n">
        <f aca="false">IF(L610=1,1+COUNTIFS($C$2:$C$1090,C610,$L$2:$L$1090,1,$H$2:$H$1090,"&gt;"&amp;H610),"")</f>
        <v>6</v>
      </c>
      <c r="P610" s="12" t="n">
        <f aca="false">IF(L610=1,N610-O610,"")</f>
        <v>-1</v>
      </c>
      <c r="Q610" s="12" t="n">
        <f aca="false">INDEX(Directions!$D$2:$D$100,MATCH(C610,Directions!$A$2:$A$100,0))</f>
        <v>0</v>
      </c>
      <c r="R610" s="12" t="n">
        <f aca="false">IF(L610=1,P610*Q610,"")</f>
        <v>-0</v>
      </c>
      <c r="S610" s="12" t="str">
        <f aca="false">IF(L610&lt;&gt;1,"Excluded",IF(Q610=0,"No direction",IF(R610&gt;0,"Better",IF(R610&lt;0,"Worse","No change"))))</f>
        <v>No direction</v>
      </c>
      <c r="T610" s="12"/>
      <c r="U610" s="12" t="str">
        <f aca="false">C610&amp;"|"&amp;E610</f>
        <v>F7_11|SWE</v>
      </c>
    </row>
    <row r="611" customFormat="false" ht="15" hidden="false" customHeight="false" outlineLevel="0" collapsed="false">
      <c r="A611" s="12" t="n">
        <v>7</v>
      </c>
      <c r="B611" s="12" t="s">
        <v>321</v>
      </c>
      <c r="C611" s="12" t="s">
        <v>166</v>
      </c>
      <c r="D611" s="12" t="s">
        <v>167</v>
      </c>
      <c r="E611" s="12" t="s">
        <v>286</v>
      </c>
      <c r="F611" s="12" t="s">
        <v>31</v>
      </c>
      <c r="G611" s="12" t="n">
        <v>1207</v>
      </c>
      <c r="H611" s="12" t="n">
        <v>1639</v>
      </c>
      <c r="I611" s="12" t="s">
        <v>293</v>
      </c>
      <c r="J611" s="12" t="n">
        <v>1</v>
      </c>
      <c r="K611" s="12" t="n">
        <v>1</v>
      </c>
      <c r="L611" s="28" t="n">
        <v>1</v>
      </c>
      <c r="M611" s="12" t="n">
        <f aca="false">IF(L611=1,COUNTIFS($C$2:$C$1090,C611,$L$2:$L$1090,1),"")</f>
        <v>9</v>
      </c>
      <c r="N611" s="12" t="n">
        <f aca="false">IF(L611=1,1+COUNTIFS($C$2:$C$1090,C611,$L$2:$L$1090,1,$G$2:$G$1090,"&gt;"&amp;G611),"")</f>
        <v>1</v>
      </c>
      <c r="O611" s="12" t="n">
        <f aca="false">IF(L611=1,1+COUNTIFS($C$2:$C$1090,C611,$L$2:$L$1090,1,$H$2:$H$1090,"&gt;"&amp;H611),"")</f>
        <v>1</v>
      </c>
      <c r="P611" s="12" t="n">
        <f aca="false">IF(L611=1,N611-O611,"")</f>
        <v>0</v>
      </c>
      <c r="Q611" s="12" t="n">
        <f aca="false">INDEX(Directions!$D$2:$D$100,MATCH(C611,Directions!$A$2:$A$100,0))</f>
        <v>0</v>
      </c>
      <c r="R611" s="12" t="n">
        <f aca="false">IF(L611=1,P611*Q611,"")</f>
        <v>0</v>
      </c>
      <c r="S611" s="12" t="str">
        <f aca="false">IF(L611&lt;&gt;1,"Excluded",IF(Q611=0,"No direction",IF(R611&gt;0,"Better",IF(R611&lt;0,"Worse","No change"))))</f>
        <v>No direction</v>
      </c>
      <c r="T611" s="12"/>
      <c r="U611" s="12" t="str">
        <f aca="false">C611&amp;"|"&amp;E611</f>
        <v>F7_11|FRA</v>
      </c>
    </row>
    <row r="612" customFormat="false" ht="15" hidden="false" customHeight="false" outlineLevel="0" collapsed="false">
      <c r="A612" s="12" t="n">
        <v>7</v>
      </c>
      <c r="B612" s="12" t="s">
        <v>321</v>
      </c>
      <c r="C612" s="12" t="s">
        <v>166</v>
      </c>
      <c r="D612" s="12" t="s">
        <v>167</v>
      </c>
      <c r="E612" s="12" t="s">
        <v>32</v>
      </c>
      <c r="F612" s="12" t="s">
        <v>32</v>
      </c>
      <c r="G612" s="12" t="n">
        <v>1005</v>
      </c>
      <c r="H612" s="12" t="n">
        <v>1306</v>
      </c>
      <c r="I612" s="12" t="s">
        <v>293</v>
      </c>
      <c r="J612" s="12" t="n">
        <v>8</v>
      </c>
      <c r="K612" s="12" t="n">
        <v>3</v>
      </c>
      <c r="L612" s="28" t="n">
        <v>1</v>
      </c>
      <c r="M612" s="12" t="n">
        <f aca="false">IF(L612=1,COUNTIFS($C$2:$C$1090,C612,$L$2:$L$1090,1),"")</f>
        <v>9</v>
      </c>
      <c r="N612" s="12" t="n">
        <f aca="false">IF(L612=1,1+COUNTIFS($C$2:$C$1090,C612,$L$2:$L$1090,1,$G$2:$G$1090,"&gt;"&amp;G612),"")</f>
        <v>7</v>
      </c>
      <c r="O612" s="12" t="n">
        <f aca="false">IF(L612=1,1+COUNTIFS($C$2:$C$1090,C612,$L$2:$L$1090,1,$H$2:$H$1090,"&gt;"&amp;H612),"")</f>
        <v>3</v>
      </c>
      <c r="P612" s="12" t="n">
        <f aca="false">IF(L612=1,N612-O612,"")</f>
        <v>4</v>
      </c>
      <c r="Q612" s="12" t="n">
        <f aca="false">INDEX(Directions!$D$2:$D$100,MATCH(C612,Directions!$A$2:$A$100,0))</f>
        <v>0</v>
      </c>
      <c r="R612" s="12" t="n">
        <f aca="false">IF(L612=1,P612*Q612,"")</f>
        <v>0</v>
      </c>
      <c r="S612" s="12" t="str">
        <f aca="false">IF(L612&lt;&gt;1,"Excluded",IF(Q612=0,"No direction",IF(R612&gt;0,"Better",IF(R612&lt;0,"Worse","No change"))))</f>
        <v>No direction</v>
      </c>
      <c r="T612" s="12"/>
      <c r="U612" s="12" t="str">
        <f aca="false">C612&amp;"|"&amp;E612</f>
        <v>F7_11|NLD</v>
      </c>
    </row>
    <row r="613" customFormat="false" ht="15" hidden="false" customHeight="false" outlineLevel="0" collapsed="false">
      <c r="A613" s="12" t="n">
        <v>7</v>
      </c>
      <c r="B613" s="12" t="s">
        <v>321</v>
      </c>
      <c r="C613" s="12" t="s">
        <v>166</v>
      </c>
      <c r="D613" s="12" t="s">
        <v>167</v>
      </c>
      <c r="E613" s="12" t="s">
        <v>33</v>
      </c>
      <c r="F613" s="12" t="s">
        <v>33</v>
      </c>
      <c r="G613" s="12" t="n">
        <v>438</v>
      </c>
      <c r="H613" s="12" t="n">
        <v>470</v>
      </c>
      <c r="I613" s="12" t="s">
        <v>293</v>
      </c>
      <c r="J613" s="12" t="n">
        <v>10</v>
      </c>
      <c r="K613" s="12" t="n">
        <v>9</v>
      </c>
      <c r="L613" s="28" t="n">
        <v>1</v>
      </c>
      <c r="M613" s="12" t="n">
        <f aca="false">IF(L613=1,COUNTIFS($C$2:$C$1090,C613,$L$2:$L$1090,1),"")</f>
        <v>9</v>
      </c>
      <c r="N613" s="12" t="n">
        <f aca="false">IF(L613=1,1+COUNTIFS($C$2:$C$1090,C613,$L$2:$L$1090,1,$G$2:$G$1090,"&gt;"&amp;G613),"")</f>
        <v>9</v>
      </c>
      <c r="O613" s="12" t="n">
        <f aca="false">IF(L613=1,1+COUNTIFS($C$2:$C$1090,C613,$L$2:$L$1090,1,$H$2:$H$1090,"&gt;"&amp;H613),"")</f>
        <v>9</v>
      </c>
      <c r="P613" s="12" t="n">
        <f aca="false">IF(L613=1,N613-O613,"")</f>
        <v>0</v>
      </c>
      <c r="Q613" s="12" t="n">
        <f aca="false">INDEX(Directions!$D$2:$D$100,MATCH(C613,Directions!$A$2:$A$100,0))</f>
        <v>0</v>
      </c>
      <c r="R613" s="12" t="n">
        <f aca="false">IF(L613=1,P613*Q613,"")</f>
        <v>0</v>
      </c>
      <c r="S613" s="12" t="str">
        <f aca="false">IF(L613&lt;&gt;1,"Excluded",IF(Q613=0,"No direction",IF(R613&gt;0,"Better",IF(R613&lt;0,"Worse","No change"))))</f>
        <v>No direction</v>
      </c>
      <c r="T613" s="12"/>
      <c r="U613" s="12" t="str">
        <f aca="false">C613&amp;"|"&amp;E613</f>
        <v>F7_11|CHE</v>
      </c>
    </row>
    <row r="614" customFormat="false" ht="15" hidden="false" customHeight="false" outlineLevel="0" collapsed="false">
      <c r="A614" s="12" t="n">
        <v>7</v>
      </c>
      <c r="B614" s="12" t="s">
        <v>321</v>
      </c>
      <c r="C614" s="12" t="s">
        <v>166</v>
      </c>
      <c r="D614" s="12" t="s">
        <v>167</v>
      </c>
      <c r="E614" s="12" t="s">
        <v>287</v>
      </c>
      <c r="F614" s="12" t="s">
        <v>34</v>
      </c>
      <c r="G614" s="12" t="n">
        <v>1037</v>
      </c>
      <c r="H614" s="12" t="n">
        <v>1435</v>
      </c>
      <c r="I614" s="12" t="s">
        <v>293</v>
      </c>
      <c r="J614" s="12" t="n">
        <v>5</v>
      </c>
      <c r="K614" s="12" t="n">
        <v>2</v>
      </c>
      <c r="L614" s="28" t="n">
        <v>1</v>
      </c>
      <c r="M614" s="12" t="n">
        <f aca="false">IF(L614=1,COUNTIFS($C$2:$C$1090,C614,$L$2:$L$1090,1),"")</f>
        <v>9</v>
      </c>
      <c r="N614" s="12" t="n">
        <f aca="false">IF(L614=1,1+COUNTIFS($C$2:$C$1090,C614,$L$2:$L$1090,1,$G$2:$G$1090,"&gt;"&amp;G614),"")</f>
        <v>4</v>
      </c>
      <c r="O614" s="12" t="n">
        <f aca="false">IF(L614=1,1+COUNTIFS($C$2:$C$1090,C614,$L$2:$L$1090,1,$H$2:$H$1090,"&gt;"&amp;H614),"")</f>
        <v>2</v>
      </c>
      <c r="P614" s="12" t="n">
        <f aca="false">IF(L614=1,N614-O614,"")</f>
        <v>2</v>
      </c>
      <c r="Q614" s="12" t="n">
        <f aca="false">INDEX(Directions!$D$2:$D$100,MATCH(C614,Directions!$A$2:$A$100,0))</f>
        <v>0</v>
      </c>
      <c r="R614" s="12" t="n">
        <f aca="false">IF(L614=1,P614*Q614,"")</f>
        <v>0</v>
      </c>
      <c r="S614" s="12" t="str">
        <f aca="false">IF(L614&lt;&gt;1,"Excluded",IF(Q614=0,"No direction",IF(R614&gt;0,"Better",IF(R614&lt;0,"Worse","No change"))))</f>
        <v>No direction</v>
      </c>
      <c r="T614" s="12"/>
      <c r="U614" s="12" t="str">
        <f aca="false">C614&amp;"|"&amp;E614</f>
        <v>F7_11|DNK</v>
      </c>
    </row>
    <row r="615" customFormat="false" ht="15" hidden="false" customHeight="false" outlineLevel="0" collapsed="false">
      <c r="A615" s="12" t="n">
        <v>7</v>
      </c>
      <c r="B615" s="12" t="s">
        <v>321</v>
      </c>
      <c r="C615" s="12" t="s">
        <v>166</v>
      </c>
      <c r="D615" s="12" t="s">
        <v>167</v>
      </c>
      <c r="E615" s="12" t="s">
        <v>288</v>
      </c>
      <c r="F615" s="12" t="s">
        <v>35</v>
      </c>
      <c r="G615" s="12" t="n">
        <v>1060</v>
      </c>
      <c r="H615" s="12" t="n">
        <v>1088</v>
      </c>
      <c r="I615" s="12" t="s">
        <v>293</v>
      </c>
      <c r="J615" s="12" t="n">
        <v>3</v>
      </c>
      <c r="K615" s="12" t="n">
        <v>8</v>
      </c>
      <c r="L615" s="28" t="n">
        <v>1</v>
      </c>
      <c r="M615" s="12" t="n">
        <f aca="false">IF(L615=1,COUNTIFS($C$2:$C$1090,C615,$L$2:$L$1090,1),"")</f>
        <v>9</v>
      </c>
      <c r="N615" s="12" t="n">
        <f aca="false">IF(L615=1,1+COUNTIFS($C$2:$C$1090,C615,$L$2:$L$1090,1,$G$2:$G$1090,"&gt;"&amp;G615),"")</f>
        <v>2</v>
      </c>
      <c r="O615" s="12" t="n">
        <f aca="false">IF(L615=1,1+COUNTIFS($C$2:$C$1090,C615,$L$2:$L$1090,1,$H$2:$H$1090,"&gt;"&amp;H615),"")</f>
        <v>8</v>
      </c>
      <c r="P615" s="12" t="n">
        <f aca="false">IF(L615=1,N615-O615,"")</f>
        <v>-6</v>
      </c>
      <c r="Q615" s="12" t="n">
        <f aca="false">INDEX(Directions!$D$2:$D$100,MATCH(C615,Directions!$A$2:$A$100,0))</f>
        <v>0</v>
      </c>
      <c r="R615" s="12" t="n">
        <f aca="false">IF(L615=1,P615*Q615,"")</f>
        <v>-0</v>
      </c>
      <c r="S615" s="12" t="str">
        <f aca="false">IF(L615&lt;&gt;1,"Excluded",IF(Q615=0,"No direction",IF(R615&gt;0,"Better",IF(R615&lt;0,"Worse","No change"))))</f>
        <v>No direction</v>
      </c>
      <c r="T615" s="12"/>
      <c r="U615" s="12" t="str">
        <f aca="false">C615&amp;"|"&amp;E615</f>
        <v>F7_11|CAN</v>
      </c>
    </row>
    <row r="616" customFormat="false" ht="15" hidden="false" customHeight="false" outlineLevel="0" collapsed="false">
      <c r="A616" s="12" t="n">
        <v>7</v>
      </c>
      <c r="B616" s="12" t="s">
        <v>321</v>
      </c>
      <c r="C616" s="12" t="s">
        <v>166</v>
      </c>
      <c r="D616" s="12" t="s">
        <v>167</v>
      </c>
      <c r="E616" s="12" t="s">
        <v>289</v>
      </c>
      <c r="F616" s="12" t="s">
        <v>36</v>
      </c>
      <c r="G616" s="12" t="s">
        <v>302</v>
      </c>
      <c r="H616" s="12" t="s">
        <v>302</v>
      </c>
      <c r="I616" s="12"/>
      <c r="J616" s="12" t="s">
        <v>302</v>
      </c>
      <c r="K616" s="12" t="s">
        <v>302</v>
      </c>
      <c r="L616" s="28" t="n">
        <v>0</v>
      </c>
      <c r="M616" s="12" t="str">
        <f aca="false">IF(L616=1,COUNTIFS($C$2:$C$1090,C616,$L$2:$L$1090,1),"")</f>
        <v/>
      </c>
      <c r="N616" s="12" t="str">
        <f aca="false">IF(L616=1,1+COUNTIFS($C$2:$C$1090,C616,$L$2:$L$1090,1,$G$2:$G$1090,"&gt;"&amp;G616),"")</f>
        <v/>
      </c>
      <c r="O616" s="12" t="str">
        <f aca="false">IF(L616=1,1+COUNTIFS($C$2:$C$1090,C616,$L$2:$L$1090,1,$H$2:$H$1090,"&gt;"&amp;H616),"")</f>
        <v/>
      </c>
      <c r="P616" s="12" t="str">
        <f aca="false">IF(L616=1,N616-O616,"")</f>
        <v/>
      </c>
      <c r="Q616" s="12" t="n">
        <f aca="false">INDEX(Directions!$D$2:$D$100,MATCH(C616,Directions!$A$2:$A$100,0))</f>
        <v>0</v>
      </c>
      <c r="R616" s="12" t="str">
        <f aca="false">IF(L616=1,P616*Q616,"")</f>
        <v/>
      </c>
      <c r="S616" s="12" t="str">
        <f aca="false">IF(L616&lt;&gt;1,"Excluded",IF(Q616=0,"No direction",IF(R616&gt;0,"Better",IF(R616&lt;0,"Worse","No change"))))</f>
        <v>Excluded</v>
      </c>
      <c r="T616" s="12" t="s">
        <v>304</v>
      </c>
      <c r="U616" s="12" t="str">
        <f aca="false">C616&amp;"|"&amp;E616</f>
        <v>F7_11|JPN</v>
      </c>
    </row>
    <row r="617" customFormat="false" ht="15" hidden="false" customHeight="false" outlineLevel="0" collapsed="false">
      <c r="A617" s="12" t="n">
        <v>7</v>
      </c>
      <c r="B617" s="12" t="s">
        <v>321</v>
      </c>
      <c r="C617" s="12" t="s">
        <v>166</v>
      </c>
      <c r="D617" s="12" t="s">
        <v>167</v>
      </c>
      <c r="E617" s="12" t="s">
        <v>290</v>
      </c>
      <c r="F617" s="12" t="s">
        <v>37</v>
      </c>
      <c r="G617" s="12" t="n">
        <v>1060</v>
      </c>
      <c r="H617" s="12" t="n">
        <v>1284</v>
      </c>
      <c r="I617" s="12" t="s">
        <v>293</v>
      </c>
      <c r="J617" s="12" t="n">
        <v>4</v>
      </c>
      <c r="K617" s="12" t="n">
        <v>4</v>
      </c>
      <c r="L617" s="28" t="n">
        <v>1</v>
      </c>
      <c r="M617" s="12" t="n">
        <f aca="false">IF(L617=1,COUNTIFS($C$2:$C$1090,C617,$L$2:$L$1090,1),"")</f>
        <v>9</v>
      </c>
      <c r="N617" s="12" t="n">
        <f aca="false">IF(L617=1,1+COUNTIFS($C$2:$C$1090,C617,$L$2:$L$1090,1,$G$2:$G$1090,"&gt;"&amp;G617),"")</f>
        <v>2</v>
      </c>
      <c r="O617" s="12" t="n">
        <f aca="false">IF(L617=1,1+COUNTIFS($C$2:$C$1090,C617,$L$2:$L$1090,1,$H$2:$H$1090,"&gt;"&amp;H617),"")</f>
        <v>4</v>
      </c>
      <c r="P617" s="12" t="n">
        <f aca="false">IF(L617=1,N617-O617,"")</f>
        <v>-2</v>
      </c>
      <c r="Q617" s="12" t="n">
        <f aca="false">INDEX(Directions!$D$2:$D$100,MATCH(C617,Directions!$A$2:$A$100,0))</f>
        <v>0</v>
      </c>
      <c r="R617" s="12" t="n">
        <f aca="false">IF(L617=1,P617*Q617,"")</f>
        <v>-0</v>
      </c>
      <c r="S617" s="12" t="str">
        <f aca="false">IF(L617&lt;&gt;1,"Excluded",IF(Q617=0,"No direction",IF(R617&gt;0,"Better",IF(R617&lt;0,"Worse","No change"))))</f>
        <v>No direction</v>
      </c>
      <c r="T617" s="12"/>
      <c r="U617" s="12" t="str">
        <f aca="false">C617&amp;"|"&amp;E617</f>
        <v>F7_11|AUS</v>
      </c>
    </row>
    <row r="618" customFormat="false" ht="15" hidden="false" customHeight="false" outlineLevel="0" collapsed="false">
      <c r="A618" s="12" t="n">
        <v>7</v>
      </c>
      <c r="B618" s="12" t="s">
        <v>321</v>
      </c>
      <c r="C618" s="12" t="s">
        <v>168</v>
      </c>
      <c r="D618" s="12" t="s">
        <v>169</v>
      </c>
      <c r="E618" s="12" t="s">
        <v>281</v>
      </c>
      <c r="F618" s="12" t="s">
        <v>27</v>
      </c>
      <c r="G618" s="12" t="n">
        <v>79</v>
      </c>
      <c r="H618" s="12" t="n">
        <v>79</v>
      </c>
      <c r="I618" s="12" t="s">
        <v>326</v>
      </c>
      <c r="J618" s="12" t="n">
        <v>1</v>
      </c>
      <c r="K618" s="12" t="n">
        <v>1</v>
      </c>
      <c r="L618" s="28" t="n">
        <v>1</v>
      </c>
      <c r="M618" s="12" t="n">
        <f aca="false">IF(L618=1,COUNTIFS($C$2:$C$1090,C618,$L$2:$L$1090,1),"")</f>
        <v>9</v>
      </c>
      <c r="N618" s="12" t="n">
        <f aca="false">IF(L618=1,1+COUNTIFS($C$2:$C$1090,C618,$L$2:$L$1090,1,$G$2:$G$1090,"&gt;"&amp;G618),"")</f>
        <v>1</v>
      </c>
      <c r="O618" s="12" t="n">
        <f aca="false">IF(L618=1,1+COUNTIFS($C$2:$C$1090,C618,$L$2:$L$1090,1,$H$2:$H$1090,"&gt;"&amp;H618),"")</f>
        <v>1</v>
      </c>
      <c r="P618" s="12" t="n">
        <f aca="false">IF(L618=1,N618-O618,"")</f>
        <v>0</v>
      </c>
      <c r="Q618" s="12" t="n">
        <f aca="false">INDEX(Directions!$D$2:$D$100,MATCH(C618,Directions!$A$2:$A$100,0))</f>
        <v>0</v>
      </c>
      <c r="R618" s="12" t="n">
        <f aca="false">IF(L618=1,P618*Q618,"")</f>
        <v>0</v>
      </c>
      <c r="S618" s="12" t="str">
        <f aca="false">IF(L618&lt;&gt;1,"Excluded",IF(Q618=0,"No direction",IF(R618&gt;0,"Better",IF(R618&lt;0,"Worse","No change"))))</f>
        <v>No direction</v>
      </c>
      <c r="T618" s="12" t="s">
        <v>323</v>
      </c>
      <c r="U618" s="12" t="str">
        <f aca="false">C618&amp;"|"&amp;E618</f>
        <v>F7_12|USA</v>
      </c>
    </row>
    <row r="619" customFormat="false" ht="15" hidden="false" customHeight="false" outlineLevel="0" collapsed="false">
      <c r="A619" s="12" t="n">
        <v>7</v>
      </c>
      <c r="B619" s="12" t="s">
        <v>321</v>
      </c>
      <c r="C619" s="12" t="s">
        <v>168</v>
      </c>
      <c r="D619" s="12" t="s">
        <v>169</v>
      </c>
      <c r="E619" s="12" t="s">
        <v>283</v>
      </c>
      <c r="F619" s="12" t="s">
        <v>28</v>
      </c>
      <c r="G619" s="12" t="n">
        <v>26</v>
      </c>
      <c r="H619" s="12" t="n">
        <v>20</v>
      </c>
      <c r="I619" s="12" t="s">
        <v>293</v>
      </c>
      <c r="J619" s="12" t="n">
        <v>9</v>
      </c>
      <c r="K619" s="12" t="n">
        <v>10</v>
      </c>
      <c r="L619" s="28" t="n">
        <v>1</v>
      </c>
      <c r="M619" s="12" t="n">
        <f aca="false">IF(L619=1,COUNTIFS($C$2:$C$1090,C619,$L$2:$L$1090,1),"")</f>
        <v>9</v>
      </c>
      <c r="N619" s="12" t="n">
        <f aca="false">IF(L619=1,1+COUNTIFS($C$2:$C$1090,C619,$L$2:$L$1090,1,$G$2:$G$1090,"&gt;"&amp;G619),"")</f>
        <v>9</v>
      </c>
      <c r="O619" s="12" t="n">
        <f aca="false">IF(L619=1,1+COUNTIFS($C$2:$C$1090,C619,$L$2:$L$1090,1,$H$2:$H$1090,"&gt;"&amp;H619),"")</f>
        <v>9</v>
      </c>
      <c r="P619" s="12" t="n">
        <f aca="false">IF(L619=1,N619-O619,"")</f>
        <v>0</v>
      </c>
      <c r="Q619" s="12" t="n">
        <f aca="false">INDEX(Directions!$D$2:$D$100,MATCH(C619,Directions!$A$2:$A$100,0))</f>
        <v>0</v>
      </c>
      <c r="R619" s="12" t="n">
        <f aca="false">IF(L619=1,P619*Q619,"")</f>
        <v>0</v>
      </c>
      <c r="S619" s="12" t="str">
        <f aca="false">IF(L619&lt;&gt;1,"Excluded",IF(Q619=0,"No direction",IF(R619&gt;0,"Better",IF(R619&lt;0,"Worse","No change"))))</f>
        <v>No direction</v>
      </c>
      <c r="T619" s="12"/>
      <c r="U619" s="12" t="str">
        <f aca="false">C619&amp;"|"&amp;E619</f>
        <v>F7_12|GBR</v>
      </c>
    </row>
    <row r="620" customFormat="false" ht="15" hidden="false" customHeight="false" outlineLevel="0" collapsed="false">
      <c r="A620" s="12" t="n">
        <v>7</v>
      </c>
      <c r="B620" s="12" t="s">
        <v>321</v>
      </c>
      <c r="C620" s="12" t="s">
        <v>168</v>
      </c>
      <c r="D620" s="12" t="s">
        <v>169</v>
      </c>
      <c r="E620" s="12" t="s">
        <v>284</v>
      </c>
      <c r="F620" s="12" t="s">
        <v>29</v>
      </c>
      <c r="G620" s="12" t="n">
        <v>64</v>
      </c>
      <c r="H620" s="12" t="n">
        <v>45</v>
      </c>
      <c r="I620" s="12" t="s">
        <v>293</v>
      </c>
      <c r="J620" s="12" t="n">
        <v>4</v>
      </c>
      <c r="K620" s="12" t="n">
        <v>3</v>
      </c>
      <c r="L620" s="28" t="n">
        <v>1</v>
      </c>
      <c r="M620" s="12" t="n">
        <f aca="false">IF(L620=1,COUNTIFS($C$2:$C$1090,C620,$L$2:$L$1090,1),"")</f>
        <v>9</v>
      </c>
      <c r="N620" s="12" t="n">
        <f aca="false">IF(L620=1,1+COUNTIFS($C$2:$C$1090,C620,$L$2:$L$1090,1,$G$2:$G$1090,"&gt;"&amp;G620),"")</f>
        <v>4</v>
      </c>
      <c r="O620" s="12" t="n">
        <f aca="false">IF(L620=1,1+COUNTIFS($C$2:$C$1090,C620,$L$2:$L$1090,1,$H$2:$H$1090,"&gt;"&amp;H620),"")</f>
        <v>3</v>
      </c>
      <c r="P620" s="12" t="n">
        <f aca="false">IF(L620=1,N620-O620,"")</f>
        <v>1</v>
      </c>
      <c r="Q620" s="12" t="n">
        <f aca="false">INDEX(Directions!$D$2:$D$100,MATCH(C620,Directions!$A$2:$A$100,0))</f>
        <v>0</v>
      </c>
      <c r="R620" s="12" t="n">
        <f aca="false">IF(L620=1,P620*Q620,"")</f>
        <v>0</v>
      </c>
      <c r="S620" s="12" t="str">
        <f aca="false">IF(L620&lt;&gt;1,"Excluded",IF(Q620=0,"No direction",IF(R620&gt;0,"Better",IF(R620&lt;0,"Worse","No change"))))</f>
        <v>No direction</v>
      </c>
      <c r="T620" s="12"/>
      <c r="U620" s="12" t="str">
        <f aca="false">C620&amp;"|"&amp;E620</f>
        <v>F7_12|DEU</v>
      </c>
    </row>
    <row r="621" customFormat="false" ht="15" hidden="false" customHeight="false" outlineLevel="0" collapsed="false">
      <c r="A621" s="12" t="n">
        <v>7</v>
      </c>
      <c r="B621" s="12" t="s">
        <v>321</v>
      </c>
      <c r="C621" s="12" t="s">
        <v>168</v>
      </c>
      <c r="D621" s="12" t="s">
        <v>169</v>
      </c>
      <c r="E621" s="12" t="s">
        <v>285</v>
      </c>
      <c r="F621" s="12" t="s">
        <v>30</v>
      </c>
      <c r="G621" s="12" t="n">
        <v>31</v>
      </c>
      <c r="H621" s="12" t="n">
        <v>23</v>
      </c>
      <c r="I621" s="12" t="s">
        <v>293</v>
      </c>
      <c r="J621" s="12" t="n">
        <v>7</v>
      </c>
      <c r="K621" s="12" t="n">
        <v>8</v>
      </c>
      <c r="L621" s="28" t="n">
        <v>1</v>
      </c>
      <c r="M621" s="12" t="n">
        <f aca="false">IF(L621=1,COUNTIFS($C$2:$C$1090,C621,$L$2:$L$1090,1),"")</f>
        <v>9</v>
      </c>
      <c r="N621" s="12" t="n">
        <f aca="false">IF(L621=1,1+COUNTIFS($C$2:$C$1090,C621,$L$2:$L$1090,1,$G$2:$G$1090,"&gt;"&amp;G621),"")</f>
        <v>7</v>
      </c>
      <c r="O621" s="12" t="n">
        <f aca="false">IF(L621=1,1+COUNTIFS($C$2:$C$1090,C621,$L$2:$L$1090,1,$H$2:$H$1090,"&gt;"&amp;H621),"")</f>
        <v>7</v>
      </c>
      <c r="P621" s="12" t="n">
        <f aca="false">IF(L621=1,N621-O621,"")</f>
        <v>0</v>
      </c>
      <c r="Q621" s="12" t="n">
        <f aca="false">INDEX(Directions!$D$2:$D$100,MATCH(C621,Directions!$A$2:$A$100,0))</f>
        <v>0</v>
      </c>
      <c r="R621" s="12" t="n">
        <f aca="false">IF(L621=1,P621*Q621,"")</f>
        <v>0</v>
      </c>
      <c r="S621" s="12" t="str">
        <f aca="false">IF(L621&lt;&gt;1,"Excluded",IF(Q621=0,"No direction",IF(R621&gt;0,"Better",IF(R621&lt;0,"Worse","No change"))))</f>
        <v>No direction</v>
      </c>
      <c r="T621" s="12"/>
      <c r="U621" s="12" t="str">
        <f aca="false">C621&amp;"|"&amp;E621</f>
        <v>F7_12|SWE</v>
      </c>
    </row>
    <row r="622" customFormat="false" ht="15" hidden="false" customHeight="false" outlineLevel="0" collapsed="false">
      <c r="A622" s="12" t="n">
        <v>7</v>
      </c>
      <c r="B622" s="12" t="s">
        <v>321</v>
      </c>
      <c r="C622" s="12" t="s">
        <v>168</v>
      </c>
      <c r="D622" s="12" t="s">
        <v>169</v>
      </c>
      <c r="E622" s="12" t="s">
        <v>286</v>
      </c>
      <c r="F622" s="12" t="s">
        <v>31</v>
      </c>
      <c r="G622" s="12" t="n">
        <v>29</v>
      </c>
      <c r="H622" s="12" t="n">
        <v>26</v>
      </c>
      <c r="I622" s="12" t="s">
        <v>293</v>
      </c>
      <c r="J622" s="12" t="n">
        <v>8</v>
      </c>
      <c r="K622" s="12" t="n">
        <v>7</v>
      </c>
      <c r="L622" s="28" t="n">
        <v>1</v>
      </c>
      <c r="M622" s="12" t="n">
        <f aca="false">IF(L622=1,COUNTIFS($C$2:$C$1090,C622,$L$2:$L$1090,1),"")</f>
        <v>9</v>
      </c>
      <c r="N622" s="12" t="n">
        <f aca="false">IF(L622=1,1+COUNTIFS($C$2:$C$1090,C622,$L$2:$L$1090,1,$G$2:$G$1090,"&gt;"&amp;G622),"")</f>
        <v>8</v>
      </c>
      <c r="O622" s="12" t="n">
        <f aca="false">IF(L622=1,1+COUNTIFS($C$2:$C$1090,C622,$L$2:$L$1090,1,$H$2:$H$1090,"&gt;"&amp;H622),"")</f>
        <v>6</v>
      </c>
      <c r="P622" s="12" t="n">
        <f aca="false">IF(L622=1,N622-O622,"")</f>
        <v>2</v>
      </c>
      <c r="Q622" s="12" t="n">
        <f aca="false">INDEX(Directions!$D$2:$D$100,MATCH(C622,Directions!$A$2:$A$100,0))</f>
        <v>0</v>
      </c>
      <c r="R622" s="12" t="n">
        <f aca="false">IF(L622=1,P622*Q622,"")</f>
        <v>0</v>
      </c>
      <c r="S622" s="12" t="str">
        <f aca="false">IF(L622&lt;&gt;1,"Excluded",IF(Q622=0,"No direction",IF(R622&gt;0,"Better",IF(R622&lt;0,"Worse","No change"))))</f>
        <v>No direction</v>
      </c>
      <c r="T622" s="12"/>
      <c r="U622" s="12" t="str">
        <f aca="false">C622&amp;"|"&amp;E622</f>
        <v>F7_12|FRA</v>
      </c>
    </row>
    <row r="623" customFormat="false" ht="15" hidden="false" customHeight="false" outlineLevel="0" collapsed="false">
      <c r="A623" s="12" t="n">
        <v>7</v>
      </c>
      <c r="B623" s="12" t="s">
        <v>321</v>
      </c>
      <c r="C623" s="12" t="s">
        <v>168</v>
      </c>
      <c r="D623" s="12" t="s">
        <v>169</v>
      </c>
      <c r="E623" s="12" t="s">
        <v>32</v>
      </c>
      <c r="F623" s="12" t="s">
        <v>32</v>
      </c>
      <c r="G623" s="12" t="n">
        <v>69</v>
      </c>
      <c r="H623" s="12" t="n">
        <v>44</v>
      </c>
      <c r="I623" s="12" t="s">
        <v>293</v>
      </c>
      <c r="J623" s="12" t="n">
        <v>3</v>
      </c>
      <c r="K623" s="12" t="n">
        <v>5</v>
      </c>
      <c r="L623" s="28" t="n">
        <v>1</v>
      </c>
      <c r="M623" s="12" t="n">
        <f aca="false">IF(L623=1,COUNTIFS($C$2:$C$1090,C623,$L$2:$L$1090,1),"")</f>
        <v>9</v>
      </c>
      <c r="N623" s="12" t="n">
        <f aca="false">IF(L623=1,1+COUNTIFS($C$2:$C$1090,C623,$L$2:$L$1090,1,$G$2:$G$1090,"&gt;"&amp;G623),"")</f>
        <v>3</v>
      </c>
      <c r="O623" s="12" t="n">
        <f aca="false">IF(L623=1,1+COUNTIFS($C$2:$C$1090,C623,$L$2:$L$1090,1,$H$2:$H$1090,"&gt;"&amp;H623),"")</f>
        <v>5</v>
      </c>
      <c r="P623" s="12" t="n">
        <f aca="false">IF(L623=1,N623-O623,"")</f>
        <v>-2</v>
      </c>
      <c r="Q623" s="12" t="n">
        <f aca="false">INDEX(Directions!$D$2:$D$100,MATCH(C623,Directions!$A$2:$A$100,0))</f>
        <v>0</v>
      </c>
      <c r="R623" s="12" t="n">
        <f aca="false">IF(L623=1,P623*Q623,"")</f>
        <v>-0</v>
      </c>
      <c r="S623" s="12" t="str">
        <f aca="false">IF(L623&lt;&gt;1,"Excluded",IF(Q623=0,"No direction",IF(R623&gt;0,"Better",IF(R623&lt;0,"Worse","No change"))))</f>
        <v>No direction</v>
      </c>
      <c r="T623" s="12"/>
      <c r="U623" s="12" t="str">
        <f aca="false">C623&amp;"|"&amp;E623</f>
        <v>F7_12|NLD</v>
      </c>
    </row>
    <row r="624" customFormat="false" ht="15" hidden="false" customHeight="false" outlineLevel="0" collapsed="false">
      <c r="A624" s="12" t="n">
        <v>7</v>
      </c>
      <c r="B624" s="12" t="s">
        <v>321</v>
      </c>
      <c r="C624" s="12" t="s">
        <v>168</v>
      </c>
      <c r="D624" s="12" t="s">
        <v>169</v>
      </c>
      <c r="E624" s="12" t="s">
        <v>33</v>
      </c>
      <c r="F624" s="12" t="s">
        <v>33</v>
      </c>
      <c r="G624" s="12" t="s">
        <v>302</v>
      </c>
      <c r="H624" s="12" t="n">
        <v>37</v>
      </c>
      <c r="I624" s="12" t="s">
        <v>293</v>
      </c>
      <c r="J624" s="12" t="s">
        <v>302</v>
      </c>
      <c r="K624" s="12" t="n">
        <v>6</v>
      </c>
      <c r="L624" s="28" t="n">
        <v>0</v>
      </c>
      <c r="M624" s="12" t="str">
        <f aca="false">IF(L624=1,COUNTIFS($C$2:$C$1090,C624,$L$2:$L$1090,1),"")</f>
        <v/>
      </c>
      <c r="N624" s="12" t="str">
        <f aca="false">IF(L624=1,1+COUNTIFS($C$2:$C$1090,C624,$L$2:$L$1090,1,$G$2:$G$1090,"&gt;"&amp;G624),"")</f>
        <v/>
      </c>
      <c r="O624" s="12" t="str">
        <f aca="false">IF(L624=1,1+COUNTIFS($C$2:$C$1090,C624,$L$2:$L$1090,1,$H$2:$H$1090,"&gt;"&amp;H624),"")</f>
        <v/>
      </c>
      <c r="P624" s="12" t="str">
        <f aca="false">IF(L624=1,N624-O624,"")</f>
        <v/>
      </c>
      <c r="Q624" s="12" t="n">
        <f aca="false">INDEX(Directions!$D$2:$D$100,MATCH(C624,Directions!$A$2:$A$100,0))</f>
        <v>0</v>
      </c>
      <c r="R624" s="12" t="str">
        <f aca="false">IF(L624=1,P624*Q624,"")</f>
        <v/>
      </c>
      <c r="S624" s="12" t="str">
        <f aca="false">IF(L624&lt;&gt;1,"Excluded",IF(Q624=0,"No direction",IF(R624&gt;0,"Better",IF(R624&lt;0,"Worse","No change"))))</f>
        <v>Excluded</v>
      </c>
      <c r="T624" s="12" t="s">
        <v>311</v>
      </c>
      <c r="U624" s="12" t="str">
        <f aca="false">C624&amp;"|"&amp;E624</f>
        <v>F7_12|CHE</v>
      </c>
    </row>
    <row r="625" customFormat="false" ht="15" hidden="false" customHeight="false" outlineLevel="0" collapsed="false">
      <c r="A625" s="12" t="n">
        <v>7</v>
      </c>
      <c r="B625" s="12" t="s">
        <v>321</v>
      </c>
      <c r="C625" s="12" t="s">
        <v>168</v>
      </c>
      <c r="D625" s="12" t="s">
        <v>169</v>
      </c>
      <c r="E625" s="12" t="s">
        <v>287</v>
      </c>
      <c r="F625" s="12" t="s">
        <v>34</v>
      </c>
      <c r="G625" s="12" t="n">
        <v>73</v>
      </c>
      <c r="H625" s="12" t="n">
        <v>23</v>
      </c>
      <c r="I625" s="12" t="s">
        <v>293</v>
      </c>
      <c r="J625" s="12" t="n">
        <v>2</v>
      </c>
      <c r="K625" s="12" t="n">
        <v>9</v>
      </c>
      <c r="L625" s="28" t="n">
        <v>1</v>
      </c>
      <c r="M625" s="12" t="n">
        <f aca="false">IF(L625=1,COUNTIFS($C$2:$C$1090,C625,$L$2:$L$1090,1),"")</f>
        <v>9</v>
      </c>
      <c r="N625" s="12" t="n">
        <f aca="false">IF(L625=1,1+COUNTIFS($C$2:$C$1090,C625,$L$2:$L$1090,1,$G$2:$G$1090,"&gt;"&amp;G625),"")</f>
        <v>2</v>
      </c>
      <c r="O625" s="12" t="n">
        <f aca="false">IF(L625=1,1+COUNTIFS($C$2:$C$1090,C625,$L$2:$L$1090,1,$H$2:$H$1090,"&gt;"&amp;H625),"")</f>
        <v>7</v>
      </c>
      <c r="P625" s="12" t="n">
        <f aca="false">IF(L625=1,N625-O625,"")</f>
        <v>-5</v>
      </c>
      <c r="Q625" s="12" t="n">
        <f aca="false">INDEX(Directions!$D$2:$D$100,MATCH(C625,Directions!$A$2:$A$100,0))</f>
        <v>0</v>
      </c>
      <c r="R625" s="12" t="n">
        <f aca="false">IF(L625=1,P625*Q625,"")</f>
        <v>-0</v>
      </c>
      <c r="S625" s="12" t="str">
        <f aca="false">IF(L625&lt;&gt;1,"Excluded",IF(Q625=0,"No direction",IF(R625&gt;0,"Better",IF(R625&lt;0,"Worse","No change"))))</f>
        <v>No direction</v>
      </c>
      <c r="T625" s="12"/>
      <c r="U625" s="12" t="str">
        <f aca="false">C625&amp;"|"&amp;E625</f>
        <v>F7_12|DNK</v>
      </c>
    </row>
    <row r="626" customFormat="false" ht="15" hidden="false" customHeight="false" outlineLevel="0" collapsed="false">
      <c r="A626" s="12" t="n">
        <v>7</v>
      </c>
      <c r="B626" s="12" t="s">
        <v>321</v>
      </c>
      <c r="C626" s="12" t="s">
        <v>168</v>
      </c>
      <c r="D626" s="12" t="s">
        <v>169</v>
      </c>
      <c r="E626" s="12" t="s">
        <v>288</v>
      </c>
      <c r="F626" s="12" t="s">
        <v>35</v>
      </c>
      <c r="G626" s="12" t="n">
        <v>58</v>
      </c>
      <c r="H626" s="12" t="n">
        <v>47</v>
      </c>
      <c r="I626" s="12" t="s">
        <v>293</v>
      </c>
      <c r="J626" s="12" t="n">
        <v>5</v>
      </c>
      <c r="K626" s="12" t="n">
        <v>2</v>
      </c>
      <c r="L626" s="28" t="n">
        <v>1</v>
      </c>
      <c r="M626" s="12" t="n">
        <f aca="false">IF(L626=1,COUNTIFS($C$2:$C$1090,C626,$L$2:$L$1090,1),"")</f>
        <v>9</v>
      </c>
      <c r="N626" s="12" t="n">
        <f aca="false">IF(L626=1,1+COUNTIFS($C$2:$C$1090,C626,$L$2:$L$1090,1,$G$2:$G$1090,"&gt;"&amp;G626),"")</f>
        <v>5</v>
      </c>
      <c r="O626" s="12" t="n">
        <f aca="false">IF(L626=1,1+COUNTIFS($C$2:$C$1090,C626,$L$2:$L$1090,1,$H$2:$H$1090,"&gt;"&amp;H626),"")</f>
        <v>2</v>
      </c>
      <c r="P626" s="12" t="n">
        <f aca="false">IF(L626=1,N626-O626,"")</f>
        <v>3</v>
      </c>
      <c r="Q626" s="12" t="n">
        <f aca="false">INDEX(Directions!$D$2:$D$100,MATCH(C626,Directions!$A$2:$A$100,0))</f>
        <v>0</v>
      </c>
      <c r="R626" s="12" t="n">
        <f aca="false">IF(L626=1,P626*Q626,"")</f>
        <v>0</v>
      </c>
      <c r="S626" s="12" t="str">
        <f aca="false">IF(L626&lt;&gt;1,"Excluded",IF(Q626=0,"No direction",IF(R626&gt;0,"Better",IF(R626&lt;0,"Worse","No change"))))</f>
        <v>No direction</v>
      </c>
      <c r="T626" s="12"/>
      <c r="U626" s="12" t="str">
        <f aca="false">C626&amp;"|"&amp;E626</f>
        <v>F7_12|CAN</v>
      </c>
    </row>
    <row r="627" customFormat="false" ht="15" hidden="false" customHeight="false" outlineLevel="0" collapsed="false">
      <c r="A627" s="12" t="n">
        <v>7</v>
      </c>
      <c r="B627" s="12" t="s">
        <v>321</v>
      </c>
      <c r="C627" s="12" t="s">
        <v>168</v>
      </c>
      <c r="D627" s="12" t="s">
        <v>169</v>
      </c>
      <c r="E627" s="12" t="s">
        <v>289</v>
      </c>
      <c r="F627" s="12" t="s">
        <v>36</v>
      </c>
      <c r="G627" s="12" t="s">
        <v>302</v>
      </c>
      <c r="H627" s="12" t="s">
        <v>302</v>
      </c>
      <c r="I627" s="12"/>
      <c r="J627" s="12" t="s">
        <v>302</v>
      </c>
      <c r="K627" s="12" t="s">
        <v>302</v>
      </c>
      <c r="L627" s="28" t="n">
        <v>0</v>
      </c>
      <c r="M627" s="12" t="str">
        <f aca="false">IF(L627=1,COUNTIFS($C$2:$C$1090,C627,$L$2:$L$1090,1),"")</f>
        <v/>
      </c>
      <c r="N627" s="12" t="str">
        <f aca="false">IF(L627=1,1+COUNTIFS($C$2:$C$1090,C627,$L$2:$L$1090,1,$G$2:$G$1090,"&gt;"&amp;G627),"")</f>
        <v/>
      </c>
      <c r="O627" s="12" t="str">
        <f aca="false">IF(L627=1,1+COUNTIFS($C$2:$C$1090,C627,$L$2:$L$1090,1,$H$2:$H$1090,"&gt;"&amp;H627),"")</f>
        <v/>
      </c>
      <c r="P627" s="12" t="str">
        <f aca="false">IF(L627=1,N627-O627,"")</f>
        <v/>
      </c>
      <c r="Q627" s="12" t="n">
        <f aca="false">INDEX(Directions!$D$2:$D$100,MATCH(C627,Directions!$A$2:$A$100,0))</f>
        <v>0</v>
      </c>
      <c r="R627" s="12" t="str">
        <f aca="false">IF(L627=1,P627*Q627,"")</f>
        <v/>
      </c>
      <c r="S627" s="12" t="str">
        <f aca="false">IF(L627&lt;&gt;1,"Excluded",IF(Q627=0,"No direction",IF(R627&gt;0,"Better",IF(R627&lt;0,"Worse","No change"))))</f>
        <v>Excluded</v>
      </c>
      <c r="T627" s="12" t="s">
        <v>304</v>
      </c>
      <c r="U627" s="12" t="str">
        <f aca="false">C627&amp;"|"&amp;E627</f>
        <v>F7_12|JPN</v>
      </c>
    </row>
    <row r="628" customFormat="false" ht="15" hidden="false" customHeight="false" outlineLevel="0" collapsed="false">
      <c r="A628" s="12" t="n">
        <v>7</v>
      </c>
      <c r="B628" s="12" t="s">
        <v>321</v>
      </c>
      <c r="C628" s="12" t="s">
        <v>168</v>
      </c>
      <c r="D628" s="12" t="s">
        <v>169</v>
      </c>
      <c r="E628" s="12" t="s">
        <v>290</v>
      </c>
      <c r="F628" s="12" t="s">
        <v>37</v>
      </c>
      <c r="G628" s="12" t="n">
        <v>54</v>
      </c>
      <c r="H628" s="12" t="n">
        <v>45</v>
      </c>
      <c r="I628" s="12" t="s">
        <v>293</v>
      </c>
      <c r="J628" s="12" t="n">
        <v>6</v>
      </c>
      <c r="K628" s="12" t="n">
        <v>4</v>
      </c>
      <c r="L628" s="28" t="n">
        <v>1</v>
      </c>
      <c r="M628" s="12" t="n">
        <f aca="false">IF(L628=1,COUNTIFS($C$2:$C$1090,C628,$L$2:$L$1090,1),"")</f>
        <v>9</v>
      </c>
      <c r="N628" s="12" t="n">
        <f aca="false">IF(L628=1,1+COUNTIFS($C$2:$C$1090,C628,$L$2:$L$1090,1,$G$2:$G$1090,"&gt;"&amp;G628),"")</f>
        <v>6</v>
      </c>
      <c r="O628" s="12" t="n">
        <f aca="false">IF(L628=1,1+COUNTIFS($C$2:$C$1090,C628,$L$2:$L$1090,1,$H$2:$H$1090,"&gt;"&amp;H628),"")</f>
        <v>3</v>
      </c>
      <c r="P628" s="12" t="n">
        <f aca="false">IF(L628=1,N628-O628,"")</f>
        <v>3</v>
      </c>
      <c r="Q628" s="12" t="n">
        <f aca="false">INDEX(Directions!$D$2:$D$100,MATCH(C628,Directions!$A$2:$A$100,0))</f>
        <v>0</v>
      </c>
      <c r="R628" s="12" t="n">
        <f aca="false">IF(L628=1,P628*Q628,"")</f>
        <v>0</v>
      </c>
      <c r="S628" s="12" t="str">
        <f aca="false">IF(L628&lt;&gt;1,"Excluded",IF(Q628=0,"No direction",IF(R628&gt;0,"Better",IF(R628&lt;0,"Worse","No change"))))</f>
        <v>No direction</v>
      </c>
      <c r="T628" s="12"/>
      <c r="U628" s="12" t="str">
        <f aca="false">C628&amp;"|"&amp;E628</f>
        <v>F7_12|AUS</v>
      </c>
    </row>
    <row r="629" customFormat="false" ht="15" hidden="false" customHeight="false" outlineLevel="0" collapsed="false">
      <c r="A629" s="12" t="n">
        <v>7</v>
      </c>
      <c r="B629" s="12" t="s">
        <v>321</v>
      </c>
      <c r="C629" s="12" t="s">
        <v>170</v>
      </c>
      <c r="D629" s="12" t="s">
        <v>171</v>
      </c>
      <c r="E629" s="12" t="s">
        <v>281</v>
      </c>
      <c r="F629" s="12" t="s">
        <v>27</v>
      </c>
      <c r="G629" s="12" t="n">
        <v>248</v>
      </c>
      <c r="H629" s="12" t="s">
        <v>302</v>
      </c>
      <c r="I629" s="12"/>
      <c r="J629" s="12" t="n">
        <v>2</v>
      </c>
      <c r="K629" s="12" t="s">
        <v>302</v>
      </c>
      <c r="L629" s="28" t="n">
        <v>0</v>
      </c>
      <c r="M629" s="12" t="str">
        <f aca="false">IF(L629=1,COUNTIFS($C$2:$C$1090,C629,$L$2:$L$1090,1),"")</f>
        <v/>
      </c>
      <c r="N629" s="12" t="str">
        <f aca="false">IF(L629=1,1+COUNTIFS($C$2:$C$1090,C629,$L$2:$L$1090,1,$G$2:$G$1090,"&gt;"&amp;G629),"")</f>
        <v/>
      </c>
      <c r="O629" s="12" t="str">
        <f aca="false">IF(L629=1,1+COUNTIFS($C$2:$C$1090,C629,$L$2:$L$1090,1,$H$2:$H$1090,"&gt;"&amp;H629),"")</f>
        <v/>
      </c>
      <c r="P629" s="12" t="str">
        <f aca="false">IF(L629=1,N629-O629,"")</f>
        <v/>
      </c>
      <c r="Q629" s="12" t="n">
        <f aca="false">INDEX(Directions!$D$2:$D$100,MATCH(C629,Directions!$A$2:$A$100,0))</f>
        <v>0</v>
      </c>
      <c r="R629" s="12" t="str">
        <f aca="false">IF(L629=1,P629*Q629,"")</f>
        <v/>
      </c>
      <c r="S629" s="12" t="str">
        <f aca="false">IF(L629&lt;&gt;1,"Excluded",IF(Q629=0,"No direction",IF(R629&gt;0,"Better",IF(R629&lt;0,"Worse","No change"))))</f>
        <v>Excluded</v>
      </c>
      <c r="T629" s="12" t="s">
        <v>303</v>
      </c>
      <c r="U629" s="12" t="str">
        <f aca="false">C629&amp;"|"&amp;E629</f>
        <v>F7_13|USA</v>
      </c>
    </row>
    <row r="630" customFormat="false" ht="15" hidden="false" customHeight="false" outlineLevel="0" collapsed="false">
      <c r="A630" s="12" t="n">
        <v>7</v>
      </c>
      <c r="B630" s="12" t="s">
        <v>321</v>
      </c>
      <c r="C630" s="12" t="s">
        <v>170</v>
      </c>
      <c r="D630" s="12" t="s">
        <v>171</v>
      </c>
      <c r="E630" s="12" t="s">
        <v>283</v>
      </c>
      <c r="F630" s="12" t="s">
        <v>28</v>
      </c>
      <c r="G630" s="12" t="n">
        <v>128</v>
      </c>
      <c r="H630" s="12" t="n">
        <v>123</v>
      </c>
      <c r="I630" s="12" t="s">
        <v>293</v>
      </c>
      <c r="J630" s="12" t="n">
        <v>10</v>
      </c>
      <c r="K630" s="12" t="n">
        <v>9</v>
      </c>
      <c r="L630" s="28" t="n">
        <v>1</v>
      </c>
      <c r="M630" s="12" t="n">
        <f aca="false">IF(L630=1,COUNTIFS($C$2:$C$1090,C630,$L$2:$L$1090,1),"")</f>
        <v>8</v>
      </c>
      <c r="N630" s="12" t="n">
        <f aca="false">IF(L630=1,1+COUNTIFS($C$2:$C$1090,C630,$L$2:$L$1090,1,$G$2:$G$1090,"&gt;"&amp;G630),"")</f>
        <v>8</v>
      </c>
      <c r="O630" s="12" t="n">
        <f aca="false">IF(L630=1,1+COUNTIFS($C$2:$C$1090,C630,$L$2:$L$1090,1,$H$2:$H$1090,"&gt;"&amp;H630),"")</f>
        <v>8</v>
      </c>
      <c r="P630" s="12" t="n">
        <f aca="false">IF(L630=1,N630-O630,"")</f>
        <v>0</v>
      </c>
      <c r="Q630" s="12" t="n">
        <f aca="false">INDEX(Directions!$D$2:$D$100,MATCH(C630,Directions!$A$2:$A$100,0))</f>
        <v>0</v>
      </c>
      <c r="R630" s="12" t="n">
        <f aca="false">IF(L630=1,P630*Q630,"")</f>
        <v>0</v>
      </c>
      <c r="S630" s="12" t="str">
        <f aca="false">IF(L630&lt;&gt;1,"Excluded",IF(Q630=0,"No direction",IF(R630&gt;0,"Better",IF(R630&lt;0,"Worse","No change"))))</f>
        <v>No direction</v>
      </c>
      <c r="T630" s="12"/>
      <c r="U630" s="12" t="str">
        <f aca="false">C630&amp;"|"&amp;E630</f>
        <v>F7_13|GBR</v>
      </c>
    </row>
    <row r="631" customFormat="false" ht="15" hidden="false" customHeight="false" outlineLevel="0" collapsed="false">
      <c r="A631" s="12" t="n">
        <v>7</v>
      </c>
      <c r="B631" s="12" t="s">
        <v>321</v>
      </c>
      <c r="C631" s="12" t="s">
        <v>170</v>
      </c>
      <c r="D631" s="12" t="s">
        <v>171</v>
      </c>
      <c r="E631" s="12" t="s">
        <v>284</v>
      </c>
      <c r="F631" s="12" t="s">
        <v>29</v>
      </c>
      <c r="G631" s="12" t="n">
        <v>393</v>
      </c>
      <c r="H631" s="12" t="n">
        <v>392</v>
      </c>
      <c r="I631" s="12" t="s">
        <v>293</v>
      </c>
      <c r="J631" s="12" t="n">
        <v>1</v>
      </c>
      <c r="K631" s="12" t="n">
        <v>1</v>
      </c>
      <c r="L631" s="28" t="n">
        <v>1</v>
      </c>
      <c r="M631" s="12" t="n">
        <f aca="false">IF(L631=1,COUNTIFS($C$2:$C$1090,C631,$L$2:$L$1090,1),"")</f>
        <v>8</v>
      </c>
      <c r="N631" s="12" t="n">
        <f aca="false">IF(L631=1,1+COUNTIFS($C$2:$C$1090,C631,$L$2:$L$1090,1,$G$2:$G$1090,"&gt;"&amp;G631),"")</f>
        <v>1</v>
      </c>
      <c r="O631" s="12" t="n">
        <f aca="false">IF(L631=1,1+COUNTIFS($C$2:$C$1090,C631,$L$2:$L$1090,1,$H$2:$H$1090,"&gt;"&amp;H631),"")</f>
        <v>1</v>
      </c>
      <c r="P631" s="12" t="n">
        <f aca="false">IF(L631=1,N631-O631,"")</f>
        <v>0</v>
      </c>
      <c r="Q631" s="12" t="n">
        <f aca="false">INDEX(Directions!$D$2:$D$100,MATCH(C631,Directions!$A$2:$A$100,0))</f>
        <v>0</v>
      </c>
      <c r="R631" s="12" t="n">
        <f aca="false">IF(L631=1,P631*Q631,"")</f>
        <v>0</v>
      </c>
      <c r="S631" s="12" t="str">
        <f aca="false">IF(L631&lt;&gt;1,"Excluded",IF(Q631=0,"No direction",IF(R631&gt;0,"Better",IF(R631&lt;0,"Worse","No change"))))</f>
        <v>No direction</v>
      </c>
      <c r="T631" s="12"/>
      <c r="U631" s="12" t="str">
        <f aca="false">C631&amp;"|"&amp;E631</f>
        <v>F7_13|DEU</v>
      </c>
    </row>
    <row r="632" customFormat="false" ht="15" hidden="false" customHeight="false" outlineLevel="0" collapsed="false">
      <c r="A632" s="12" t="n">
        <v>7</v>
      </c>
      <c r="B632" s="12" t="s">
        <v>321</v>
      </c>
      <c r="C632" s="12" t="s">
        <v>170</v>
      </c>
      <c r="D632" s="12" t="s">
        <v>171</v>
      </c>
      <c r="E632" s="12" t="s">
        <v>285</v>
      </c>
      <c r="F632" s="12" t="s">
        <v>30</v>
      </c>
      <c r="G632" s="12" t="n">
        <v>205</v>
      </c>
      <c r="H632" s="12" t="n">
        <v>162</v>
      </c>
      <c r="I632" s="12" t="s">
        <v>293</v>
      </c>
      <c r="J632" s="12" t="n">
        <v>5</v>
      </c>
      <c r="K632" s="12" t="n">
        <v>6</v>
      </c>
      <c r="L632" s="28" t="n">
        <v>1</v>
      </c>
      <c r="M632" s="12" t="n">
        <f aca="false">IF(L632=1,COUNTIFS($C$2:$C$1090,C632,$L$2:$L$1090,1),"")</f>
        <v>8</v>
      </c>
      <c r="N632" s="12" t="n">
        <f aca="false">IF(L632=1,1+COUNTIFS($C$2:$C$1090,C632,$L$2:$L$1090,1,$G$2:$G$1090,"&gt;"&amp;G632),"")</f>
        <v>4</v>
      </c>
      <c r="O632" s="12" t="n">
        <f aca="false">IF(L632=1,1+COUNTIFS($C$2:$C$1090,C632,$L$2:$L$1090,1,$H$2:$H$1090,"&gt;"&amp;H632),"")</f>
        <v>5</v>
      </c>
      <c r="P632" s="12" t="n">
        <f aca="false">IF(L632=1,N632-O632,"")</f>
        <v>-1</v>
      </c>
      <c r="Q632" s="12" t="n">
        <f aca="false">INDEX(Directions!$D$2:$D$100,MATCH(C632,Directions!$A$2:$A$100,0))</f>
        <v>0</v>
      </c>
      <c r="R632" s="12" t="n">
        <f aca="false">IF(L632=1,P632*Q632,"")</f>
        <v>-0</v>
      </c>
      <c r="S632" s="12" t="str">
        <f aca="false">IF(L632&lt;&gt;1,"Excluded",IF(Q632=0,"No direction",IF(R632&gt;0,"Better",IF(R632&lt;0,"Worse","No change"))))</f>
        <v>No direction</v>
      </c>
      <c r="T632" s="12"/>
      <c r="U632" s="12" t="str">
        <f aca="false">C632&amp;"|"&amp;E632</f>
        <v>F7_13|SWE</v>
      </c>
    </row>
    <row r="633" customFormat="false" ht="15" hidden="false" customHeight="false" outlineLevel="0" collapsed="false">
      <c r="A633" s="12" t="n">
        <v>7</v>
      </c>
      <c r="B633" s="12" t="s">
        <v>321</v>
      </c>
      <c r="C633" s="12" t="s">
        <v>170</v>
      </c>
      <c r="D633" s="12" t="s">
        <v>171</v>
      </c>
      <c r="E633" s="12" t="s">
        <v>286</v>
      </c>
      <c r="F633" s="12" t="s">
        <v>31</v>
      </c>
      <c r="G633" s="12" t="n">
        <v>237</v>
      </c>
      <c r="H633" s="12" t="n">
        <v>299</v>
      </c>
      <c r="I633" s="12" t="s">
        <v>293</v>
      </c>
      <c r="J633" s="12" t="n">
        <v>4</v>
      </c>
      <c r="K633" s="12" t="n">
        <v>3</v>
      </c>
      <c r="L633" s="28" t="n">
        <v>1</v>
      </c>
      <c r="M633" s="12" t="n">
        <f aca="false">IF(L633=1,COUNTIFS($C$2:$C$1090,C633,$L$2:$L$1090,1),"")</f>
        <v>8</v>
      </c>
      <c r="N633" s="12" t="n">
        <f aca="false">IF(L633=1,1+COUNTIFS($C$2:$C$1090,C633,$L$2:$L$1090,1,$G$2:$G$1090,"&gt;"&amp;G633),"")</f>
        <v>3</v>
      </c>
      <c r="O633" s="12" t="n">
        <f aca="false">IF(L633=1,1+COUNTIFS($C$2:$C$1090,C633,$L$2:$L$1090,1,$H$2:$H$1090,"&gt;"&amp;H633),"")</f>
        <v>2</v>
      </c>
      <c r="P633" s="12" t="n">
        <f aca="false">IF(L633=1,N633-O633,"")</f>
        <v>1</v>
      </c>
      <c r="Q633" s="12" t="n">
        <f aca="false">INDEX(Directions!$D$2:$D$100,MATCH(C633,Directions!$A$2:$A$100,0))</f>
        <v>0</v>
      </c>
      <c r="R633" s="12" t="n">
        <f aca="false">IF(L633=1,P633*Q633,"")</f>
        <v>0</v>
      </c>
      <c r="S633" s="12" t="str">
        <f aca="false">IF(L633&lt;&gt;1,"Excluded",IF(Q633=0,"No direction",IF(R633&gt;0,"Better",IF(R633&lt;0,"Worse","No change"))))</f>
        <v>No direction</v>
      </c>
      <c r="T633" s="12"/>
      <c r="U633" s="12" t="str">
        <f aca="false">C633&amp;"|"&amp;E633</f>
        <v>F7_13|FRA</v>
      </c>
    </row>
    <row r="634" customFormat="false" ht="15" hidden="false" customHeight="false" outlineLevel="0" collapsed="false">
      <c r="A634" s="12" t="n">
        <v>7</v>
      </c>
      <c r="B634" s="12" t="s">
        <v>321</v>
      </c>
      <c r="C634" s="12" t="s">
        <v>170</v>
      </c>
      <c r="D634" s="12" t="s">
        <v>171</v>
      </c>
      <c r="E634" s="12" t="s">
        <v>32</v>
      </c>
      <c r="F634" s="12" t="s">
        <v>32</v>
      </c>
      <c r="G634" s="12" t="n">
        <v>248</v>
      </c>
      <c r="H634" s="12" t="n">
        <v>210</v>
      </c>
      <c r="I634" s="12" t="s">
        <v>293</v>
      </c>
      <c r="J634" s="12" t="n">
        <v>3</v>
      </c>
      <c r="K634" s="12" t="n">
        <v>4</v>
      </c>
      <c r="L634" s="28" t="n">
        <v>1</v>
      </c>
      <c r="M634" s="12" t="n">
        <f aca="false">IF(L634=1,COUNTIFS($C$2:$C$1090,C634,$L$2:$L$1090,1),"")</f>
        <v>8</v>
      </c>
      <c r="N634" s="12" t="n">
        <f aca="false">IF(L634=1,1+COUNTIFS($C$2:$C$1090,C634,$L$2:$L$1090,1,$G$2:$G$1090,"&gt;"&amp;G634),"")</f>
        <v>2</v>
      </c>
      <c r="O634" s="12" t="n">
        <f aca="false">IF(L634=1,1+COUNTIFS($C$2:$C$1090,C634,$L$2:$L$1090,1,$H$2:$H$1090,"&gt;"&amp;H634),"")</f>
        <v>3</v>
      </c>
      <c r="P634" s="12" t="n">
        <f aca="false">IF(L634=1,N634-O634,"")</f>
        <v>-1</v>
      </c>
      <c r="Q634" s="12" t="n">
        <f aca="false">INDEX(Directions!$D$2:$D$100,MATCH(C634,Directions!$A$2:$A$100,0))</f>
        <v>0</v>
      </c>
      <c r="R634" s="12" t="n">
        <f aca="false">IF(L634=1,P634*Q634,"")</f>
        <v>-0</v>
      </c>
      <c r="S634" s="12" t="str">
        <f aca="false">IF(L634&lt;&gt;1,"Excluded",IF(Q634=0,"No direction",IF(R634&gt;0,"Better",IF(R634&lt;0,"Worse","No change"))))</f>
        <v>No direction</v>
      </c>
      <c r="T634" s="12"/>
      <c r="U634" s="12" t="str">
        <f aca="false">C634&amp;"|"&amp;E634</f>
        <v>F7_13|NLD</v>
      </c>
    </row>
    <row r="635" customFormat="false" ht="15" hidden="false" customHeight="false" outlineLevel="0" collapsed="false">
      <c r="A635" s="12" t="n">
        <v>7</v>
      </c>
      <c r="B635" s="12" t="s">
        <v>321</v>
      </c>
      <c r="C635" s="12" t="s">
        <v>170</v>
      </c>
      <c r="D635" s="12" t="s">
        <v>171</v>
      </c>
      <c r="E635" s="12" t="s">
        <v>33</v>
      </c>
      <c r="F635" s="12" t="s">
        <v>33</v>
      </c>
      <c r="G635" s="12" t="s">
        <v>302</v>
      </c>
      <c r="H635" s="12" t="n">
        <v>325</v>
      </c>
      <c r="I635" s="12" t="s">
        <v>293</v>
      </c>
      <c r="J635" s="12" t="s">
        <v>302</v>
      </c>
      <c r="K635" s="12" t="n">
        <v>2</v>
      </c>
      <c r="L635" s="28" t="n">
        <v>0</v>
      </c>
      <c r="M635" s="12" t="str">
        <f aca="false">IF(L635=1,COUNTIFS($C$2:$C$1090,C635,$L$2:$L$1090,1),"")</f>
        <v/>
      </c>
      <c r="N635" s="12" t="str">
        <f aca="false">IF(L635=1,1+COUNTIFS($C$2:$C$1090,C635,$L$2:$L$1090,1,$G$2:$G$1090,"&gt;"&amp;G635),"")</f>
        <v/>
      </c>
      <c r="O635" s="12" t="str">
        <f aca="false">IF(L635=1,1+COUNTIFS($C$2:$C$1090,C635,$L$2:$L$1090,1,$H$2:$H$1090,"&gt;"&amp;H635),"")</f>
        <v/>
      </c>
      <c r="P635" s="12" t="str">
        <f aca="false">IF(L635=1,N635-O635,"")</f>
        <v/>
      </c>
      <c r="Q635" s="12" t="n">
        <f aca="false">INDEX(Directions!$D$2:$D$100,MATCH(C635,Directions!$A$2:$A$100,0))</f>
        <v>0</v>
      </c>
      <c r="R635" s="12" t="str">
        <f aca="false">IF(L635=1,P635*Q635,"")</f>
        <v/>
      </c>
      <c r="S635" s="12" t="str">
        <f aca="false">IF(L635&lt;&gt;1,"Excluded",IF(Q635=0,"No direction",IF(R635&gt;0,"Better",IF(R635&lt;0,"Worse","No change"))))</f>
        <v>Excluded</v>
      </c>
      <c r="T635" s="12" t="s">
        <v>311</v>
      </c>
      <c r="U635" s="12" t="str">
        <f aca="false">C635&amp;"|"&amp;E635</f>
        <v>F7_13|CHE</v>
      </c>
    </row>
    <row r="636" customFormat="false" ht="15" hidden="false" customHeight="false" outlineLevel="0" collapsed="false">
      <c r="A636" s="12" t="n">
        <v>7</v>
      </c>
      <c r="B636" s="12" t="s">
        <v>321</v>
      </c>
      <c r="C636" s="12" t="s">
        <v>170</v>
      </c>
      <c r="D636" s="12" t="s">
        <v>171</v>
      </c>
      <c r="E636" s="12" t="s">
        <v>287</v>
      </c>
      <c r="F636" s="12" t="s">
        <v>34</v>
      </c>
      <c r="G636" s="12" t="n">
        <v>190</v>
      </c>
      <c r="H636" s="12" t="n">
        <v>148</v>
      </c>
      <c r="I636" s="12" t="s">
        <v>293</v>
      </c>
      <c r="J636" s="12" t="n">
        <v>7</v>
      </c>
      <c r="K636" s="12" t="n">
        <v>7</v>
      </c>
      <c r="L636" s="28" t="n">
        <v>1</v>
      </c>
      <c r="M636" s="12" t="n">
        <f aca="false">IF(L636=1,COUNTIFS($C$2:$C$1090,C636,$L$2:$L$1090,1),"")</f>
        <v>8</v>
      </c>
      <c r="N636" s="12" t="n">
        <f aca="false">IF(L636=1,1+COUNTIFS($C$2:$C$1090,C636,$L$2:$L$1090,1,$G$2:$G$1090,"&gt;"&amp;G636),"")</f>
        <v>5</v>
      </c>
      <c r="O636" s="12" t="n">
        <f aca="false">IF(L636=1,1+COUNTIFS($C$2:$C$1090,C636,$L$2:$L$1090,1,$H$2:$H$1090,"&gt;"&amp;H636),"")</f>
        <v>6</v>
      </c>
      <c r="P636" s="12" t="n">
        <f aca="false">IF(L636=1,N636-O636,"")</f>
        <v>-1</v>
      </c>
      <c r="Q636" s="12" t="n">
        <f aca="false">INDEX(Directions!$D$2:$D$100,MATCH(C636,Directions!$A$2:$A$100,0))</f>
        <v>0</v>
      </c>
      <c r="R636" s="12" t="n">
        <f aca="false">IF(L636=1,P636*Q636,"")</f>
        <v>-0</v>
      </c>
      <c r="S636" s="12" t="str">
        <f aca="false">IF(L636&lt;&gt;1,"Excluded",IF(Q636=0,"No direction",IF(R636&gt;0,"Better",IF(R636&lt;0,"Worse","No change"))))</f>
        <v>No direction</v>
      </c>
      <c r="T636" s="12"/>
      <c r="U636" s="12" t="str">
        <f aca="false">C636&amp;"|"&amp;E636</f>
        <v>F7_13|DNK</v>
      </c>
    </row>
    <row r="637" customFormat="false" ht="15" hidden="false" customHeight="false" outlineLevel="0" collapsed="false">
      <c r="A637" s="12" t="n">
        <v>7</v>
      </c>
      <c r="B637" s="12" t="s">
        <v>321</v>
      </c>
      <c r="C637" s="12" t="s">
        <v>170</v>
      </c>
      <c r="D637" s="12" t="s">
        <v>171</v>
      </c>
      <c r="E637" s="12" t="s">
        <v>288</v>
      </c>
      <c r="F637" s="12" t="s">
        <v>35</v>
      </c>
      <c r="G637" s="12" t="n">
        <v>157</v>
      </c>
      <c r="H637" s="12" t="n">
        <v>126</v>
      </c>
      <c r="I637" s="12" t="s">
        <v>293</v>
      </c>
      <c r="J637" s="12" t="n">
        <v>9</v>
      </c>
      <c r="K637" s="12" t="n">
        <v>8</v>
      </c>
      <c r="L637" s="28" t="n">
        <v>1</v>
      </c>
      <c r="M637" s="12" t="n">
        <f aca="false">IF(L637=1,COUNTIFS($C$2:$C$1090,C637,$L$2:$L$1090,1),"")</f>
        <v>8</v>
      </c>
      <c r="N637" s="12" t="n">
        <f aca="false">IF(L637=1,1+COUNTIFS($C$2:$C$1090,C637,$L$2:$L$1090,1,$G$2:$G$1090,"&gt;"&amp;G637),"")</f>
        <v>7</v>
      </c>
      <c r="O637" s="12" t="n">
        <f aca="false">IF(L637=1,1+COUNTIFS($C$2:$C$1090,C637,$L$2:$L$1090,1,$H$2:$H$1090,"&gt;"&amp;H637),"")</f>
        <v>7</v>
      </c>
      <c r="P637" s="12" t="n">
        <f aca="false">IF(L637=1,N637-O637,"")</f>
        <v>0</v>
      </c>
      <c r="Q637" s="12" t="n">
        <f aca="false">INDEX(Directions!$D$2:$D$100,MATCH(C637,Directions!$A$2:$A$100,0))</f>
        <v>0</v>
      </c>
      <c r="R637" s="12" t="n">
        <f aca="false">IF(L637=1,P637*Q637,"")</f>
        <v>0</v>
      </c>
      <c r="S637" s="12" t="str">
        <f aca="false">IF(L637&lt;&gt;1,"Excluded",IF(Q637=0,"No direction",IF(R637&gt;0,"Better",IF(R637&lt;0,"Worse","No change"))))</f>
        <v>No direction</v>
      </c>
      <c r="T637" s="12"/>
      <c r="U637" s="12" t="str">
        <f aca="false">C637&amp;"|"&amp;E637</f>
        <v>F7_13|CAN</v>
      </c>
    </row>
    <row r="638" customFormat="false" ht="15" hidden="false" customHeight="false" outlineLevel="0" collapsed="false">
      <c r="A638" s="12" t="n">
        <v>7</v>
      </c>
      <c r="B638" s="12" t="s">
        <v>321</v>
      </c>
      <c r="C638" s="12" t="s">
        <v>170</v>
      </c>
      <c r="D638" s="12" t="s">
        <v>171</v>
      </c>
      <c r="E638" s="12" t="s">
        <v>289</v>
      </c>
      <c r="F638" s="12" t="s">
        <v>36</v>
      </c>
      <c r="G638" s="12" t="n">
        <v>193</v>
      </c>
      <c r="H638" s="12" t="s">
        <v>302</v>
      </c>
      <c r="I638" s="12"/>
      <c r="J638" s="12" t="n">
        <v>6</v>
      </c>
      <c r="K638" s="12" t="s">
        <v>302</v>
      </c>
      <c r="L638" s="28" t="n">
        <v>0</v>
      </c>
      <c r="M638" s="12" t="str">
        <f aca="false">IF(L638=1,COUNTIFS($C$2:$C$1090,C638,$L$2:$L$1090,1),"")</f>
        <v/>
      </c>
      <c r="N638" s="12" t="str">
        <f aca="false">IF(L638=1,1+COUNTIFS($C$2:$C$1090,C638,$L$2:$L$1090,1,$G$2:$G$1090,"&gt;"&amp;G638),"")</f>
        <v/>
      </c>
      <c r="O638" s="12" t="str">
        <f aca="false">IF(L638=1,1+COUNTIFS($C$2:$C$1090,C638,$L$2:$L$1090,1,$H$2:$H$1090,"&gt;"&amp;H638),"")</f>
        <v/>
      </c>
      <c r="P638" s="12" t="str">
        <f aca="false">IF(L638=1,N638-O638,"")</f>
        <v/>
      </c>
      <c r="Q638" s="12" t="n">
        <f aca="false">INDEX(Directions!$D$2:$D$100,MATCH(C638,Directions!$A$2:$A$100,0))</f>
        <v>0</v>
      </c>
      <c r="R638" s="12" t="str">
        <f aca="false">IF(L638=1,P638*Q638,"")</f>
        <v/>
      </c>
      <c r="S638" s="12" t="str">
        <f aca="false">IF(L638&lt;&gt;1,"Excluded",IF(Q638=0,"No direction",IF(R638&gt;0,"Better",IF(R638&lt;0,"Worse","No change"))))</f>
        <v>Excluded</v>
      </c>
      <c r="T638" s="12" t="s">
        <v>303</v>
      </c>
      <c r="U638" s="12" t="str">
        <f aca="false">C638&amp;"|"&amp;E638</f>
        <v>F7_13|JPN</v>
      </c>
    </row>
    <row r="639" customFormat="false" ht="15" hidden="false" customHeight="false" outlineLevel="0" collapsed="false">
      <c r="A639" s="12" t="n">
        <v>7</v>
      </c>
      <c r="B639" s="12" t="s">
        <v>321</v>
      </c>
      <c r="C639" s="12" t="s">
        <v>170</v>
      </c>
      <c r="D639" s="12" t="s">
        <v>171</v>
      </c>
      <c r="E639" s="12" t="s">
        <v>290</v>
      </c>
      <c r="F639" s="12" t="s">
        <v>37</v>
      </c>
      <c r="G639" s="12" t="n">
        <v>172</v>
      </c>
      <c r="H639" s="12" t="n">
        <v>177</v>
      </c>
      <c r="I639" s="12" t="s">
        <v>293</v>
      </c>
      <c r="J639" s="12" t="n">
        <v>8</v>
      </c>
      <c r="K639" s="12" t="n">
        <v>5</v>
      </c>
      <c r="L639" s="28" t="n">
        <v>1</v>
      </c>
      <c r="M639" s="12" t="n">
        <f aca="false">IF(L639=1,COUNTIFS($C$2:$C$1090,C639,$L$2:$L$1090,1),"")</f>
        <v>8</v>
      </c>
      <c r="N639" s="12" t="n">
        <f aca="false">IF(L639=1,1+COUNTIFS($C$2:$C$1090,C639,$L$2:$L$1090,1,$G$2:$G$1090,"&gt;"&amp;G639),"")</f>
        <v>6</v>
      </c>
      <c r="O639" s="12" t="n">
        <f aca="false">IF(L639=1,1+COUNTIFS($C$2:$C$1090,C639,$L$2:$L$1090,1,$H$2:$H$1090,"&gt;"&amp;H639),"")</f>
        <v>4</v>
      </c>
      <c r="P639" s="12" t="n">
        <f aca="false">IF(L639=1,N639-O639,"")</f>
        <v>2</v>
      </c>
      <c r="Q639" s="12" t="n">
        <f aca="false">INDEX(Directions!$D$2:$D$100,MATCH(C639,Directions!$A$2:$A$100,0))</f>
        <v>0</v>
      </c>
      <c r="R639" s="12" t="n">
        <f aca="false">IF(L639=1,P639*Q639,"")</f>
        <v>0</v>
      </c>
      <c r="S639" s="12" t="str">
        <f aca="false">IF(L639&lt;&gt;1,"Excluded",IF(Q639=0,"No direction",IF(R639&gt;0,"Better",IF(R639&lt;0,"Worse","No change"))))</f>
        <v>No direction</v>
      </c>
      <c r="T639" s="12"/>
      <c r="U639" s="12" t="str">
        <f aca="false">C639&amp;"|"&amp;E639</f>
        <v>F7_13|AUS</v>
      </c>
    </row>
    <row r="640" customFormat="false" ht="15" hidden="false" customHeight="false" outlineLevel="0" collapsed="false">
      <c r="A640" s="12" t="n">
        <v>7</v>
      </c>
      <c r="B640" s="12" t="s">
        <v>321</v>
      </c>
      <c r="C640" s="12" t="s">
        <v>172</v>
      </c>
      <c r="D640" s="12" t="s">
        <v>173</v>
      </c>
      <c r="E640" s="12" t="s">
        <v>281</v>
      </c>
      <c r="F640" s="12" t="s">
        <v>27</v>
      </c>
      <c r="G640" s="12" t="n">
        <v>2</v>
      </c>
      <c r="H640" s="12" t="n">
        <v>2</v>
      </c>
      <c r="I640" s="12" t="s">
        <v>322</v>
      </c>
      <c r="J640" s="12" t="n">
        <v>8</v>
      </c>
      <c r="K640" s="12" t="n">
        <v>7</v>
      </c>
      <c r="L640" s="28" t="n">
        <v>1</v>
      </c>
      <c r="M640" s="12" t="n">
        <f aca="false">IF(L640=1,COUNTIFS($C$2:$C$1090,C640,$L$2:$L$1090,1),"")</f>
        <v>10</v>
      </c>
      <c r="N640" s="12" t="n">
        <f aca="false">IF(L640=1,1+COUNTIFS($C$2:$C$1090,C640,$L$2:$L$1090,1,$G$2:$G$1090,"&gt;"&amp;G640),"")</f>
        <v>7</v>
      </c>
      <c r="O640" s="12" t="n">
        <f aca="false">IF(L640=1,1+COUNTIFS($C$2:$C$1090,C640,$L$2:$L$1090,1,$H$2:$H$1090,"&gt;"&amp;H640),"")</f>
        <v>7</v>
      </c>
      <c r="P640" s="12" t="n">
        <f aca="false">IF(L640=1,N640-O640,"")</f>
        <v>0</v>
      </c>
      <c r="Q640" s="12" t="n">
        <f aca="false">INDEX(Directions!$D$2:$D$100,MATCH(C640,Directions!$A$2:$A$100,0))</f>
        <v>0</v>
      </c>
      <c r="R640" s="12" t="n">
        <f aca="false">IF(L640=1,P640*Q640,"")</f>
        <v>0</v>
      </c>
      <c r="S640" s="12" t="str">
        <f aca="false">IF(L640&lt;&gt;1,"Excluded",IF(Q640=0,"No direction",IF(R640&gt;0,"Better",IF(R640&lt;0,"Worse","No change"))))</f>
        <v>No direction</v>
      </c>
      <c r="T640" s="12" t="s">
        <v>323</v>
      </c>
      <c r="U640" s="12" t="str">
        <f aca="false">C640&amp;"|"&amp;E640</f>
        <v>F7_14|USA</v>
      </c>
    </row>
    <row r="641" customFormat="false" ht="15" hidden="false" customHeight="false" outlineLevel="0" collapsed="false">
      <c r="A641" s="12" t="n">
        <v>7</v>
      </c>
      <c r="B641" s="12" t="s">
        <v>321</v>
      </c>
      <c r="C641" s="12" t="s">
        <v>172</v>
      </c>
      <c r="D641" s="12" t="s">
        <v>173</v>
      </c>
      <c r="E641" s="12" t="s">
        <v>283</v>
      </c>
      <c r="F641" s="12" t="s">
        <v>28</v>
      </c>
      <c r="G641" s="12" t="n">
        <v>1.5</v>
      </c>
      <c r="H641" s="12" t="n">
        <v>1.5</v>
      </c>
      <c r="I641" s="12" t="s">
        <v>293</v>
      </c>
      <c r="J641" s="12" t="n">
        <v>11</v>
      </c>
      <c r="K641" s="12" t="n">
        <v>9</v>
      </c>
      <c r="L641" s="28" t="n">
        <v>1</v>
      </c>
      <c r="M641" s="12" t="n">
        <f aca="false">IF(L641=1,COUNTIFS($C$2:$C$1090,C641,$L$2:$L$1090,1),"")</f>
        <v>10</v>
      </c>
      <c r="N641" s="12" t="n">
        <f aca="false">IF(L641=1,1+COUNTIFS($C$2:$C$1090,C641,$L$2:$L$1090,1,$G$2:$G$1090,"&gt;"&amp;G641),"")</f>
        <v>10</v>
      </c>
      <c r="O641" s="12" t="n">
        <f aca="false">IF(L641=1,1+COUNTIFS($C$2:$C$1090,C641,$L$2:$L$1090,1,$H$2:$H$1090,"&gt;"&amp;H641),"")</f>
        <v>9</v>
      </c>
      <c r="P641" s="12" t="n">
        <f aca="false">IF(L641=1,N641-O641,"")</f>
        <v>1</v>
      </c>
      <c r="Q641" s="12" t="n">
        <f aca="false">INDEX(Directions!$D$2:$D$100,MATCH(C641,Directions!$A$2:$A$100,0))</f>
        <v>0</v>
      </c>
      <c r="R641" s="12" t="n">
        <f aca="false">IF(L641=1,P641*Q641,"")</f>
        <v>0</v>
      </c>
      <c r="S641" s="12" t="str">
        <f aca="false">IF(L641&lt;&gt;1,"Excluded",IF(Q641=0,"No direction",IF(R641&gt;0,"Better",IF(R641&lt;0,"Worse","No change"))))</f>
        <v>No direction</v>
      </c>
      <c r="T641" s="12"/>
      <c r="U641" s="12" t="str">
        <f aca="false">C641&amp;"|"&amp;E641</f>
        <v>F7_14|GBR</v>
      </c>
    </row>
    <row r="642" customFormat="false" ht="15" hidden="false" customHeight="false" outlineLevel="0" collapsed="false">
      <c r="A642" s="12" t="n">
        <v>7</v>
      </c>
      <c r="B642" s="12" t="s">
        <v>321</v>
      </c>
      <c r="C642" s="12" t="s">
        <v>172</v>
      </c>
      <c r="D642" s="12" t="s">
        <v>173</v>
      </c>
      <c r="E642" s="12" t="s">
        <v>284</v>
      </c>
      <c r="F642" s="12" t="s">
        <v>29</v>
      </c>
      <c r="G642" s="12" t="n">
        <v>2.9</v>
      </c>
      <c r="H642" s="12" t="n">
        <v>2.9</v>
      </c>
      <c r="I642" s="12" t="s">
        <v>293</v>
      </c>
      <c r="J642" s="12" t="n">
        <v>4</v>
      </c>
      <c r="K642" s="12" t="n">
        <v>2</v>
      </c>
      <c r="L642" s="28" t="n">
        <v>1</v>
      </c>
      <c r="M642" s="12" t="n">
        <f aca="false">IF(L642=1,COUNTIFS($C$2:$C$1090,C642,$L$2:$L$1090,1),"")</f>
        <v>10</v>
      </c>
      <c r="N642" s="12" t="n">
        <f aca="false">IF(L642=1,1+COUNTIFS($C$2:$C$1090,C642,$L$2:$L$1090,1,$G$2:$G$1090,"&gt;"&amp;G642),"")</f>
        <v>3</v>
      </c>
      <c r="O642" s="12" t="n">
        <f aca="false">IF(L642=1,1+COUNTIFS($C$2:$C$1090,C642,$L$2:$L$1090,1,$H$2:$H$1090,"&gt;"&amp;H642),"")</f>
        <v>2</v>
      </c>
      <c r="P642" s="12" t="n">
        <f aca="false">IF(L642=1,N642-O642,"")</f>
        <v>1</v>
      </c>
      <c r="Q642" s="12" t="n">
        <f aca="false">INDEX(Directions!$D$2:$D$100,MATCH(C642,Directions!$A$2:$A$100,0))</f>
        <v>0</v>
      </c>
      <c r="R642" s="12" t="n">
        <f aca="false">IF(L642=1,P642*Q642,"")</f>
        <v>0</v>
      </c>
      <c r="S642" s="12" t="str">
        <f aca="false">IF(L642&lt;&gt;1,"Excluded",IF(Q642=0,"No direction",IF(R642&gt;0,"Better",IF(R642&lt;0,"Worse","No change"))))</f>
        <v>No direction</v>
      </c>
      <c r="T642" s="12"/>
      <c r="U642" s="12" t="str">
        <f aca="false">C642&amp;"|"&amp;E642</f>
        <v>F7_14|DEU</v>
      </c>
    </row>
    <row r="643" customFormat="false" ht="15" hidden="false" customHeight="false" outlineLevel="0" collapsed="false">
      <c r="A643" s="12" t="n">
        <v>7</v>
      </c>
      <c r="B643" s="12" t="s">
        <v>321</v>
      </c>
      <c r="C643" s="12" t="s">
        <v>172</v>
      </c>
      <c r="D643" s="12" t="s">
        <v>173</v>
      </c>
      <c r="E643" s="12" t="s">
        <v>285</v>
      </c>
      <c r="F643" s="12" t="s">
        <v>30</v>
      </c>
      <c r="G643" s="12" t="n">
        <v>2.3</v>
      </c>
      <c r="H643" s="12" t="n">
        <v>2.3</v>
      </c>
      <c r="I643" s="12" t="s">
        <v>293</v>
      </c>
      <c r="J643" s="12" t="n">
        <v>7</v>
      </c>
      <c r="K643" s="12" t="n">
        <v>5</v>
      </c>
      <c r="L643" s="28" t="n">
        <v>1</v>
      </c>
      <c r="M643" s="12" t="n">
        <f aca="false">IF(L643=1,COUNTIFS($C$2:$C$1090,C643,$L$2:$L$1090,1),"")</f>
        <v>10</v>
      </c>
      <c r="N643" s="12" t="n">
        <f aca="false">IF(L643=1,1+COUNTIFS($C$2:$C$1090,C643,$L$2:$L$1090,1,$G$2:$G$1090,"&gt;"&amp;G643),"")</f>
        <v>6</v>
      </c>
      <c r="O643" s="12" t="n">
        <f aca="false">IF(L643=1,1+COUNTIFS($C$2:$C$1090,C643,$L$2:$L$1090,1,$H$2:$H$1090,"&gt;"&amp;H643),"")</f>
        <v>5</v>
      </c>
      <c r="P643" s="12" t="n">
        <f aca="false">IF(L643=1,N643-O643,"")</f>
        <v>1</v>
      </c>
      <c r="Q643" s="12" t="n">
        <f aca="false">INDEX(Directions!$D$2:$D$100,MATCH(C643,Directions!$A$2:$A$100,0))</f>
        <v>0</v>
      </c>
      <c r="R643" s="12" t="n">
        <f aca="false">IF(L643=1,P643*Q643,"")</f>
        <v>0</v>
      </c>
      <c r="S643" s="12" t="str">
        <f aca="false">IF(L643&lt;&gt;1,"Excluded",IF(Q643=0,"No direction",IF(R643&gt;0,"Better",IF(R643&lt;0,"Worse","No change"))))</f>
        <v>No direction</v>
      </c>
      <c r="T643" s="12"/>
      <c r="U643" s="12" t="str">
        <f aca="false">C643&amp;"|"&amp;E643</f>
        <v>F7_14|SWE</v>
      </c>
    </row>
    <row r="644" customFormat="false" ht="15" hidden="false" customHeight="false" outlineLevel="0" collapsed="false">
      <c r="A644" s="12" t="n">
        <v>7</v>
      </c>
      <c r="B644" s="12" t="s">
        <v>321</v>
      </c>
      <c r="C644" s="12" t="s">
        <v>172</v>
      </c>
      <c r="D644" s="12" t="s">
        <v>173</v>
      </c>
      <c r="E644" s="12" t="s">
        <v>286</v>
      </c>
      <c r="F644" s="12" t="s">
        <v>31</v>
      </c>
      <c r="G644" s="12" t="n">
        <v>4.1</v>
      </c>
      <c r="H644" s="12" t="n">
        <v>3.9</v>
      </c>
      <c r="I644" s="12" t="s">
        <v>293</v>
      </c>
      <c r="J644" s="12" t="n">
        <v>2</v>
      </c>
      <c r="K644" s="12" t="n">
        <v>1</v>
      </c>
      <c r="L644" s="28" t="n">
        <v>1</v>
      </c>
      <c r="M644" s="12" t="n">
        <f aca="false">IF(L644=1,COUNTIFS($C$2:$C$1090,C644,$L$2:$L$1090,1),"")</f>
        <v>10</v>
      </c>
      <c r="N644" s="12" t="n">
        <f aca="false">IF(L644=1,1+COUNTIFS($C$2:$C$1090,C644,$L$2:$L$1090,1,$G$2:$G$1090,"&gt;"&amp;G644),"")</f>
        <v>1</v>
      </c>
      <c r="O644" s="12" t="n">
        <f aca="false">IF(L644=1,1+COUNTIFS($C$2:$C$1090,C644,$L$2:$L$1090,1,$H$2:$H$1090,"&gt;"&amp;H644),"")</f>
        <v>1</v>
      </c>
      <c r="P644" s="12" t="n">
        <f aca="false">IF(L644=1,N644-O644,"")</f>
        <v>0</v>
      </c>
      <c r="Q644" s="12" t="n">
        <f aca="false">INDEX(Directions!$D$2:$D$100,MATCH(C644,Directions!$A$2:$A$100,0))</f>
        <v>0</v>
      </c>
      <c r="R644" s="12" t="n">
        <f aca="false">IF(L644=1,P644*Q644,"")</f>
        <v>0</v>
      </c>
      <c r="S644" s="12" t="str">
        <f aca="false">IF(L644&lt;&gt;1,"Excluded",IF(Q644=0,"No direction",IF(R644&gt;0,"Better",IF(R644&lt;0,"Worse","No change"))))</f>
        <v>No direction</v>
      </c>
      <c r="T644" s="12"/>
      <c r="U644" s="12" t="str">
        <f aca="false">C644&amp;"|"&amp;E644</f>
        <v>F7_14|FRA</v>
      </c>
    </row>
    <row r="645" customFormat="false" ht="15" hidden="false" customHeight="false" outlineLevel="0" collapsed="false">
      <c r="A645" s="12" t="n">
        <v>7</v>
      </c>
      <c r="B645" s="12" t="s">
        <v>321</v>
      </c>
      <c r="C645" s="12" t="s">
        <v>172</v>
      </c>
      <c r="D645" s="12" t="s">
        <v>173</v>
      </c>
      <c r="E645" s="12" t="s">
        <v>32</v>
      </c>
      <c r="F645" s="12" t="s">
        <v>32</v>
      </c>
      <c r="G645" s="12" t="n">
        <v>1.9</v>
      </c>
      <c r="H645" s="12" t="n">
        <v>1.6</v>
      </c>
      <c r="I645" s="12" t="s">
        <v>291</v>
      </c>
      <c r="J645" s="12" t="n">
        <v>9</v>
      </c>
      <c r="K645" s="12" t="n">
        <v>8</v>
      </c>
      <c r="L645" s="28" t="n">
        <v>1</v>
      </c>
      <c r="M645" s="12" t="n">
        <f aca="false">IF(L645=1,COUNTIFS($C$2:$C$1090,C645,$L$2:$L$1090,1),"")</f>
        <v>10</v>
      </c>
      <c r="N645" s="12" t="n">
        <f aca="false">IF(L645=1,1+COUNTIFS($C$2:$C$1090,C645,$L$2:$L$1090,1,$G$2:$G$1090,"&gt;"&amp;G645),"")</f>
        <v>8</v>
      </c>
      <c r="O645" s="12" t="n">
        <f aca="false">IF(L645=1,1+COUNTIFS($C$2:$C$1090,C645,$L$2:$L$1090,1,$H$2:$H$1090,"&gt;"&amp;H645),"")</f>
        <v>8</v>
      </c>
      <c r="P645" s="12" t="n">
        <f aca="false">IF(L645=1,N645-O645,"")</f>
        <v>0</v>
      </c>
      <c r="Q645" s="12" t="n">
        <f aca="false">INDEX(Directions!$D$2:$D$100,MATCH(C645,Directions!$A$2:$A$100,0))</f>
        <v>0</v>
      </c>
      <c r="R645" s="12" t="n">
        <f aca="false">IF(L645=1,P645*Q645,"")</f>
        <v>0</v>
      </c>
      <c r="S645" s="12" t="str">
        <f aca="false">IF(L645&lt;&gt;1,"Excluded",IF(Q645=0,"No direction",IF(R645&gt;0,"Better",IF(R645&lt;0,"Worse","No change"))))</f>
        <v>No direction</v>
      </c>
      <c r="T645" s="12"/>
      <c r="U645" s="12" t="str">
        <f aca="false">C645&amp;"|"&amp;E645</f>
        <v>F7_14|NLD</v>
      </c>
    </row>
    <row r="646" customFormat="false" ht="15" hidden="false" customHeight="false" outlineLevel="0" collapsed="false">
      <c r="A646" s="12" t="n">
        <v>7</v>
      </c>
      <c r="B646" s="12" t="s">
        <v>321</v>
      </c>
      <c r="C646" s="12" t="s">
        <v>172</v>
      </c>
      <c r="D646" s="12" t="s">
        <v>173</v>
      </c>
      <c r="E646" s="12" t="s">
        <v>33</v>
      </c>
      <c r="F646" s="12" t="s">
        <v>33</v>
      </c>
      <c r="G646" s="12" t="n">
        <v>3.6</v>
      </c>
      <c r="H646" s="12" t="n">
        <v>2.7</v>
      </c>
      <c r="I646" s="12" t="s">
        <v>293</v>
      </c>
      <c r="J646" s="12" t="n">
        <v>3</v>
      </c>
      <c r="K646" s="12" t="n">
        <v>3</v>
      </c>
      <c r="L646" s="28" t="n">
        <v>1</v>
      </c>
      <c r="M646" s="12" t="n">
        <f aca="false">IF(L646=1,COUNTIFS($C$2:$C$1090,C646,$L$2:$L$1090,1),"")</f>
        <v>10</v>
      </c>
      <c r="N646" s="12" t="n">
        <f aca="false">IF(L646=1,1+COUNTIFS($C$2:$C$1090,C646,$L$2:$L$1090,1,$G$2:$G$1090,"&gt;"&amp;G646),"")</f>
        <v>2</v>
      </c>
      <c r="O646" s="12" t="n">
        <f aca="false">IF(L646=1,1+COUNTIFS($C$2:$C$1090,C646,$L$2:$L$1090,1,$H$2:$H$1090,"&gt;"&amp;H646),"")</f>
        <v>3</v>
      </c>
      <c r="P646" s="12" t="n">
        <f aca="false">IF(L646=1,N646-O646,"")</f>
        <v>-1</v>
      </c>
      <c r="Q646" s="12" t="n">
        <f aca="false">INDEX(Directions!$D$2:$D$100,MATCH(C646,Directions!$A$2:$A$100,0))</f>
        <v>0</v>
      </c>
      <c r="R646" s="12" t="n">
        <f aca="false">IF(L646=1,P646*Q646,"")</f>
        <v>-0</v>
      </c>
      <c r="S646" s="12" t="str">
        <f aca="false">IF(L646&lt;&gt;1,"Excluded",IF(Q646=0,"No direction",IF(R646&gt;0,"Better",IF(R646&lt;0,"Worse","No change"))))</f>
        <v>No direction</v>
      </c>
      <c r="T646" s="12"/>
      <c r="U646" s="12" t="str">
        <f aca="false">C646&amp;"|"&amp;E646</f>
        <v>F7_14|CHE</v>
      </c>
    </row>
    <row r="647" customFormat="false" ht="15" hidden="false" customHeight="false" outlineLevel="0" collapsed="false">
      <c r="A647" s="12" t="n">
        <v>7</v>
      </c>
      <c r="B647" s="12" t="s">
        <v>321</v>
      </c>
      <c r="C647" s="12" t="s">
        <v>172</v>
      </c>
      <c r="D647" s="12" t="s">
        <v>173</v>
      </c>
      <c r="E647" s="12" t="s">
        <v>287</v>
      </c>
      <c r="F647" s="12" t="s">
        <v>34</v>
      </c>
      <c r="G647" s="12" t="n">
        <v>2.7</v>
      </c>
      <c r="H647" s="12" t="n">
        <v>2.2</v>
      </c>
      <c r="I647" s="12" t="s">
        <v>291</v>
      </c>
      <c r="J647" s="12" t="n">
        <v>5</v>
      </c>
      <c r="K647" s="12" t="n">
        <v>6</v>
      </c>
      <c r="L647" s="28" t="n">
        <v>1</v>
      </c>
      <c r="M647" s="12" t="n">
        <f aca="false">IF(L647=1,COUNTIFS($C$2:$C$1090,C647,$L$2:$L$1090,1),"")</f>
        <v>10</v>
      </c>
      <c r="N647" s="12" t="n">
        <f aca="false">IF(L647=1,1+COUNTIFS($C$2:$C$1090,C647,$L$2:$L$1090,1,$G$2:$G$1090,"&gt;"&amp;G647),"")</f>
        <v>4</v>
      </c>
      <c r="O647" s="12" t="n">
        <f aca="false">IF(L647=1,1+COUNTIFS($C$2:$C$1090,C647,$L$2:$L$1090,1,$H$2:$H$1090,"&gt;"&amp;H647),"")</f>
        <v>6</v>
      </c>
      <c r="P647" s="12" t="n">
        <f aca="false">IF(L647=1,N647-O647,"")</f>
        <v>-2</v>
      </c>
      <c r="Q647" s="12" t="n">
        <f aca="false">INDEX(Directions!$D$2:$D$100,MATCH(C647,Directions!$A$2:$A$100,0))</f>
        <v>0</v>
      </c>
      <c r="R647" s="12" t="n">
        <f aca="false">IF(L647=1,P647*Q647,"")</f>
        <v>-0</v>
      </c>
      <c r="S647" s="12" t="str">
        <f aca="false">IF(L647&lt;&gt;1,"Excluded",IF(Q647=0,"No direction",IF(R647&gt;0,"Better",IF(R647&lt;0,"Worse","No change"))))</f>
        <v>No direction</v>
      </c>
      <c r="T647" s="12"/>
      <c r="U647" s="12" t="str">
        <f aca="false">C647&amp;"|"&amp;E647</f>
        <v>F7_14|DNK</v>
      </c>
    </row>
    <row r="648" customFormat="false" ht="15" hidden="false" customHeight="false" outlineLevel="0" collapsed="false">
      <c r="A648" s="12" t="n">
        <v>7</v>
      </c>
      <c r="B648" s="12" t="s">
        <v>321</v>
      </c>
      <c r="C648" s="12" t="s">
        <v>172</v>
      </c>
      <c r="D648" s="12" t="s">
        <v>173</v>
      </c>
      <c r="E648" s="12" t="s">
        <v>288</v>
      </c>
      <c r="F648" s="12" t="s">
        <v>35</v>
      </c>
      <c r="G648" s="12" t="n">
        <v>1.6</v>
      </c>
      <c r="H648" s="12" t="n">
        <v>1.5</v>
      </c>
      <c r="I648" s="12" t="s">
        <v>293</v>
      </c>
      <c r="J648" s="12" t="n">
        <v>10</v>
      </c>
      <c r="K648" s="12" t="n">
        <v>10</v>
      </c>
      <c r="L648" s="28" t="n">
        <v>1</v>
      </c>
      <c r="M648" s="12" t="n">
        <f aca="false">IF(L648=1,COUNTIFS($C$2:$C$1090,C648,$L$2:$L$1090,1),"")</f>
        <v>10</v>
      </c>
      <c r="N648" s="12" t="n">
        <f aca="false">IF(L648=1,1+COUNTIFS($C$2:$C$1090,C648,$L$2:$L$1090,1,$G$2:$G$1090,"&gt;"&amp;G648),"")</f>
        <v>9</v>
      </c>
      <c r="O648" s="12" t="n">
        <f aca="false">IF(L648=1,1+COUNTIFS($C$2:$C$1090,C648,$L$2:$L$1090,1,$H$2:$H$1090,"&gt;"&amp;H648),"")</f>
        <v>9</v>
      </c>
      <c r="P648" s="12" t="n">
        <f aca="false">IF(L648=1,N648-O648,"")</f>
        <v>0</v>
      </c>
      <c r="Q648" s="12" t="n">
        <f aca="false">INDEX(Directions!$D$2:$D$100,MATCH(C648,Directions!$A$2:$A$100,0))</f>
        <v>0</v>
      </c>
      <c r="R648" s="12" t="n">
        <f aca="false">IF(L648=1,P648*Q648,"")</f>
        <v>0</v>
      </c>
      <c r="S648" s="12" t="str">
        <f aca="false">IF(L648&lt;&gt;1,"Excluded",IF(Q648=0,"No direction",IF(R648&gt;0,"Better",IF(R648&lt;0,"Worse","No change"))))</f>
        <v>No direction</v>
      </c>
      <c r="T648" s="12"/>
      <c r="U648" s="12" t="str">
        <f aca="false">C648&amp;"|"&amp;E648</f>
        <v>F7_14|CAN</v>
      </c>
    </row>
    <row r="649" customFormat="false" ht="15" hidden="false" customHeight="false" outlineLevel="0" collapsed="false">
      <c r="A649" s="12" t="n">
        <v>7</v>
      </c>
      <c r="B649" s="12" t="s">
        <v>321</v>
      </c>
      <c r="C649" s="12" t="s">
        <v>172</v>
      </c>
      <c r="D649" s="12" t="s">
        <v>173</v>
      </c>
      <c r="E649" s="12" t="s">
        <v>289</v>
      </c>
      <c r="F649" s="12" t="s">
        <v>36</v>
      </c>
      <c r="G649" s="12" t="n">
        <v>5.7</v>
      </c>
      <c r="H649" s="12" t="s">
        <v>302</v>
      </c>
      <c r="I649" s="12"/>
      <c r="J649" s="12" t="n">
        <v>1</v>
      </c>
      <c r="K649" s="12" t="s">
        <v>302</v>
      </c>
      <c r="L649" s="28" t="n">
        <v>0</v>
      </c>
      <c r="M649" s="12" t="str">
        <f aca="false">IF(L649=1,COUNTIFS($C$2:$C$1090,C649,$L$2:$L$1090,1),"")</f>
        <v/>
      </c>
      <c r="N649" s="12" t="str">
        <f aca="false">IF(L649=1,1+COUNTIFS($C$2:$C$1090,C649,$L$2:$L$1090,1,$G$2:$G$1090,"&gt;"&amp;G649),"")</f>
        <v/>
      </c>
      <c r="O649" s="12" t="str">
        <f aca="false">IF(L649=1,1+COUNTIFS($C$2:$C$1090,C649,$L$2:$L$1090,1,$H$2:$H$1090,"&gt;"&amp;H649),"")</f>
        <v/>
      </c>
      <c r="P649" s="12" t="str">
        <f aca="false">IF(L649=1,N649-O649,"")</f>
        <v/>
      </c>
      <c r="Q649" s="12" t="n">
        <f aca="false">INDEX(Directions!$D$2:$D$100,MATCH(C649,Directions!$A$2:$A$100,0))</f>
        <v>0</v>
      </c>
      <c r="R649" s="12" t="str">
        <f aca="false">IF(L649=1,P649*Q649,"")</f>
        <v/>
      </c>
      <c r="S649" s="12" t="str">
        <f aca="false">IF(L649&lt;&gt;1,"Excluded",IF(Q649=0,"No direction",IF(R649&gt;0,"Better",IF(R649&lt;0,"Worse","No change"))))</f>
        <v>Excluded</v>
      </c>
      <c r="T649" s="12" t="s">
        <v>303</v>
      </c>
      <c r="U649" s="12" t="str">
        <f aca="false">C649&amp;"|"&amp;E649</f>
        <v>F7_14|JPN</v>
      </c>
    </row>
    <row r="650" customFormat="false" ht="15" hidden="false" customHeight="false" outlineLevel="0" collapsed="false">
      <c r="A650" s="12" t="n">
        <v>7</v>
      </c>
      <c r="B650" s="12" t="s">
        <v>321</v>
      </c>
      <c r="C650" s="12" t="s">
        <v>172</v>
      </c>
      <c r="D650" s="12" t="s">
        <v>173</v>
      </c>
      <c r="E650" s="12" t="s">
        <v>290</v>
      </c>
      <c r="F650" s="12" t="s">
        <v>37</v>
      </c>
      <c r="G650" s="12" t="n">
        <v>2.7</v>
      </c>
      <c r="H650" s="12" t="n">
        <v>2.4</v>
      </c>
      <c r="I650" s="12" t="s">
        <v>293</v>
      </c>
      <c r="J650" s="12" t="n">
        <v>6</v>
      </c>
      <c r="K650" s="12" t="n">
        <v>4</v>
      </c>
      <c r="L650" s="28" t="n">
        <v>1</v>
      </c>
      <c r="M650" s="12" t="n">
        <f aca="false">IF(L650=1,COUNTIFS($C$2:$C$1090,C650,$L$2:$L$1090,1),"")</f>
        <v>10</v>
      </c>
      <c r="N650" s="12" t="n">
        <f aca="false">IF(L650=1,1+COUNTIFS($C$2:$C$1090,C650,$L$2:$L$1090,1,$G$2:$G$1090,"&gt;"&amp;G650),"")</f>
        <v>4</v>
      </c>
      <c r="O650" s="12" t="n">
        <f aca="false">IF(L650=1,1+COUNTIFS($C$2:$C$1090,C650,$L$2:$L$1090,1,$H$2:$H$1090,"&gt;"&amp;H650),"")</f>
        <v>4</v>
      </c>
      <c r="P650" s="12" t="n">
        <f aca="false">IF(L650=1,N650-O650,"")</f>
        <v>0</v>
      </c>
      <c r="Q650" s="12" t="n">
        <f aca="false">INDEX(Directions!$D$2:$D$100,MATCH(C650,Directions!$A$2:$A$100,0))</f>
        <v>0</v>
      </c>
      <c r="R650" s="12" t="n">
        <f aca="false">IF(L650=1,P650*Q650,"")</f>
        <v>0</v>
      </c>
      <c r="S650" s="12" t="str">
        <f aca="false">IF(L650&lt;&gt;1,"Excluded",IF(Q650=0,"No direction",IF(R650&gt;0,"Better",IF(R650&lt;0,"Worse","No change"))))</f>
        <v>No direction</v>
      </c>
      <c r="T650" s="12"/>
      <c r="U650" s="12" t="str">
        <f aca="false">C650&amp;"|"&amp;E650</f>
        <v>F7_14|AUS</v>
      </c>
    </row>
    <row r="651" customFormat="false" ht="15" hidden="false" customHeight="false" outlineLevel="0" collapsed="false">
      <c r="A651" s="12" t="n">
        <v>7</v>
      </c>
      <c r="B651" s="12" t="s">
        <v>321</v>
      </c>
      <c r="C651" s="12" t="s">
        <v>174</v>
      </c>
      <c r="D651" s="12" t="s">
        <v>147</v>
      </c>
      <c r="E651" s="12" t="s">
        <v>281</v>
      </c>
      <c r="F651" s="12" t="s">
        <v>27</v>
      </c>
      <c r="G651" s="12" t="n">
        <v>5.4</v>
      </c>
      <c r="H651" s="12" t="n">
        <v>5.4</v>
      </c>
      <c r="I651" s="12" t="s">
        <v>322</v>
      </c>
      <c r="J651" s="12" t="n">
        <v>7</v>
      </c>
      <c r="K651" s="12" t="n">
        <v>4</v>
      </c>
      <c r="L651" s="28" t="n">
        <v>1</v>
      </c>
      <c r="M651" s="12" t="n">
        <f aca="false">IF(L651=1,COUNTIFS($C$2:$C$1090,C651,$L$2:$L$1090,1),"")</f>
        <v>10</v>
      </c>
      <c r="N651" s="12" t="n">
        <f aca="false">IF(L651=1,1+COUNTIFS($C$2:$C$1090,C651,$L$2:$L$1090,1,$G$2:$G$1090,"&gt;"&amp;G651),"")</f>
        <v>7</v>
      </c>
      <c r="O651" s="12" t="n">
        <f aca="false">IF(L651=1,1+COUNTIFS($C$2:$C$1090,C651,$L$2:$L$1090,1,$H$2:$H$1090,"&gt;"&amp;H651),"")</f>
        <v>4</v>
      </c>
      <c r="P651" s="12" t="n">
        <f aca="false">IF(L651=1,N651-O651,"")</f>
        <v>3</v>
      </c>
      <c r="Q651" s="12" t="n">
        <f aca="false">INDEX(Directions!$D$2:$D$100,MATCH(C651,Directions!$A$2:$A$100,0))</f>
        <v>0</v>
      </c>
      <c r="R651" s="12" t="n">
        <f aca="false">IF(L651=1,P651*Q651,"")</f>
        <v>0</v>
      </c>
      <c r="S651" s="12" t="str">
        <f aca="false">IF(L651&lt;&gt;1,"Excluded",IF(Q651=0,"No direction",IF(R651&gt;0,"Better",IF(R651&lt;0,"Worse","No change"))))</f>
        <v>No direction</v>
      </c>
      <c r="T651" s="12" t="s">
        <v>323</v>
      </c>
      <c r="U651" s="12" t="str">
        <f aca="false">C651&amp;"|"&amp;E651</f>
        <v>F7_15|USA</v>
      </c>
    </row>
    <row r="652" customFormat="false" ht="15" hidden="false" customHeight="false" outlineLevel="0" collapsed="false">
      <c r="A652" s="12" t="n">
        <v>7</v>
      </c>
      <c r="B652" s="12" t="s">
        <v>321</v>
      </c>
      <c r="C652" s="12" t="s">
        <v>174</v>
      </c>
      <c r="D652" s="12" t="s">
        <v>147</v>
      </c>
      <c r="E652" s="12" t="s">
        <v>283</v>
      </c>
      <c r="F652" s="12" t="s">
        <v>28</v>
      </c>
      <c r="G652" s="12" t="n">
        <v>7.1</v>
      </c>
      <c r="H652" s="12" t="n">
        <v>7.7</v>
      </c>
      <c r="I652" s="12" t="s">
        <v>293</v>
      </c>
      <c r="J652" s="12" t="n">
        <v>3</v>
      </c>
      <c r="K652" s="12" t="n">
        <v>2</v>
      </c>
      <c r="L652" s="28" t="n">
        <v>1</v>
      </c>
      <c r="M652" s="12" t="n">
        <f aca="false">IF(L652=1,COUNTIFS($C$2:$C$1090,C652,$L$2:$L$1090,1),"")</f>
        <v>10</v>
      </c>
      <c r="N652" s="12" t="n">
        <f aca="false">IF(L652=1,1+COUNTIFS($C$2:$C$1090,C652,$L$2:$L$1090,1,$G$2:$G$1090,"&gt;"&amp;G652),"")</f>
        <v>3</v>
      </c>
      <c r="O652" s="12" t="n">
        <f aca="false">IF(L652=1,1+COUNTIFS($C$2:$C$1090,C652,$L$2:$L$1090,1,$H$2:$H$1090,"&gt;"&amp;H652),"")</f>
        <v>2</v>
      </c>
      <c r="P652" s="12" t="n">
        <f aca="false">IF(L652=1,N652-O652,"")</f>
        <v>1</v>
      </c>
      <c r="Q652" s="12" t="n">
        <f aca="false">INDEX(Directions!$D$2:$D$100,MATCH(C652,Directions!$A$2:$A$100,0))</f>
        <v>0</v>
      </c>
      <c r="R652" s="12" t="n">
        <f aca="false">IF(L652=1,P652*Q652,"")</f>
        <v>0</v>
      </c>
      <c r="S652" s="12" t="str">
        <f aca="false">IF(L652&lt;&gt;1,"Excluded",IF(Q652=0,"No direction",IF(R652&gt;0,"Better",IF(R652&lt;0,"Worse","No change"))))</f>
        <v>No direction</v>
      </c>
      <c r="T652" s="12"/>
      <c r="U652" s="12" t="str">
        <f aca="false">C652&amp;"|"&amp;E652</f>
        <v>F7_15|GBR</v>
      </c>
    </row>
    <row r="653" customFormat="false" ht="15" hidden="false" customHeight="false" outlineLevel="0" collapsed="false">
      <c r="A653" s="12" t="n">
        <v>7</v>
      </c>
      <c r="B653" s="12" t="s">
        <v>321</v>
      </c>
      <c r="C653" s="12" t="s">
        <v>174</v>
      </c>
      <c r="D653" s="12" t="s">
        <v>147</v>
      </c>
      <c r="E653" s="12" t="s">
        <v>284</v>
      </c>
      <c r="F653" s="12" t="s">
        <v>29</v>
      </c>
      <c r="G653" s="12" t="n">
        <v>10.3</v>
      </c>
      <c r="H653" s="12" t="n">
        <v>8.8</v>
      </c>
      <c r="I653" s="12" t="s">
        <v>293</v>
      </c>
      <c r="J653" s="12" t="n">
        <v>1</v>
      </c>
      <c r="K653" s="12" t="n">
        <v>1</v>
      </c>
      <c r="L653" s="28" t="n">
        <v>1</v>
      </c>
      <c r="M653" s="12" t="n">
        <f aca="false">IF(L653=1,COUNTIFS($C$2:$C$1090,C653,$L$2:$L$1090,1),"")</f>
        <v>10</v>
      </c>
      <c r="N653" s="12" t="n">
        <f aca="false">IF(L653=1,1+COUNTIFS($C$2:$C$1090,C653,$L$2:$L$1090,1,$G$2:$G$1090,"&gt;"&amp;G653),"")</f>
        <v>1</v>
      </c>
      <c r="O653" s="12" t="n">
        <f aca="false">IF(L653=1,1+COUNTIFS($C$2:$C$1090,C653,$L$2:$L$1090,1,$H$2:$H$1090,"&gt;"&amp;H653),"")</f>
        <v>1</v>
      </c>
      <c r="P653" s="12" t="n">
        <f aca="false">IF(L653=1,N653-O653,"")</f>
        <v>0</v>
      </c>
      <c r="Q653" s="12" t="n">
        <f aca="false">INDEX(Directions!$D$2:$D$100,MATCH(C653,Directions!$A$2:$A$100,0))</f>
        <v>0</v>
      </c>
      <c r="R653" s="12" t="n">
        <f aca="false">IF(L653=1,P653*Q653,"")</f>
        <v>0</v>
      </c>
      <c r="S653" s="12" t="str">
        <f aca="false">IF(L653&lt;&gt;1,"Excluded",IF(Q653=0,"No direction",IF(R653&gt;0,"Better",IF(R653&lt;0,"Worse","No change"))))</f>
        <v>No direction</v>
      </c>
      <c r="T653" s="12"/>
      <c r="U653" s="12" t="str">
        <f aca="false">C653&amp;"|"&amp;E653</f>
        <v>F7_15|DEU</v>
      </c>
    </row>
    <row r="654" customFormat="false" ht="15" hidden="false" customHeight="false" outlineLevel="0" collapsed="false">
      <c r="A654" s="12" t="n">
        <v>7</v>
      </c>
      <c r="B654" s="12" t="s">
        <v>321</v>
      </c>
      <c r="C654" s="12" t="s">
        <v>174</v>
      </c>
      <c r="D654" s="12" t="s">
        <v>147</v>
      </c>
      <c r="E654" s="12" t="s">
        <v>285</v>
      </c>
      <c r="F654" s="12" t="s">
        <v>30</v>
      </c>
      <c r="G654" s="12" t="n">
        <v>4.7</v>
      </c>
      <c r="H654" s="12" t="n">
        <v>3.8</v>
      </c>
      <c r="I654" s="12" t="s">
        <v>293</v>
      </c>
      <c r="J654" s="12" t="n">
        <v>9</v>
      </c>
      <c r="K654" s="12" t="n">
        <v>10</v>
      </c>
      <c r="L654" s="28" t="n">
        <v>1</v>
      </c>
      <c r="M654" s="12" t="n">
        <f aca="false">IF(L654=1,COUNTIFS($C$2:$C$1090,C654,$L$2:$L$1090,1),"")</f>
        <v>10</v>
      </c>
      <c r="N654" s="12" t="n">
        <f aca="false">IF(L654=1,1+COUNTIFS($C$2:$C$1090,C654,$L$2:$L$1090,1,$G$2:$G$1090,"&gt;"&amp;G654),"")</f>
        <v>9</v>
      </c>
      <c r="O654" s="12" t="n">
        <f aca="false">IF(L654=1,1+COUNTIFS($C$2:$C$1090,C654,$L$2:$L$1090,1,$H$2:$H$1090,"&gt;"&amp;H654),"")</f>
        <v>10</v>
      </c>
      <c r="P654" s="12" t="n">
        <f aca="false">IF(L654=1,N654-O654,"")</f>
        <v>-1</v>
      </c>
      <c r="Q654" s="12" t="n">
        <f aca="false">INDEX(Directions!$D$2:$D$100,MATCH(C654,Directions!$A$2:$A$100,0))</f>
        <v>0</v>
      </c>
      <c r="R654" s="12" t="n">
        <f aca="false">IF(L654=1,P654*Q654,"")</f>
        <v>-0</v>
      </c>
      <c r="S654" s="12" t="str">
        <f aca="false">IF(L654&lt;&gt;1,"Excluded",IF(Q654=0,"No direction",IF(R654&gt;0,"Better",IF(R654&lt;0,"Worse","No change"))))</f>
        <v>No direction</v>
      </c>
      <c r="T654" s="12"/>
      <c r="U654" s="12" t="str">
        <f aca="false">C654&amp;"|"&amp;E654</f>
        <v>F7_15|SWE</v>
      </c>
    </row>
    <row r="655" customFormat="false" ht="15" hidden="false" customHeight="false" outlineLevel="0" collapsed="false">
      <c r="A655" s="12" t="n">
        <v>7</v>
      </c>
      <c r="B655" s="12" t="s">
        <v>321</v>
      </c>
      <c r="C655" s="12" t="s">
        <v>174</v>
      </c>
      <c r="D655" s="12" t="s">
        <v>147</v>
      </c>
      <c r="E655" s="12" t="s">
        <v>286</v>
      </c>
      <c r="F655" s="12" t="s">
        <v>31</v>
      </c>
      <c r="G655" s="12" t="n">
        <v>6</v>
      </c>
      <c r="H655" s="12" t="n">
        <v>5.1</v>
      </c>
      <c r="I655" s="12" t="s">
        <v>293</v>
      </c>
      <c r="J655" s="12" t="n">
        <v>4</v>
      </c>
      <c r="K655" s="12" t="n">
        <v>6</v>
      </c>
      <c r="L655" s="28" t="n">
        <v>1</v>
      </c>
      <c r="M655" s="12" t="n">
        <f aca="false">IF(L655=1,COUNTIFS($C$2:$C$1090,C655,$L$2:$L$1090,1),"")</f>
        <v>10</v>
      </c>
      <c r="N655" s="12" t="n">
        <f aca="false">IF(L655=1,1+COUNTIFS($C$2:$C$1090,C655,$L$2:$L$1090,1,$G$2:$G$1090,"&gt;"&amp;G655),"")</f>
        <v>4</v>
      </c>
      <c r="O655" s="12" t="n">
        <f aca="false">IF(L655=1,1+COUNTIFS($C$2:$C$1090,C655,$L$2:$L$1090,1,$H$2:$H$1090,"&gt;"&amp;H655),"")</f>
        <v>6</v>
      </c>
      <c r="P655" s="12" t="n">
        <f aca="false">IF(L655=1,N655-O655,"")</f>
        <v>-2</v>
      </c>
      <c r="Q655" s="12" t="n">
        <f aca="false">INDEX(Directions!$D$2:$D$100,MATCH(C655,Directions!$A$2:$A$100,0))</f>
        <v>0</v>
      </c>
      <c r="R655" s="12" t="n">
        <f aca="false">IF(L655=1,P655*Q655,"")</f>
        <v>-0</v>
      </c>
      <c r="S655" s="12" t="str">
        <f aca="false">IF(L655&lt;&gt;1,"Excluded",IF(Q655=0,"No direction",IF(R655&gt;0,"Better",IF(R655&lt;0,"Worse","No change"))))</f>
        <v>No direction</v>
      </c>
      <c r="T655" s="12"/>
      <c r="U655" s="12" t="str">
        <f aca="false">C655&amp;"|"&amp;E655</f>
        <v>F7_15|FRA</v>
      </c>
    </row>
    <row r="656" customFormat="false" ht="15" hidden="false" customHeight="false" outlineLevel="0" collapsed="false">
      <c r="A656" s="12" t="n">
        <v>7</v>
      </c>
      <c r="B656" s="12" t="s">
        <v>321</v>
      </c>
      <c r="C656" s="12" t="s">
        <v>174</v>
      </c>
      <c r="D656" s="12" t="s">
        <v>147</v>
      </c>
      <c r="E656" s="12" t="s">
        <v>32</v>
      </c>
      <c r="F656" s="12" t="s">
        <v>32</v>
      </c>
      <c r="G656" s="12" t="n">
        <v>5.6</v>
      </c>
      <c r="H656" s="12" t="n">
        <v>4.2</v>
      </c>
      <c r="I656" s="12" t="s">
        <v>291</v>
      </c>
      <c r="J656" s="12" t="n">
        <v>5</v>
      </c>
      <c r="K656" s="12" t="n">
        <v>8</v>
      </c>
      <c r="L656" s="28" t="n">
        <v>1</v>
      </c>
      <c r="M656" s="12" t="n">
        <f aca="false">IF(L656=1,COUNTIFS($C$2:$C$1090,C656,$L$2:$L$1090,1),"")</f>
        <v>10</v>
      </c>
      <c r="N656" s="12" t="n">
        <f aca="false">IF(L656=1,1+COUNTIFS($C$2:$C$1090,C656,$L$2:$L$1090,1,$G$2:$G$1090,"&gt;"&amp;G656),"")</f>
        <v>5</v>
      </c>
      <c r="O656" s="12" t="n">
        <f aca="false">IF(L656=1,1+COUNTIFS($C$2:$C$1090,C656,$L$2:$L$1090,1,$H$2:$H$1090,"&gt;"&amp;H656),"")</f>
        <v>8</v>
      </c>
      <c r="P656" s="12" t="n">
        <f aca="false">IF(L656=1,N656-O656,"")</f>
        <v>-3</v>
      </c>
      <c r="Q656" s="12" t="n">
        <f aca="false">INDEX(Directions!$D$2:$D$100,MATCH(C656,Directions!$A$2:$A$100,0))</f>
        <v>0</v>
      </c>
      <c r="R656" s="12" t="n">
        <f aca="false">IF(L656=1,P656*Q656,"")</f>
        <v>-0</v>
      </c>
      <c r="S656" s="12" t="str">
        <f aca="false">IF(L656&lt;&gt;1,"Excluded",IF(Q656=0,"No direction",IF(R656&gt;0,"Better",IF(R656&lt;0,"Worse","No change"))))</f>
        <v>No direction</v>
      </c>
      <c r="T656" s="12"/>
      <c r="U656" s="12" t="str">
        <f aca="false">C656&amp;"|"&amp;E656</f>
        <v>F7_15|NLD</v>
      </c>
    </row>
    <row r="657" customFormat="false" ht="15" hidden="false" customHeight="false" outlineLevel="0" collapsed="false">
      <c r="A657" s="12" t="n">
        <v>7</v>
      </c>
      <c r="B657" s="12" t="s">
        <v>321</v>
      </c>
      <c r="C657" s="12" t="s">
        <v>174</v>
      </c>
      <c r="D657" s="12" t="s">
        <v>147</v>
      </c>
      <c r="E657" s="12" t="s">
        <v>33</v>
      </c>
      <c r="F657" s="12" t="s">
        <v>33</v>
      </c>
      <c r="G657" s="12" t="n">
        <v>7.3</v>
      </c>
      <c r="H657" s="12" t="n">
        <v>6.4</v>
      </c>
      <c r="I657" s="12" t="s">
        <v>293</v>
      </c>
      <c r="J657" s="12" t="n">
        <v>2</v>
      </c>
      <c r="K657" s="12" t="n">
        <v>3</v>
      </c>
      <c r="L657" s="28" t="n">
        <v>1</v>
      </c>
      <c r="M657" s="12" t="n">
        <f aca="false">IF(L657=1,COUNTIFS($C$2:$C$1090,C657,$L$2:$L$1090,1),"")</f>
        <v>10</v>
      </c>
      <c r="N657" s="12" t="n">
        <f aca="false">IF(L657=1,1+COUNTIFS($C$2:$C$1090,C657,$L$2:$L$1090,1,$G$2:$G$1090,"&gt;"&amp;G657),"")</f>
        <v>2</v>
      </c>
      <c r="O657" s="12" t="n">
        <f aca="false">IF(L657=1,1+COUNTIFS($C$2:$C$1090,C657,$L$2:$L$1090,1,$H$2:$H$1090,"&gt;"&amp;H657),"")</f>
        <v>3</v>
      </c>
      <c r="P657" s="12" t="n">
        <f aca="false">IF(L657=1,N657-O657,"")</f>
        <v>-1</v>
      </c>
      <c r="Q657" s="12" t="n">
        <f aca="false">INDEX(Directions!$D$2:$D$100,MATCH(C657,Directions!$A$2:$A$100,0))</f>
        <v>0</v>
      </c>
      <c r="R657" s="12" t="n">
        <f aca="false">IF(L657=1,P657*Q657,"")</f>
        <v>-0</v>
      </c>
      <c r="S657" s="12" t="str">
        <f aca="false">IF(L657&lt;&gt;1,"Excluded",IF(Q657=0,"No direction",IF(R657&gt;0,"Better",IF(R657&lt;0,"Worse","No change"))))</f>
        <v>No direction</v>
      </c>
      <c r="T657" s="12"/>
      <c r="U657" s="12" t="str">
        <f aca="false">C657&amp;"|"&amp;E657</f>
        <v>F7_15|CHE</v>
      </c>
    </row>
    <row r="658" customFormat="false" ht="15" hidden="false" customHeight="false" outlineLevel="0" collapsed="false">
      <c r="A658" s="12" t="n">
        <v>7</v>
      </c>
      <c r="B658" s="12" t="s">
        <v>321</v>
      </c>
      <c r="C658" s="12" t="s">
        <v>174</v>
      </c>
      <c r="D658" s="12" t="s">
        <v>147</v>
      </c>
      <c r="E658" s="12" t="s">
        <v>287</v>
      </c>
      <c r="F658" s="12" t="s">
        <v>34</v>
      </c>
      <c r="G658" s="12" t="n">
        <v>3.9</v>
      </c>
      <c r="H658" s="12" t="n">
        <v>4.2</v>
      </c>
      <c r="I658" s="12" t="s">
        <v>291</v>
      </c>
      <c r="J658" s="12" t="n">
        <v>10</v>
      </c>
      <c r="K658" s="12" t="n">
        <v>9</v>
      </c>
      <c r="L658" s="28" t="n">
        <v>1</v>
      </c>
      <c r="M658" s="12" t="n">
        <f aca="false">IF(L658=1,COUNTIFS($C$2:$C$1090,C658,$L$2:$L$1090,1),"")</f>
        <v>10</v>
      </c>
      <c r="N658" s="12" t="n">
        <f aca="false">IF(L658=1,1+COUNTIFS($C$2:$C$1090,C658,$L$2:$L$1090,1,$G$2:$G$1090,"&gt;"&amp;G658),"")</f>
        <v>10</v>
      </c>
      <c r="O658" s="12" t="n">
        <f aca="false">IF(L658=1,1+COUNTIFS($C$2:$C$1090,C658,$L$2:$L$1090,1,$H$2:$H$1090,"&gt;"&amp;H658),"")</f>
        <v>8</v>
      </c>
      <c r="P658" s="12" t="n">
        <f aca="false">IF(L658=1,N658-O658,"")</f>
        <v>2</v>
      </c>
      <c r="Q658" s="12" t="n">
        <f aca="false">INDEX(Directions!$D$2:$D$100,MATCH(C658,Directions!$A$2:$A$100,0))</f>
        <v>0</v>
      </c>
      <c r="R658" s="12" t="n">
        <f aca="false">IF(L658=1,P658*Q658,"")</f>
        <v>0</v>
      </c>
      <c r="S658" s="12" t="str">
        <f aca="false">IF(L658&lt;&gt;1,"Excluded",IF(Q658=0,"No direction",IF(R658&gt;0,"Better",IF(R658&lt;0,"Worse","No change"))))</f>
        <v>No direction</v>
      </c>
      <c r="T658" s="12"/>
      <c r="U658" s="12" t="str">
        <f aca="false">C658&amp;"|"&amp;E658</f>
        <v>F7_15|DNK</v>
      </c>
    </row>
    <row r="659" customFormat="false" ht="15" hidden="false" customHeight="false" outlineLevel="0" collapsed="false">
      <c r="A659" s="12" t="n">
        <v>7</v>
      </c>
      <c r="B659" s="12" t="s">
        <v>321</v>
      </c>
      <c r="C659" s="12" t="s">
        <v>174</v>
      </c>
      <c r="D659" s="12" t="s">
        <v>147</v>
      </c>
      <c r="E659" s="12" t="s">
        <v>288</v>
      </c>
      <c r="F659" s="12" t="s">
        <v>35</v>
      </c>
      <c r="G659" s="12" t="n">
        <v>5.5</v>
      </c>
      <c r="H659" s="12" t="n">
        <v>5.3</v>
      </c>
      <c r="I659" s="12" t="s">
        <v>293</v>
      </c>
      <c r="J659" s="12" t="n">
        <v>6</v>
      </c>
      <c r="K659" s="12" t="n">
        <v>5</v>
      </c>
      <c r="L659" s="28" t="n">
        <v>1</v>
      </c>
      <c r="M659" s="12" t="n">
        <f aca="false">IF(L659=1,COUNTIFS($C$2:$C$1090,C659,$L$2:$L$1090,1),"")</f>
        <v>10</v>
      </c>
      <c r="N659" s="12" t="n">
        <f aca="false">IF(L659=1,1+COUNTIFS($C$2:$C$1090,C659,$L$2:$L$1090,1,$G$2:$G$1090,"&gt;"&amp;G659),"")</f>
        <v>6</v>
      </c>
      <c r="O659" s="12" t="n">
        <f aca="false">IF(L659=1,1+COUNTIFS($C$2:$C$1090,C659,$L$2:$L$1090,1,$H$2:$H$1090,"&gt;"&amp;H659),"")</f>
        <v>5</v>
      </c>
      <c r="P659" s="12" t="n">
        <f aca="false">IF(L659=1,N659-O659,"")</f>
        <v>1</v>
      </c>
      <c r="Q659" s="12" t="n">
        <f aca="false">INDEX(Directions!$D$2:$D$100,MATCH(C659,Directions!$A$2:$A$100,0))</f>
        <v>0</v>
      </c>
      <c r="R659" s="12" t="n">
        <f aca="false">IF(L659=1,P659*Q659,"")</f>
        <v>0</v>
      </c>
      <c r="S659" s="12" t="str">
        <f aca="false">IF(L659&lt;&gt;1,"Excluded",IF(Q659=0,"No direction",IF(R659&gt;0,"Better",IF(R659&lt;0,"Worse","No change"))))</f>
        <v>No direction</v>
      </c>
      <c r="T659" s="12"/>
      <c r="U659" s="12" t="str">
        <f aca="false">C659&amp;"|"&amp;E659</f>
        <v>F7_15|CAN</v>
      </c>
    </row>
    <row r="660" customFormat="false" ht="15" hidden="false" customHeight="false" outlineLevel="0" collapsed="false">
      <c r="A660" s="12" t="n">
        <v>7</v>
      </c>
      <c r="B660" s="12" t="s">
        <v>321</v>
      </c>
      <c r="C660" s="12" t="s">
        <v>174</v>
      </c>
      <c r="D660" s="12" t="s">
        <v>147</v>
      </c>
      <c r="E660" s="12" t="s">
        <v>289</v>
      </c>
      <c r="F660" s="12" t="s">
        <v>36</v>
      </c>
      <c r="G660" s="12" t="s">
        <v>302</v>
      </c>
      <c r="H660" s="12" t="s">
        <v>302</v>
      </c>
      <c r="I660" s="12"/>
      <c r="J660" s="12" t="s">
        <v>302</v>
      </c>
      <c r="K660" s="12" t="s">
        <v>302</v>
      </c>
      <c r="L660" s="28" t="n">
        <v>0</v>
      </c>
      <c r="M660" s="12" t="str">
        <f aca="false">IF(L660=1,COUNTIFS($C$2:$C$1090,C660,$L$2:$L$1090,1),"")</f>
        <v/>
      </c>
      <c r="N660" s="12" t="str">
        <f aca="false">IF(L660=1,1+COUNTIFS($C$2:$C$1090,C660,$L$2:$L$1090,1,$G$2:$G$1090,"&gt;"&amp;G660),"")</f>
        <v/>
      </c>
      <c r="O660" s="12" t="str">
        <f aca="false">IF(L660=1,1+COUNTIFS($C$2:$C$1090,C660,$L$2:$L$1090,1,$H$2:$H$1090,"&gt;"&amp;H660),"")</f>
        <v/>
      </c>
      <c r="P660" s="12" t="str">
        <f aca="false">IF(L660=1,N660-O660,"")</f>
        <v/>
      </c>
      <c r="Q660" s="12" t="n">
        <f aca="false">INDEX(Directions!$D$2:$D$100,MATCH(C660,Directions!$A$2:$A$100,0))</f>
        <v>0</v>
      </c>
      <c r="R660" s="12" t="str">
        <f aca="false">IF(L660=1,P660*Q660,"")</f>
        <v/>
      </c>
      <c r="S660" s="12" t="str">
        <f aca="false">IF(L660&lt;&gt;1,"Excluded",IF(Q660=0,"No direction",IF(R660&gt;0,"Better",IF(R660&lt;0,"Worse","No change"))))</f>
        <v>Excluded</v>
      </c>
      <c r="T660" s="12" t="s">
        <v>304</v>
      </c>
      <c r="U660" s="12" t="str">
        <f aca="false">C660&amp;"|"&amp;E660</f>
        <v>F7_15|JPN</v>
      </c>
    </row>
    <row r="661" customFormat="false" ht="15" hidden="false" customHeight="false" outlineLevel="0" collapsed="false">
      <c r="A661" s="12" t="n">
        <v>7</v>
      </c>
      <c r="B661" s="12" t="s">
        <v>321</v>
      </c>
      <c r="C661" s="12" t="s">
        <v>174</v>
      </c>
      <c r="D661" s="12" t="s">
        <v>147</v>
      </c>
      <c r="E661" s="12" t="s">
        <v>290</v>
      </c>
      <c r="F661" s="12" t="s">
        <v>37</v>
      </c>
      <c r="G661" s="12" t="n">
        <v>5.4</v>
      </c>
      <c r="H661" s="12" t="n">
        <v>4.5</v>
      </c>
      <c r="I661" s="12" t="s">
        <v>293</v>
      </c>
      <c r="J661" s="12" t="n">
        <v>8</v>
      </c>
      <c r="K661" s="12" t="n">
        <v>7</v>
      </c>
      <c r="L661" s="28" t="n">
        <v>1</v>
      </c>
      <c r="M661" s="12" t="n">
        <f aca="false">IF(L661=1,COUNTIFS($C$2:$C$1090,C661,$L$2:$L$1090,1),"")</f>
        <v>10</v>
      </c>
      <c r="N661" s="12" t="n">
        <f aca="false">IF(L661=1,1+COUNTIFS($C$2:$C$1090,C661,$L$2:$L$1090,1,$G$2:$G$1090,"&gt;"&amp;G661),"")</f>
        <v>7</v>
      </c>
      <c r="O661" s="12" t="n">
        <f aca="false">IF(L661=1,1+COUNTIFS($C$2:$C$1090,C661,$L$2:$L$1090,1,$H$2:$H$1090,"&gt;"&amp;H661),"")</f>
        <v>7</v>
      </c>
      <c r="P661" s="12" t="n">
        <f aca="false">IF(L661=1,N661-O661,"")</f>
        <v>0</v>
      </c>
      <c r="Q661" s="12" t="n">
        <f aca="false">INDEX(Directions!$D$2:$D$100,MATCH(C661,Directions!$A$2:$A$100,0))</f>
        <v>0</v>
      </c>
      <c r="R661" s="12" t="n">
        <f aca="false">IF(L661=1,P661*Q661,"")</f>
        <v>0</v>
      </c>
      <c r="S661" s="12" t="str">
        <f aca="false">IF(L661&lt;&gt;1,"Excluded",IF(Q661=0,"No direction",IF(R661&gt;0,"Better",IF(R661&lt;0,"Worse","No change"))))</f>
        <v>No direction</v>
      </c>
      <c r="T661" s="12"/>
      <c r="U661" s="12" t="str">
        <f aca="false">C661&amp;"|"&amp;E661</f>
        <v>F7_15|AUS</v>
      </c>
    </row>
    <row r="662" customFormat="false" ht="15" hidden="false" customHeight="false" outlineLevel="0" collapsed="false">
      <c r="A662" s="12" t="n">
        <v>9</v>
      </c>
      <c r="B662" s="12" t="s">
        <v>43</v>
      </c>
      <c r="C662" s="12" t="s">
        <v>175</v>
      </c>
      <c r="D662" s="12" t="s">
        <v>176</v>
      </c>
      <c r="E662" s="12" t="s">
        <v>281</v>
      </c>
      <c r="F662" s="12" t="s">
        <v>27</v>
      </c>
      <c r="G662" s="12" t="n">
        <v>1443</v>
      </c>
      <c r="H662" s="12" t="s">
        <v>302</v>
      </c>
      <c r="I662" s="12"/>
      <c r="J662" s="12" t="n">
        <v>1</v>
      </c>
      <c r="K662" s="12" t="s">
        <v>302</v>
      </c>
      <c r="L662" s="28" t="n">
        <v>0</v>
      </c>
      <c r="M662" s="12" t="str">
        <f aca="false">IF(L662=1,COUNTIFS($C$2:$C$1090,C662,$L$2:$L$1090,1),"")</f>
        <v/>
      </c>
      <c r="N662" s="12" t="str">
        <f aca="false">IF(L662=1,1+COUNTIFS($C$2:$C$1090,C662,$L$2:$L$1090,1,$G$2:$G$1090,"&gt;"&amp;G662),"")</f>
        <v/>
      </c>
      <c r="O662" s="12" t="str">
        <f aca="false">IF(L662=1,1+COUNTIFS($C$2:$C$1090,C662,$L$2:$L$1090,1,$H$2:$H$1090,"&gt;"&amp;H662),"")</f>
        <v/>
      </c>
      <c r="P662" s="12" t="str">
        <f aca="false">IF(L662=1,N662-O662,"")</f>
        <v/>
      </c>
      <c r="Q662" s="12" t="n">
        <f aca="false">INDEX(Directions!$D$2:$D$100,MATCH(C662,Directions!$A$2:$A$100,0))</f>
        <v>0</v>
      </c>
      <c r="R662" s="12" t="str">
        <f aca="false">IF(L662=1,P662*Q662,"")</f>
        <v/>
      </c>
      <c r="S662" s="12" t="str">
        <f aca="false">IF(L662&lt;&gt;1,"Excluded",IF(Q662=0,"No direction",IF(R662&gt;0,"Better",IF(R662&lt;0,"Worse","No change"))))</f>
        <v>Excluded</v>
      </c>
      <c r="T662" s="12" t="s">
        <v>303</v>
      </c>
      <c r="U662" s="12" t="str">
        <f aca="false">C662&amp;"|"&amp;E662</f>
        <v>F9_01|USA</v>
      </c>
    </row>
    <row r="663" customFormat="false" ht="15" hidden="false" customHeight="false" outlineLevel="0" collapsed="false">
      <c r="A663" s="12" t="n">
        <v>9</v>
      </c>
      <c r="B663" s="12" t="s">
        <v>43</v>
      </c>
      <c r="C663" s="12" t="s">
        <v>175</v>
      </c>
      <c r="D663" s="12" t="s">
        <v>176</v>
      </c>
      <c r="E663" s="12" t="s">
        <v>283</v>
      </c>
      <c r="F663" s="12" t="s">
        <v>28</v>
      </c>
      <c r="G663" s="12" t="n">
        <v>779</v>
      </c>
      <c r="H663" s="12" t="s">
        <v>302</v>
      </c>
      <c r="I663" s="12"/>
      <c r="J663" s="12" t="n">
        <v>4</v>
      </c>
      <c r="K663" s="12" t="s">
        <v>302</v>
      </c>
      <c r="L663" s="28" t="n">
        <v>0</v>
      </c>
      <c r="M663" s="12" t="str">
        <f aca="false">IF(L663=1,COUNTIFS($C$2:$C$1090,C663,$L$2:$L$1090,1),"")</f>
        <v/>
      </c>
      <c r="N663" s="12" t="str">
        <f aca="false">IF(L663=1,1+COUNTIFS($C$2:$C$1090,C663,$L$2:$L$1090,1,$G$2:$G$1090,"&gt;"&amp;G663),"")</f>
        <v/>
      </c>
      <c r="O663" s="12" t="str">
        <f aca="false">IF(L663=1,1+COUNTIFS($C$2:$C$1090,C663,$L$2:$L$1090,1,$H$2:$H$1090,"&gt;"&amp;H663),"")</f>
        <v/>
      </c>
      <c r="P663" s="12" t="str">
        <f aca="false">IF(L663=1,N663-O663,"")</f>
        <v/>
      </c>
      <c r="Q663" s="12" t="n">
        <f aca="false">INDEX(Directions!$D$2:$D$100,MATCH(C663,Directions!$A$2:$A$100,0))</f>
        <v>0</v>
      </c>
      <c r="R663" s="12" t="str">
        <f aca="false">IF(L663=1,P663*Q663,"")</f>
        <v/>
      </c>
      <c r="S663" s="12" t="str">
        <f aca="false">IF(L663&lt;&gt;1,"Excluded",IF(Q663=0,"No direction",IF(R663&gt;0,"Better",IF(R663&lt;0,"Worse","No change"))))</f>
        <v>Excluded</v>
      </c>
      <c r="T663" s="12" t="s">
        <v>303</v>
      </c>
      <c r="U663" s="12" t="str">
        <f aca="false">C663&amp;"|"&amp;E663</f>
        <v>F9_01|GBR</v>
      </c>
    </row>
    <row r="664" customFormat="false" ht="15" hidden="false" customHeight="false" outlineLevel="0" collapsed="false">
      <c r="A664" s="12" t="n">
        <v>9</v>
      </c>
      <c r="B664" s="12" t="s">
        <v>43</v>
      </c>
      <c r="C664" s="12" t="s">
        <v>175</v>
      </c>
      <c r="D664" s="12" t="s">
        <v>176</v>
      </c>
      <c r="E664" s="12" t="s">
        <v>284</v>
      </c>
      <c r="F664" s="12" t="s">
        <v>29</v>
      </c>
      <c r="G664" s="12" t="n">
        <v>667</v>
      </c>
      <c r="H664" s="12" t="s">
        <v>302</v>
      </c>
      <c r="I664" s="12"/>
      <c r="J664" s="12" t="n">
        <v>7</v>
      </c>
      <c r="K664" s="12" t="s">
        <v>302</v>
      </c>
      <c r="L664" s="28" t="n">
        <v>0</v>
      </c>
      <c r="M664" s="12" t="str">
        <f aca="false">IF(L664=1,COUNTIFS($C$2:$C$1090,C664,$L$2:$L$1090,1),"")</f>
        <v/>
      </c>
      <c r="N664" s="12" t="str">
        <f aca="false">IF(L664=1,1+COUNTIFS($C$2:$C$1090,C664,$L$2:$L$1090,1,$G$2:$G$1090,"&gt;"&amp;G664),"")</f>
        <v/>
      </c>
      <c r="O664" s="12" t="str">
        <f aca="false">IF(L664=1,1+COUNTIFS($C$2:$C$1090,C664,$L$2:$L$1090,1,$H$2:$H$1090,"&gt;"&amp;H664),"")</f>
        <v/>
      </c>
      <c r="P664" s="12" t="str">
        <f aca="false">IF(L664=1,N664-O664,"")</f>
        <v/>
      </c>
      <c r="Q664" s="12" t="n">
        <f aca="false">INDEX(Directions!$D$2:$D$100,MATCH(C664,Directions!$A$2:$A$100,0))</f>
        <v>0</v>
      </c>
      <c r="R664" s="12" t="str">
        <f aca="false">IF(L664=1,P664*Q664,"")</f>
        <v/>
      </c>
      <c r="S664" s="12" t="str">
        <f aca="false">IF(L664&lt;&gt;1,"Excluded",IF(Q664=0,"No direction",IF(R664&gt;0,"Better",IF(R664&lt;0,"Worse","No change"))))</f>
        <v>Excluded</v>
      </c>
      <c r="T664" s="12" t="s">
        <v>303</v>
      </c>
      <c r="U664" s="12" t="str">
        <f aca="false">C664&amp;"|"&amp;E664</f>
        <v>F9_01|DEU</v>
      </c>
    </row>
    <row r="665" customFormat="false" ht="15" hidden="false" customHeight="false" outlineLevel="0" collapsed="false">
      <c r="A665" s="12" t="n">
        <v>9</v>
      </c>
      <c r="B665" s="12" t="s">
        <v>43</v>
      </c>
      <c r="C665" s="12" t="s">
        <v>175</v>
      </c>
      <c r="D665" s="12" t="s">
        <v>176</v>
      </c>
      <c r="E665" s="12" t="s">
        <v>285</v>
      </c>
      <c r="F665" s="12" t="s">
        <v>30</v>
      </c>
      <c r="G665" s="12" t="n">
        <v>566</v>
      </c>
      <c r="H665" s="12" t="s">
        <v>302</v>
      </c>
      <c r="I665" s="12"/>
      <c r="J665" s="12" t="n">
        <v>9</v>
      </c>
      <c r="K665" s="12" t="s">
        <v>302</v>
      </c>
      <c r="L665" s="28" t="n">
        <v>0</v>
      </c>
      <c r="M665" s="12" t="str">
        <f aca="false">IF(L665=1,COUNTIFS($C$2:$C$1090,C665,$L$2:$L$1090,1),"")</f>
        <v/>
      </c>
      <c r="N665" s="12" t="str">
        <f aca="false">IF(L665=1,1+COUNTIFS($C$2:$C$1090,C665,$L$2:$L$1090,1,$G$2:$G$1090,"&gt;"&amp;G665),"")</f>
        <v/>
      </c>
      <c r="O665" s="12" t="str">
        <f aca="false">IF(L665=1,1+COUNTIFS($C$2:$C$1090,C665,$L$2:$L$1090,1,$H$2:$H$1090,"&gt;"&amp;H665),"")</f>
        <v/>
      </c>
      <c r="P665" s="12" t="str">
        <f aca="false">IF(L665=1,N665-O665,"")</f>
        <v/>
      </c>
      <c r="Q665" s="12" t="n">
        <f aca="false">INDEX(Directions!$D$2:$D$100,MATCH(C665,Directions!$A$2:$A$100,0))</f>
        <v>0</v>
      </c>
      <c r="R665" s="12" t="str">
        <f aca="false">IF(L665=1,P665*Q665,"")</f>
        <v/>
      </c>
      <c r="S665" s="12" t="str">
        <f aca="false">IF(L665&lt;&gt;1,"Excluded",IF(Q665=0,"No direction",IF(R665&gt;0,"Better",IF(R665&lt;0,"Worse","No change"))))</f>
        <v>Excluded</v>
      </c>
      <c r="T665" s="12" t="s">
        <v>303</v>
      </c>
      <c r="U665" s="12" t="str">
        <f aca="false">C665&amp;"|"&amp;E665</f>
        <v>F9_01|SWE</v>
      </c>
    </row>
    <row r="666" customFormat="false" ht="15" hidden="false" customHeight="false" outlineLevel="0" collapsed="false">
      <c r="A666" s="12" t="n">
        <v>9</v>
      </c>
      <c r="B666" s="12" t="s">
        <v>43</v>
      </c>
      <c r="C666" s="12" t="s">
        <v>175</v>
      </c>
      <c r="D666" s="12" t="s">
        <v>176</v>
      </c>
      <c r="E666" s="12" t="s">
        <v>286</v>
      </c>
      <c r="F666" s="12" t="s">
        <v>31</v>
      </c>
      <c r="G666" s="12" t="n">
        <v>697</v>
      </c>
      <c r="H666" s="12" t="s">
        <v>302</v>
      </c>
      <c r="I666" s="12"/>
      <c r="J666" s="12" t="n">
        <v>5</v>
      </c>
      <c r="K666" s="12" t="s">
        <v>302</v>
      </c>
      <c r="L666" s="28" t="n">
        <v>0</v>
      </c>
      <c r="M666" s="12" t="str">
        <f aca="false">IF(L666=1,COUNTIFS($C$2:$C$1090,C666,$L$2:$L$1090,1),"")</f>
        <v/>
      </c>
      <c r="N666" s="12" t="str">
        <f aca="false">IF(L666=1,1+COUNTIFS($C$2:$C$1090,C666,$L$2:$L$1090,1,$G$2:$G$1090,"&gt;"&amp;G666),"")</f>
        <v/>
      </c>
      <c r="O666" s="12" t="str">
        <f aca="false">IF(L666=1,1+COUNTIFS($C$2:$C$1090,C666,$L$2:$L$1090,1,$H$2:$H$1090,"&gt;"&amp;H666),"")</f>
        <v/>
      </c>
      <c r="P666" s="12" t="str">
        <f aca="false">IF(L666=1,N666-O666,"")</f>
        <v/>
      </c>
      <c r="Q666" s="12" t="n">
        <f aca="false">INDEX(Directions!$D$2:$D$100,MATCH(C666,Directions!$A$2:$A$100,0))</f>
        <v>0</v>
      </c>
      <c r="R666" s="12" t="str">
        <f aca="false">IF(L666=1,P666*Q666,"")</f>
        <v/>
      </c>
      <c r="S666" s="12" t="str">
        <f aca="false">IF(L666&lt;&gt;1,"Excluded",IF(Q666=0,"No direction",IF(R666&gt;0,"Better",IF(R666&lt;0,"Worse","No change"))))</f>
        <v>Excluded</v>
      </c>
      <c r="T666" s="12" t="s">
        <v>303</v>
      </c>
      <c r="U666" s="12" t="str">
        <f aca="false">C666&amp;"|"&amp;E666</f>
        <v>F9_01|FRA</v>
      </c>
    </row>
    <row r="667" customFormat="false" ht="15" hidden="false" customHeight="false" outlineLevel="0" collapsed="false">
      <c r="A667" s="12" t="n">
        <v>9</v>
      </c>
      <c r="B667" s="12" t="s">
        <v>43</v>
      </c>
      <c r="C667" s="12" t="s">
        <v>175</v>
      </c>
      <c r="D667" s="12" t="s">
        <v>176</v>
      </c>
      <c r="E667" s="12" t="s">
        <v>32</v>
      </c>
      <c r="F667" s="12" t="s">
        <v>32</v>
      </c>
      <c r="G667" s="12" t="n">
        <v>466</v>
      </c>
      <c r="H667" s="12" t="s">
        <v>302</v>
      </c>
      <c r="I667" s="12"/>
      <c r="J667" s="12" t="n">
        <v>11</v>
      </c>
      <c r="K667" s="12" t="s">
        <v>302</v>
      </c>
      <c r="L667" s="28" t="n">
        <v>0</v>
      </c>
      <c r="M667" s="12" t="str">
        <f aca="false">IF(L667=1,COUNTIFS($C$2:$C$1090,C667,$L$2:$L$1090,1),"")</f>
        <v/>
      </c>
      <c r="N667" s="12" t="str">
        <f aca="false">IF(L667=1,1+COUNTIFS($C$2:$C$1090,C667,$L$2:$L$1090,1,$G$2:$G$1090,"&gt;"&amp;G667),"")</f>
        <v/>
      </c>
      <c r="O667" s="12" t="str">
        <f aca="false">IF(L667=1,1+COUNTIFS($C$2:$C$1090,C667,$L$2:$L$1090,1,$H$2:$H$1090,"&gt;"&amp;H667),"")</f>
        <v/>
      </c>
      <c r="P667" s="12" t="str">
        <f aca="false">IF(L667=1,N667-O667,"")</f>
        <v/>
      </c>
      <c r="Q667" s="12" t="n">
        <f aca="false">INDEX(Directions!$D$2:$D$100,MATCH(C667,Directions!$A$2:$A$100,0))</f>
        <v>0</v>
      </c>
      <c r="R667" s="12" t="str">
        <f aca="false">IF(L667=1,P667*Q667,"")</f>
        <v/>
      </c>
      <c r="S667" s="12" t="str">
        <f aca="false">IF(L667&lt;&gt;1,"Excluded",IF(Q667=0,"No direction",IF(R667&gt;0,"Better",IF(R667&lt;0,"Worse","No change"))))</f>
        <v>Excluded</v>
      </c>
      <c r="T667" s="12" t="s">
        <v>303</v>
      </c>
      <c r="U667" s="12" t="str">
        <f aca="false">C667&amp;"|"&amp;E667</f>
        <v>F9_01|NLD</v>
      </c>
    </row>
    <row r="668" customFormat="false" ht="15" hidden="false" customHeight="false" outlineLevel="0" collapsed="false">
      <c r="A668" s="12" t="n">
        <v>9</v>
      </c>
      <c r="B668" s="12" t="s">
        <v>43</v>
      </c>
      <c r="C668" s="12" t="s">
        <v>175</v>
      </c>
      <c r="D668" s="12" t="s">
        <v>176</v>
      </c>
      <c r="E668" s="12" t="s">
        <v>33</v>
      </c>
      <c r="F668" s="12" t="s">
        <v>33</v>
      </c>
      <c r="G668" s="12" t="n">
        <v>939</v>
      </c>
      <c r="H668" s="12" t="s">
        <v>302</v>
      </c>
      <c r="I668" s="12"/>
      <c r="J668" s="12" t="n">
        <v>2</v>
      </c>
      <c r="K668" s="12" t="s">
        <v>302</v>
      </c>
      <c r="L668" s="28" t="n">
        <v>0</v>
      </c>
      <c r="M668" s="12" t="str">
        <f aca="false">IF(L668=1,COUNTIFS($C$2:$C$1090,C668,$L$2:$L$1090,1),"")</f>
        <v/>
      </c>
      <c r="N668" s="12" t="str">
        <f aca="false">IF(L668=1,1+COUNTIFS($C$2:$C$1090,C668,$L$2:$L$1090,1,$G$2:$G$1090,"&gt;"&amp;G668),"")</f>
        <v/>
      </c>
      <c r="O668" s="12" t="str">
        <f aca="false">IF(L668=1,1+COUNTIFS($C$2:$C$1090,C668,$L$2:$L$1090,1,$H$2:$H$1090,"&gt;"&amp;H668),"")</f>
        <v/>
      </c>
      <c r="P668" s="12" t="str">
        <f aca="false">IF(L668=1,N668-O668,"")</f>
        <v/>
      </c>
      <c r="Q668" s="12" t="n">
        <f aca="false">INDEX(Directions!$D$2:$D$100,MATCH(C668,Directions!$A$2:$A$100,0))</f>
        <v>0</v>
      </c>
      <c r="R668" s="12" t="str">
        <f aca="false">IF(L668=1,P668*Q668,"")</f>
        <v/>
      </c>
      <c r="S668" s="12" t="str">
        <f aca="false">IF(L668&lt;&gt;1,"Excluded",IF(Q668=0,"No direction",IF(R668&gt;0,"Better",IF(R668&lt;0,"Worse","No change"))))</f>
        <v>Excluded</v>
      </c>
      <c r="T668" s="12" t="s">
        <v>303</v>
      </c>
      <c r="U668" s="12" t="str">
        <f aca="false">C668&amp;"|"&amp;E668</f>
        <v>F9_01|CHE</v>
      </c>
    </row>
    <row r="669" customFormat="false" ht="15" hidden="false" customHeight="false" outlineLevel="0" collapsed="false">
      <c r="A669" s="12" t="n">
        <v>9</v>
      </c>
      <c r="B669" s="12" t="s">
        <v>43</v>
      </c>
      <c r="C669" s="12" t="s">
        <v>175</v>
      </c>
      <c r="D669" s="12" t="s">
        <v>176</v>
      </c>
      <c r="E669" s="12" t="s">
        <v>287</v>
      </c>
      <c r="F669" s="12" t="s">
        <v>34</v>
      </c>
      <c r="G669" s="12" t="n">
        <v>675</v>
      </c>
      <c r="H669" s="12" t="s">
        <v>302</v>
      </c>
      <c r="I669" s="12"/>
      <c r="J669" s="12" t="n">
        <v>6</v>
      </c>
      <c r="K669" s="12" t="s">
        <v>302</v>
      </c>
      <c r="L669" s="28" t="n">
        <v>0</v>
      </c>
      <c r="M669" s="12" t="str">
        <f aca="false">IF(L669=1,COUNTIFS($C$2:$C$1090,C669,$L$2:$L$1090,1),"")</f>
        <v/>
      </c>
      <c r="N669" s="12" t="str">
        <f aca="false">IF(L669=1,1+COUNTIFS($C$2:$C$1090,C669,$L$2:$L$1090,1,$G$2:$G$1090,"&gt;"&amp;G669),"")</f>
        <v/>
      </c>
      <c r="O669" s="12" t="str">
        <f aca="false">IF(L669=1,1+COUNTIFS($C$2:$C$1090,C669,$L$2:$L$1090,1,$H$2:$H$1090,"&gt;"&amp;H669),"")</f>
        <v/>
      </c>
      <c r="P669" s="12" t="str">
        <f aca="false">IF(L669=1,N669-O669,"")</f>
        <v/>
      </c>
      <c r="Q669" s="12" t="n">
        <f aca="false">INDEX(Directions!$D$2:$D$100,MATCH(C669,Directions!$A$2:$A$100,0))</f>
        <v>0</v>
      </c>
      <c r="R669" s="12" t="str">
        <f aca="false">IF(L669=1,P669*Q669,"")</f>
        <v/>
      </c>
      <c r="S669" s="12" t="str">
        <f aca="false">IF(L669&lt;&gt;1,"Excluded",IF(Q669=0,"No direction",IF(R669&gt;0,"Better",IF(R669&lt;0,"Worse","No change"))))</f>
        <v>Excluded</v>
      </c>
      <c r="T669" s="12" t="s">
        <v>303</v>
      </c>
      <c r="U669" s="12" t="str">
        <f aca="false">C669&amp;"|"&amp;E669</f>
        <v>F9_01|DNK</v>
      </c>
    </row>
    <row r="670" customFormat="false" ht="15" hidden="false" customHeight="false" outlineLevel="0" collapsed="false">
      <c r="A670" s="12" t="n">
        <v>9</v>
      </c>
      <c r="B670" s="12" t="s">
        <v>43</v>
      </c>
      <c r="C670" s="12" t="s">
        <v>175</v>
      </c>
      <c r="D670" s="12" t="s">
        <v>176</v>
      </c>
      <c r="E670" s="12" t="s">
        <v>288</v>
      </c>
      <c r="F670" s="12" t="s">
        <v>35</v>
      </c>
      <c r="G670" s="12" t="n">
        <v>613</v>
      </c>
      <c r="H670" s="12" t="s">
        <v>302</v>
      </c>
      <c r="I670" s="12"/>
      <c r="J670" s="12" t="n">
        <v>8</v>
      </c>
      <c r="K670" s="12" t="s">
        <v>302</v>
      </c>
      <c r="L670" s="28" t="n">
        <v>0</v>
      </c>
      <c r="M670" s="12" t="str">
        <f aca="false">IF(L670=1,COUNTIFS($C$2:$C$1090,C670,$L$2:$L$1090,1),"")</f>
        <v/>
      </c>
      <c r="N670" s="12" t="str">
        <f aca="false">IF(L670=1,1+COUNTIFS($C$2:$C$1090,C670,$L$2:$L$1090,1,$G$2:$G$1090,"&gt;"&amp;G670),"")</f>
        <v/>
      </c>
      <c r="O670" s="12" t="str">
        <f aca="false">IF(L670=1,1+COUNTIFS($C$2:$C$1090,C670,$L$2:$L$1090,1,$H$2:$H$1090,"&gt;"&amp;H670),"")</f>
        <v/>
      </c>
      <c r="P670" s="12" t="str">
        <f aca="false">IF(L670=1,N670-O670,"")</f>
        <v/>
      </c>
      <c r="Q670" s="12" t="n">
        <f aca="false">INDEX(Directions!$D$2:$D$100,MATCH(C670,Directions!$A$2:$A$100,0))</f>
        <v>0</v>
      </c>
      <c r="R670" s="12" t="str">
        <f aca="false">IF(L670=1,P670*Q670,"")</f>
        <v/>
      </c>
      <c r="S670" s="12" t="str">
        <f aca="false">IF(L670&lt;&gt;1,"Excluded",IF(Q670=0,"No direction",IF(R670&gt;0,"Better",IF(R670&lt;0,"Worse","No change"))))</f>
        <v>Excluded</v>
      </c>
      <c r="T670" s="12" t="s">
        <v>303</v>
      </c>
      <c r="U670" s="12" t="str">
        <f aca="false">C670&amp;"|"&amp;E670</f>
        <v>F9_01|CAN</v>
      </c>
    </row>
    <row r="671" customFormat="false" ht="15" hidden="false" customHeight="false" outlineLevel="0" collapsed="false">
      <c r="A671" s="12" t="n">
        <v>9</v>
      </c>
      <c r="B671" s="12" t="s">
        <v>43</v>
      </c>
      <c r="C671" s="12" t="s">
        <v>175</v>
      </c>
      <c r="D671" s="12" t="s">
        <v>176</v>
      </c>
      <c r="E671" s="12" t="s">
        <v>289</v>
      </c>
      <c r="F671" s="12" t="s">
        <v>36</v>
      </c>
      <c r="G671" s="12" t="n">
        <v>837</v>
      </c>
      <c r="H671" s="12" t="s">
        <v>302</v>
      </c>
      <c r="I671" s="12"/>
      <c r="J671" s="12" t="n">
        <v>3</v>
      </c>
      <c r="K671" s="12" t="s">
        <v>302</v>
      </c>
      <c r="L671" s="28" t="n">
        <v>0</v>
      </c>
      <c r="M671" s="12" t="str">
        <f aca="false">IF(L671=1,COUNTIFS($C$2:$C$1090,C671,$L$2:$L$1090,1),"")</f>
        <v/>
      </c>
      <c r="N671" s="12" t="str">
        <f aca="false">IF(L671=1,1+COUNTIFS($C$2:$C$1090,C671,$L$2:$L$1090,1,$G$2:$G$1090,"&gt;"&amp;G671),"")</f>
        <v/>
      </c>
      <c r="O671" s="12" t="str">
        <f aca="false">IF(L671=1,1+COUNTIFS($C$2:$C$1090,C671,$L$2:$L$1090,1,$H$2:$H$1090,"&gt;"&amp;H671),"")</f>
        <v/>
      </c>
      <c r="P671" s="12" t="str">
        <f aca="false">IF(L671=1,N671-O671,"")</f>
        <v/>
      </c>
      <c r="Q671" s="12" t="n">
        <f aca="false">INDEX(Directions!$D$2:$D$100,MATCH(C671,Directions!$A$2:$A$100,0))</f>
        <v>0</v>
      </c>
      <c r="R671" s="12" t="str">
        <f aca="false">IF(L671=1,P671*Q671,"")</f>
        <v/>
      </c>
      <c r="S671" s="12" t="str">
        <f aca="false">IF(L671&lt;&gt;1,"Excluded",IF(Q671=0,"No direction",IF(R671&gt;0,"Better",IF(R671&lt;0,"Worse","No change"))))</f>
        <v>Excluded</v>
      </c>
      <c r="T671" s="12" t="s">
        <v>303</v>
      </c>
      <c r="U671" s="12" t="str">
        <f aca="false">C671&amp;"|"&amp;E671</f>
        <v>F9_01|JPN</v>
      </c>
    </row>
    <row r="672" customFormat="false" ht="15" hidden="false" customHeight="false" outlineLevel="0" collapsed="false">
      <c r="A672" s="12" t="n">
        <v>9</v>
      </c>
      <c r="B672" s="12" t="s">
        <v>43</v>
      </c>
      <c r="C672" s="12" t="s">
        <v>175</v>
      </c>
      <c r="D672" s="12" t="s">
        <v>176</v>
      </c>
      <c r="E672" s="12" t="s">
        <v>290</v>
      </c>
      <c r="F672" s="12" t="s">
        <v>37</v>
      </c>
      <c r="G672" s="12" t="n">
        <v>560</v>
      </c>
      <c r="H672" s="12" t="s">
        <v>302</v>
      </c>
      <c r="I672" s="12"/>
      <c r="J672" s="12" t="n">
        <v>10</v>
      </c>
      <c r="K672" s="12" t="s">
        <v>302</v>
      </c>
      <c r="L672" s="28" t="n">
        <v>0</v>
      </c>
      <c r="M672" s="12" t="str">
        <f aca="false">IF(L672=1,COUNTIFS($C$2:$C$1090,C672,$L$2:$L$1090,1),"")</f>
        <v/>
      </c>
      <c r="N672" s="12" t="str">
        <f aca="false">IF(L672=1,1+COUNTIFS($C$2:$C$1090,C672,$L$2:$L$1090,1,$G$2:$G$1090,"&gt;"&amp;G672),"")</f>
        <v/>
      </c>
      <c r="O672" s="12" t="str">
        <f aca="false">IF(L672=1,1+COUNTIFS($C$2:$C$1090,C672,$L$2:$L$1090,1,$H$2:$H$1090,"&gt;"&amp;H672),"")</f>
        <v/>
      </c>
      <c r="P672" s="12" t="str">
        <f aca="false">IF(L672=1,N672-O672,"")</f>
        <v/>
      </c>
      <c r="Q672" s="12" t="n">
        <f aca="false">INDEX(Directions!$D$2:$D$100,MATCH(C672,Directions!$A$2:$A$100,0))</f>
        <v>0</v>
      </c>
      <c r="R672" s="12" t="str">
        <f aca="false">IF(L672=1,P672*Q672,"")</f>
        <v/>
      </c>
      <c r="S672" s="12" t="str">
        <f aca="false">IF(L672&lt;&gt;1,"Excluded",IF(Q672=0,"No direction",IF(R672&gt;0,"Better",IF(R672&lt;0,"Worse","No change"))))</f>
        <v>Excluded</v>
      </c>
      <c r="T672" s="12" t="s">
        <v>303</v>
      </c>
      <c r="U672" s="12" t="str">
        <f aca="false">C672&amp;"|"&amp;E672</f>
        <v>F9_01|AUS</v>
      </c>
    </row>
    <row r="673" customFormat="false" ht="15" hidden="false" customHeight="false" outlineLevel="0" collapsed="false">
      <c r="A673" s="12" t="n">
        <v>9</v>
      </c>
      <c r="B673" s="12" t="s">
        <v>43</v>
      </c>
      <c r="C673" s="12" t="s">
        <v>177</v>
      </c>
      <c r="D673" s="12" t="s">
        <v>178</v>
      </c>
      <c r="E673" s="12" t="s">
        <v>281</v>
      </c>
      <c r="F673" s="12" t="s">
        <v>27</v>
      </c>
      <c r="G673" s="12" t="n">
        <v>1026</v>
      </c>
      <c r="H673" s="12" t="n">
        <v>1752</v>
      </c>
      <c r="I673" s="12" t="s">
        <v>293</v>
      </c>
      <c r="J673" s="12" t="n">
        <v>1</v>
      </c>
      <c r="K673" s="12" t="n">
        <v>1</v>
      </c>
      <c r="L673" s="28" t="n">
        <v>1</v>
      </c>
      <c r="M673" s="12" t="n">
        <f aca="false">IF(L673=1,COUNTIFS($C$2:$C$1090,C673,$L$2:$L$1090,1),"")</f>
        <v>11</v>
      </c>
      <c r="N673" s="12" t="n">
        <f aca="false">IF(L673=1,1+COUNTIFS($C$2:$C$1090,C673,$L$2:$L$1090,1,$G$2:$G$1090,"&gt;"&amp;G673),"")</f>
        <v>1</v>
      </c>
      <c r="O673" s="12" t="n">
        <f aca="false">IF(L673=1,1+COUNTIFS($C$2:$C$1090,C673,$L$2:$L$1090,1,$H$2:$H$1090,"&gt;"&amp;H673),"")</f>
        <v>1</v>
      </c>
      <c r="P673" s="12" t="n">
        <f aca="false">IF(L673=1,N673-O673,"")</f>
        <v>0</v>
      </c>
      <c r="Q673" s="12" t="n">
        <f aca="false">INDEX(Directions!$D$2:$D$100,MATCH(C673,Directions!$A$2:$A$100,0))</f>
        <v>0</v>
      </c>
      <c r="R673" s="12" t="n">
        <f aca="false">IF(L673=1,P673*Q673,"")</f>
        <v>0</v>
      </c>
      <c r="S673" s="12" t="str">
        <f aca="false">IF(L673&lt;&gt;1,"Excluded",IF(Q673=0,"No direction",IF(R673&gt;0,"Better",IF(R673&lt;0,"Worse","No change"))))</f>
        <v>No direction</v>
      </c>
      <c r="T673" s="12"/>
      <c r="U673" s="12" t="str">
        <f aca="false">C673&amp;"|"&amp;E673</f>
        <v>F9_02|USA</v>
      </c>
    </row>
    <row r="674" customFormat="false" ht="15" hidden="false" customHeight="false" outlineLevel="0" collapsed="false">
      <c r="A674" s="12" t="n">
        <v>9</v>
      </c>
      <c r="B674" s="12" t="s">
        <v>43</v>
      </c>
      <c r="C674" s="12" t="s">
        <v>177</v>
      </c>
      <c r="D674" s="12" t="s">
        <v>178</v>
      </c>
      <c r="E674" s="12" t="s">
        <v>283</v>
      </c>
      <c r="F674" s="12" t="s">
        <v>28</v>
      </c>
      <c r="G674" s="12" t="n">
        <v>383</v>
      </c>
      <c r="H674" s="12" t="n">
        <v>635</v>
      </c>
      <c r="I674" s="12" t="s">
        <v>293</v>
      </c>
      <c r="J674" s="12" t="n">
        <v>9</v>
      </c>
      <c r="K674" s="12" t="n">
        <v>9</v>
      </c>
      <c r="L674" s="28" t="n">
        <v>1</v>
      </c>
      <c r="M674" s="12" t="n">
        <f aca="false">IF(L674=1,COUNTIFS($C$2:$C$1090,C674,$L$2:$L$1090,1),"")</f>
        <v>11</v>
      </c>
      <c r="N674" s="12" t="n">
        <f aca="false">IF(L674=1,1+COUNTIFS($C$2:$C$1090,C674,$L$2:$L$1090,1,$G$2:$G$1090,"&gt;"&amp;G674),"")</f>
        <v>9</v>
      </c>
      <c r="O674" s="12" t="n">
        <f aca="false">IF(L674=1,1+COUNTIFS($C$2:$C$1090,C674,$L$2:$L$1090,1,$H$2:$H$1090,"&gt;"&amp;H674),"")</f>
        <v>9</v>
      </c>
      <c r="P674" s="12" t="n">
        <f aca="false">IF(L674=1,N674-O674,"")</f>
        <v>0</v>
      </c>
      <c r="Q674" s="12" t="n">
        <f aca="false">INDEX(Directions!$D$2:$D$100,MATCH(C674,Directions!$A$2:$A$100,0))</f>
        <v>0</v>
      </c>
      <c r="R674" s="12" t="n">
        <f aca="false">IF(L674=1,P674*Q674,"")</f>
        <v>0</v>
      </c>
      <c r="S674" s="12" t="str">
        <f aca="false">IF(L674&lt;&gt;1,"Excluded",IF(Q674=0,"No direction",IF(R674&gt;0,"Better",IF(R674&lt;0,"Worse","No change"))))</f>
        <v>No direction</v>
      </c>
      <c r="T674" s="12"/>
      <c r="U674" s="12" t="str">
        <f aca="false">C674&amp;"|"&amp;E674</f>
        <v>F9_02|GBR</v>
      </c>
    </row>
    <row r="675" customFormat="false" ht="15" hidden="false" customHeight="false" outlineLevel="0" collapsed="false">
      <c r="A675" s="12" t="n">
        <v>9</v>
      </c>
      <c r="B675" s="12" t="s">
        <v>43</v>
      </c>
      <c r="C675" s="12" t="s">
        <v>177</v>
      </c>
      <c r="D675" s="12" t="s">
        <v>178</v>
      </c>
      <c r="E675" s="12" t="s">
        <v>284</v>
      </c>
      <c r="F675" s="12" t="s">
        <v>29</v>
      </c>
      <c r="G675" s="12" t="n">
        <v>480</v>
      </c>
      <c r="H675" s="12" t="n">
        <v>1338</v>
      </c>
      <c r="I675" s="12" t="s">
        <v>293</v>
      </c>
      <c r="J675" s="12" t="n">
        <v>7</v>
      </c>
      <c r="K675" s="12" t="n">
        <v>2</v>
      </c>
      <c r="L675" s="28" t="n">
        <v>1</v>
      </c>
      <c r="M675" s="12" t="n">
        <f aca="false">IF(L675=1,COUNTIFS($C$2:$C$1090,C675,$L$2:$L$1090,1),"")</f>
        <v>11</v>
      </c>
      <c r="N675" s="12" t="n">
        <f aca="false">IF(L675=1,1+COUNTIFS($C$2:$C$1090,C675,$L$2:$L$1090,1,$G$2:$G$1090,"&gt;"&amp;G675),"")</f>
        <v>7</v>
      </c>
      <c r="O675" s="12" t="n">
        <f aca="false">IF(L675=1,1+COUNTIFS($C$2:$C$1090,C675,$L$2:$L$1090,1,$H$2:$H$1090,"&gt;"&amp;H675),"")</f>
        <v>2</v>
      </c>
      <c r="P675" s="12" t="n">
        <f aca="false">IF(L675=1,N675-O675,"")</f>
        <v>5</v>
      </c>
      <c r="Q675" s="12" t="n">
        <f aca="false">INDEX(Directions!$D$2:$D$100,MATCH(C675,Directions!$A$2:$A$100,0))</f>
        <v>0</v>
      </c>
      <c r="R675" s="12" t="n">
        <f aca="false">IF(L675=1,P675*Q675,"")</f>
        <v>0</v>
      </c>
      <c r="S675" s="12" t="str">
        <f aca="false">IF(L675&lt;&gt;1,"Excluded",IF(Q675=0,"No direction",IF(R675&gt;0,"Better",IF(R675&lt;0,"Worse","No change"))))</f>
        <v>No direction</v>
      </c>
      <c r="T675" s="12"/>
      <c r="U675" s="12" t="str">
        <f aca="false">C675&amp;"|"&amp;E675</f>
        <v>F9_02|DEU</v>
      </c>
    </row>
    <row r="676" customFormat="false" ht="15" hidden="false" customHeight="false" outlineLevel="0" collapsed="false">
      <c r="A676" s="12" t="n">
        <v>9</v>
      </c>
      <c r="B676" s="12" t="s">
        <v>43</v>
      </c>
      <c r="C676" s="12" t="s">
        <v>177</v>
      </c>
      <c r="D676" s="12" t="s">
        <v>178</v>
      </c>
      <c r="E676" s="12" t="s">
        <v>285</v>
      </c>
      <c r="F676" s="12" t="s">
        <v>30</v>
      </c>
      <c r="G676" s="12" t="n">
        <v>501</v>
      </c>
      <c r="H676" s="12" t="n">
        <v>756</v>
      </c>
      <c r="I676" s="12" t="s">
        <v>293</v>
      </c>
      <c r="J676" s="12" t="n">
        <v>6</v>
      </c>
      <c r="K676" s="12" t="n">
        <v>8</v>
      </c>
      <c r="L676" s="28" t="n">
        <v>1</v>
      </c>
      <c r="M676" s="12" t="n">
        <f aca="false">IF(L676=1,COUNTIFS($C$2:$C$1090,C676,$L$2:$L$1090,1),"")</f>
        <v>11</v>
      </c>
      <c r="N676" s="12" t="n">
        <f aca="false">IF(L676=1,1+COUNTIFS($C$2:$C$1090,C676,$L$2:$L$1090,1,$G$2:$G$1090,"&gt;"&amp;G676),"")</f>
        <v>6</v>
      </c>
      <c r="O676" s="12" t="n">
        <f aca="false">IF(L676=1,1+COUNTIFS($C$2:$C$1090,C676,$L$2:$L$1090,1,$H$2:$H$1090,"&gt;"&amp;H676),"")</f>
        <v>8</v>
      </c>
      <c r="P676" s="12" t="n">
        <f aca="false">IF(L676=1,N676-O676,"")</f>
        <v>-2</v>
      </c>
      <c r="Q676" s="12" t="n">
        <f aca="false">INDEX(Directions!$D$2:$D$100,MATCH(C676,Directions!$A$2:$A$100,0))</f>
        <v>0</v>
      </c>
      <c r="R676" s="12" t="n">
        <f aca="false">IF(L676=1,P676*Q676,"")</f>
        <v>-0</v>
      </c>
      <c r="S676" s="12" t="str">
        <f aca="false">IF(L676&lt;&gt;1,"Excluded",IF(Q676=0,"No direction",IF(R676&gt;0,"Better",IF(R676&lt;0,"Worse","No change"))))</f>
        <v>No direction</v>
      </c>
      <c r="T676" s="12"/>
      <c r="U676" s="12" t="str">
        <f aca="false">C676&amp;"|"&amp;E676</f>
        <v>F9_02|SWE</v>
      </c>
    </row>
    <row r="677" customFormat="false" ht="15" hidden="false" customHeight="false" outlineLevel="0" collapsed="false">
      <c r="A677" s="12" t="n">
        <v>9</v>
      </c>
      <c r="B677" s="12" t="s">
        <v>43</v>
      </c>
      <c r="C677" s="12" t="s">
        <v>177</v>
      </c>
      <c r="D677" s="12" t="s">
        <v>178</v>
      </c>
      <c r="E677" s="12" t="s">
        <v>286</v>
      </c>
      <c r="F677" s="12" t="s">
        <v>31</v>
      </c>
      <c r="G677" s="12" t="n">
        <v>541</v>
      </c>
      <c r="H677" s="12" t="n">
        <v>851</v>
      </c>
      <c r="I677" s="12" t="s">
        <v>293</v>
      </c>
      <c r="J677" s="12" t="n">
        <v>5</v>
      </c>
      <c r="K677" s="12" t="n">
        <v>7</v>
      </c>
      <c r="L677" s="28" t="n">
        <v>1</v>
      </c>
      <c r="M677" s="12" t="n">
        <f aca="false">IF(L677=1,COUNTIFS($C$2:$C$1090,C677,$L$2:$L$1090,1),"")</f>
        <v>11</v>
      </c>
      <c r="N677" s="12" t="n">
        <f aca="false">IF(L677=1,1+COUNTIFS($C$2:$C$1090,C677,$L$2:$L$1090,1,$G$2:$G$1090,"&gt;"&amp;G677),"")</f>
        <v>5</v>
      </c>
      <c r="O677" s="12" t="n">
        <f aca="false">IF(L677=1,1+COUNTIFS($C$2:$C$1090,C677,$L$2:$L$1090,1,$H$2:$H$1090,"&gt;"&amp;H677),"")</f>
        <v>7</v>
      </c>
      <c r="P677" s="12" t="n">
        <f aca="false">IF(L677=1,N677-O677,"")</f>
        <v>-2</v>
      </c>
      <c r="Q677" s="12" t="n">
        <f aca="false">INDEX(Directions!$D$2:$D$100,MATCH(C677,Directions!$A$2:$A$100,0))</f>
        <v>0</v>
      </c>
      <c r="R677" s="12" t="n">
        <f aca="false">IF(L677=1,P677*Q677,"")</f>
        <v>-0</v>
      </c>
      <c r="S677" s="12" t="str">
        <f aca="false">IF(L677&lt;&gt;1,"Excluded",IF(Q677=0,"No direction",IF(R677&gt;0,"Better",IF(R677&lt;0,"Worse","No change"))))</f>
        <v>No direction</v>
      </c>
      <c r="T677" s="12"/>
      <c r="U677" s="12" t="str">
        <f aca="false">C677&amp;"|"&amp;E677</f>
        <v>F9_02|FRA</v>
      </c>
    </row>
    <row r="678" customFormat="false" ht="15" hidden="false" customHeight="false" outlineLevel="0" collapsed="false">
      <c r="A678" s="12" t="n">
        <v>9</v>
      </c>
      <c r="B678" s="12" t="s">
        <v>43</v>
      </c>
      <c r="C678" s="12" t="s">
        <v>177</v>
      </c>
      <c r="D678" s="12" t="s">
        <v>178</v>
      </c>
      <c r="E678" s="12" t="s">
        <v>32</v>
      </c>
      <c r="F678" s="12" t="s">
        <v>32</v>
      </c>
      <c r="G678" s="12" t="n">
        <v>292</v>
      </c>
      <c r="H678" s="12" t="n">
        <v>568</v>
      </c>
      <c r="I678" s="12" t="s">
        <v>282</v>
      </c>
      <c r="J678" s="12" t="n">
        <v>11</v>
      </c>
      <c r="K678" s="12" t="n">
        <v>10</v>
      </c>
      <c r="L678" s="28" t="n">
        <v>1</v>
      </c>
      <c r="M678" s="12" t="n">
        <f aca="false">IF(L678=1,COUNTIFS($C$2:$C$1090,C678,$L$2:$L$1090,1),"")</f>
        <v>11</v>
      </c>
      <c r="N678" s="12" t="n">
        <f aca="false">IF(L678=1,1+COUNTIFS($C$2:$C$1090,C678,$L$2:$L$1090,1,$G$2:$G$1090,"&gt;"&amp;G678),"")</f>
        <v>11</v>
      </c>
      <c r="O678" s="12" t="n">
        <f aca="false">IF(L678=1,1+COUNTIFS($C$2:$C$1090,C678,$L$2:$L$1090,1,$H$2:$H$1090,"&gt;"&amp;H678),"")</f>
        <v>10</v>
      </c>
      <c r="P678" s="12" t="n">
        <f aca="false">IF(L678=1,N678-O678,"")</f>
        <v>1</v>
      </c>
      <c r="Q678" s="12" t="n">
        <f aca="false">INDEX(Directions!$D$2:$D$100,MATCH(C678,Directions!$A$2:$A$100,0))</f>
        <v>0</v>
      </c>
      <c r="R678" s="12" t="n">
        <f aca="false">IF(L678=1,P678*Q678,"")</f>
        <v>0</v>
      </c>
      <c r="S678" s="12" t="str">
        <f aca="false">IF(L678&lt;&gt;1,"Excluded",IF(Q678=0,"No direction",IF(R678&gt;0,"Better",IF(R678&lt;0,"Worse","No change"))))</f>
        <v>No direction</v>
      </c>
      <c r="T678" s="12"/>
      <c r="U678" s="12" t="str">
        <f aca="false">C678&amp;"|"&amp;E678</f>
        <v>F9_02|NLD</v>
      </c>
    </row>
    <row r="679" customFormat="false" ht="15" hidden="false" customHeight="false" outlineLevel="0" collapsed="false">
      <c r="A679" s="12" t="n">
        <v>9</v>
      </c>
      <c r="B679" s="12" t="s">
        <v>43</v>
      </c>
      <c r="C679" s="12" t="s">
        <v>177</v>
      </c>
      <c r="D679" s="12" t="s">
        <v>178</v>
      </c>
      <c r="E679" s="12" t="s">
        <v>33</v>
      </c>
      <c r="F679" s="12" t="s">
        <v>33</v>
      </c>
      <c r="G679" s="12" t="n">
        <v>776</v>
      </c>
      <c r="H679" s="12" t="n">
        <v>1193</v>
      </c>
      <c r="I679" s="12" t="s">
        <v>293</v>
      </c>
      <c r="J679" s="12" t="n">
        <v>2</v>
      </c>
      <c r="K679" s="12" t="n">
        <v>3</v>
      </c>
      <c r="L679" s="28" t="n">
        <v>1</v>
      </c>
      <c r="M679" s="12" t="n">
        <f aca="false">IF(L679=1,COUNTIFS($C$2:$C$1090,C679,$L$2:$L$1090,1),"")</f>
        <v>11</v>
      </c>
      <c r="N679" s="12" t="n">
        <f aca="false">IF(L679=1,1+COUNTIFS($C$2:$C$1090,C679,$L$2:$L$1090,1,$G$2:$G$1090,"&gt;"&amp;G679),"")</f>
        <v>2</v>
      </c>
      <c r="O679" s="12" t="n">
        <f aca="false">IF(L679=1,1+COUNTIFS($C$2:$C$1090,C679,$L$2:$L$1090,1,$H$2:$H$1090,"&gt;"&amp;H679),"")</f>
        <v>3</v>
      </c>
      <c r="P679" s="12" t="n">
        <f aca="false">IF(L679=1,N679-O679,"")</f>
        <v>-1</v>
      </c>
      <c r="Q679" s="12" t="n">
        <f aca="false">INDEX(Directions!$D$2:$D$100,MATCH(C679,Directions!$A$2:$A$100,0))</f>
        <v>0</v>
      </c>
      <c r="R679" s="12" t="n">
        <f aca="false">IF(L679=1,P679*Q679,"")</f>
        <v>-0</v>
      </c>
      <c r="S679" s="12" t="str">
        <f aca="false">IF(L679&lt;&gt;1,"Excluded",IF(Q679=0,"No direction",IF(R679&gt;0,"Better",IF(R679&lt;0,"Worse","No change"))))</f>
        <v>No direction</v>
      </c>
      <c r="T679" s="12"/>
      <c r="U679" s="12" t="str">
        <f aca="false">C679&amp;"|"&amp;E679</f>
        <v>F9_02|CHE</v>
      </c>
    </row>
    <row r="680" customFormat="false" ht="15" hidden="false" customHeight="false" outlineLevel="0" collapsed="false">
      <c r="A680" s="12" t="n">
        <v>9</v>
      </c>
      <c r="B680" s="12" t="s">
        <v>43</v>
      </c>
      <c r="C680" s="12" t="s">
        <v>177</v>
      </c>
      <c r="D680" s="12" t="s">
        <v>178</v>
      </c>
      <c r="E680" s="12" t="s">
        <v>287</v>
      </c>
      <c r="F680" s="12" t="s">
        <v>34</v>
      </c>
      <c r="G680" s="12" t="n">
        <v>573</v>
      </c>
      <c r="H680" s="12" t="n">
        <v>535</v>
      </c>
      <c r="I680" s="12" t="s">
        <v>282</v>
      </c>
      <c r="J680" s="12" t="n">
        <v>4</v>
      </c>
      <c r="K680" s="12" t="n">
        <v>11</v>
      </c>
      <c r="L680" s="28" t="n">
        <v>1</v>
      </c>
      <c r="M680" s="12" t="n">
        <f aca="false">IF(L680=1,COUNTIFS($C$2:$C$1090,C680,$L$2:$L$1090,1),"")</f>
        <v>11</v>
      </c>
      <c r="N680" s="12" t="n">
        <f aca="false">IF(L680=1,1+COUNTIFS($C$2:$C$1090,C680,$L$2:$L$1090,1,$G$2:$G$1090,"&gt;"&amp;G680),"")</f>
        <v>4</v>
      </c>
      <c r="O680" s="12" t="n">
        <f aca="false">IF(L680=1,1+COUNTIFS($C$2:$C$1090,C680,$L$2:$L$1090,1,$H$2:$H$1090,"&gt;"&amp;H680),"")</f>
        <v>11</v>
      </c>
      <c r="P680" s="12" t="n">
        <f aca="false">IF(L680=1,N680-O680,"")</f>
        <v>-7</v>
      </c>
      <c r="Q680" s="12" t="n">
        <f aca="false">INDEX(Directions!$D$2:$D$100,MATCH(C680,Directions!$A$2:$A$100,0))</f>
        <v>0</v>
      </c>
      <c r="R680" s="12" t="n">
        <f aca="false">IF(L680=1,P680*Q680,"")</f>
        <v>-0</v>
      </c>
      <c r="S680" s="12" t="str">
        <f aca="false">IF(L680&lt;&gt;1,"Excluded",IF(Q680=0,"No direction",IF(R680&gt;0,"Better",IF(R680&lt;0,"Worse","No change"))))</f>
        <v>No direction</v>
      </c>
      <c r="T680" s="12"/>
      <c r="U680" s="12" t="str">
        <f aca="false">C680&amp;"|"&amp;E680</f>
        <v>F9_02|DNK</v>
      </c>
    </row>
    <row r="681" customFormat="false" ht="15" hidden="false" customHeight="false" outlineLevel="0" collapsed="false">
      <c r="A681" s="12" t="n">
        <v>9</v>
      </c>
      <c r="B681" s="12" t="s">
        <v>43</v>
      </c>
      <c r="C681" s="12" t="s">
        <v>177</v>
      </c>
      <c r="D681" s="12" t="s">
        <v>178</v>
      </c>
      <c r="E681" s="12" t="s">
        <v>288</v>
      </c>
      <c r="F681" s="12" t="s">
        <v>35</v>
      </c>
      <c r="G681" s="12" t="n">
        <v>587</v>
      </c>
      <c r="H681" s="12" t="n">
        <v>1064</v>
      </c>
      <c r="I681" s="12" t="s">
        <v>282</v>
      </c>
      <c r="J681" s="12" t="n">
        <v>3</v>
      </c>
      <c r="K681" s="12" t="n">
        <v>4</v>
      </c>
      <c r="L681" s="28" t="n">
        <v>1</v>
      </c>
      <c r="M681" s="12" t="n">
        <f aca="false">IF(L681=1,COUNTIFS($C$2:$C$1090,C681,$L$2:$L$1090,1),"")</f>
        <v>11</v>
      </c>
      <c r="N681" s="12" t="n">
        <f aca="false">IF(L681=1,1+COUNTIFS($C$2:$C$1090,C681,$L$2:$L$1090,1,$G$2:$G$1090,"&gt;"&amp;G681),"")</f>
        <v>3</v>
      </c>
      <c r="O681" s="12" t="n">
        <f aca="false">IF(L681=1,1+COUNTIFS($C$2:$C$1090,C681,$L$2:$L$1090,1,$H$2:$H$1090,"&gt;"&amp;H681),"")</f>
        <v>4</v>
      </c>
      <c r="P681" s="12" t="n">
        <f aca="false">IF(L681=1,N681-O681,"")</f>
        <v>-1</v>
      </c>
      <c r="Q681" s="12" t="n">
        <f aca="false">INDEX(Directions!$D$2:$D$100,MATCH(C681,Directions!$A$2:$A$100,0))</f>
        <v>0</v>
      </c>
      <c r="R681" s="12" t="n">
        <f aca="false">IF(L681=1,P681*Q681,"")</f>
        <v>-0</v>
      </c>
      <c r="S681" s="12" t="str">
        <f aca="false">IF(L681&lt;&gt;1,"Excluded",IF(Q681=0,"No direction",IF(R681&gt;0,"Better",IF(R681&lt;0,"Worse","No change"))))</f>
        <v>No direction</v>
      </c>
      <c r="T681" s="12"/>
      <c r="U681" s="12" t="str">
        <f aca="false">C681&amp;"|"&amp;E681</f>
        <v>F9_02|CAN</v>
      </c>
    </row>
    <row r="682" customFormat="false" ht="15" hidden="false" customHeight="false" outlineLevel="0" collapsed="false">
      <c r="A682" s="12" t="n">
        <v>9</v>
      </c>
      <c r="B682" s="12" t="s">
        <v>43</v>
      </c>
      <c r="C682" s="12" t="s">
        <v>177</v>
      </c>
      <c r="D682" s="12" t="s">
        <v>178</v>
      </c>
      <c r="E682" s="12" t="s">
        <v>289</v>
      </c>
      <c r="F682" s="12" t="s">
        <v>36</v>
      </c>
      <c r="G682" s="12" t="n">
        <v>443</v>
      </c>
      <c r="H682" s="12" t="n">
        <v>1026</v>
      </c>
      <c r="I682" s="12" t="s">
        <v>291</v>
      </c>
      <c r="J682" s="12" t="n">
        <v>8</v>
      </c>
      <c r="K682" s="12" t="n">
        <v>5</v>
      </c>
      <c r="L682" s="28" t="n">
        <v>1</v>
      </c>
      <c r="M682" s="12" t="n">
        <f aca="false">IF(L682=1,COUNTIFS($C$2:$C$1090,C682,$L$2:$L$1090,1),"")</f>
        <v>11</v>
      </c>
      <c r="N682" s="12" t="n">
        <f aca="false">IF(L682=1,1+COUNTIFS($C$2:$C$1090,C682,$L$2:$L$1090,1,$G$2:$G$1090,"&gt;"&amp;G682),"")</f>
        <v>8</v>
      </c>
      <c r="O682" s="12" t="n">
        <f aca="false">IF(L682=1,1+COUNTIFS($C$2:$C$1090,C682,$L$2:$L$1090,1,$H$2:$H$1090,"&gt;"&amp;H682),"")</f>
        <v>5</v>
      </c>
      <c r="P682" s="12" t="n">
        <f aca="false">IF(L682=1,N682-O682,"")</f>
        <v>3</v>
      </c>
      <c r="Q682" s="12" t="n">
        <f aca="false">INDEX(Directions!$D$2:$D$100,MATCH(C682,Directions!$A$2:$A$100,0))</f>
        <v>0</v>
      </c>
      <c r="R682" s="12" t="n">
        <f aca="false">IF(L682=1,P682*Q682,"")</f>
        <v>0</v>
      </c>
      <c r="S682" s="12" t="str">
        <f aca="false">IF(L682&lt;&gt;1,"Excluded",IF(Q682=0,"No direction",IF(R682&gt;0,"Better",IF(R682&lt;0,"Worse","No change"))))</f>
        <v>No direction</v>
      </c>
      <c r="T682" s="12"/>
      <c r="U682" s="12" t="str">
        <f aca="false">C682&amp;"|"&amp;E682</f>
        <v>F9_02|JPN</v>
      </c>
    </row>
    <row r="683" customFormat="false" ht="15" hidden="false" customHeight="false" outlineLevel="0" collapsed="false">
      <c r="A683" s="12" t="n">
        <v>9</v>
      </c>
      <c r="B683" s="12" t="s">
        <v>43</v>
      </c>
      <c r="C683" s="12" t="s">
        <v>177</v>
      </c>
      <c r="D683" s="12" t="s">
        <v>178</v>
      </c>
      <c r="E683" s="12" t="s">
        <v>290</v>
      </c>
      <c r="F683" s="12" t="s">
        <v>37</v>
      </c>
      <c r="G683" s="12" t="n">
        <v>346</v>
      </c>
      <c r="H683" s="12" t="n">
        <v>947</v>
      </c>
      <c r="I683" s="12" t="s">
        <v>291</v>
      </c>
      <c r="J683" s="12" t="n">
        <v>10</v>
      </c>
      <c r="K683" s="12" t="n">
        <v>6</v>
      </c>
      <c r="L683" s="28" t="n">
        <v>1</v>
      </c>
      <c r="M683" s="12" t="n">
        <f aca="false">IF(L683=1,COUNTIFS($C$2:$C$1090,C683,$L$2:$L$1090,1),"")</f>
        <v>11</v>
      </c>
      <c r="N683" s="12" t="n">
        <f aca="false">IF(L683=1,1+COUNTIFS($C$2:$C$1090,C683,$L$2:$L$1090,1,$G$2:$G$1090,"&gt;"&amp;G683),"")</f>
        <v>10</v>
      </c>
      <c r="O683" s="12" t="n">
        <f aca="false">IF(L683=1,1+COUNTIFS($C$2:$C$1090,C683,$L$2:$L$1090,1,$H$2:$H$1090,"&gt;"&amp;H683),"")</f>
        <v>6</v>
      </c>
      <c r="P683" s="12" t="n">
        <f aca="false">IF(L683=1,N683-O683,"")</f>
        <v>4</v>
      </c>
      <c r="Q683" s="12" t="n">
        <f aca="false">INDEX(Directions!$D$2:$D$100,MATCH(C683,Directions!$A$2:$A$100,0))</f>
        <v>0</v>
      </c>
      <c r="R683" s="12" t="n">
        <f aca="false">IF(L683=1,P683*Q683,"")</f>
        <v>0</v>
      </c>
      <c r="S683" s="12" t="str">
        <f aca="false">IF(L683&lt;&gt;1,"Excluded",IF(Q683=0,"No direction",IF(R683&gt;0,"Better",IF(R683&lt;0,"Worse","No change"))))</f>
        <v>No direction</v>
      </c>
      <c r="T683" s="12"/>
      <c r="U683" s="12" t="str">
        <f aca="false">C683&amp;"|"&amp;E683</f>
        <v>F9_02|AUS</v>
      </c>
    </row>
    <row r="684" customFormat="false" ht="15" hidden="false" customHeight="false" outlineLevel="0" collapsed="false">
      <c r="A684" s="12" t="n">
        <v>9</v>
      </c>
      <c r="B684" s="12" t="s">
        <v>43</v>
      </c>
      <c r="C684" s="12" t="s">
        <v>179</v>
      </c>
      <c r="D684" s="12" t="s">
        <v>180</v>
      </c>
      <c r="E684" s="12" t="s">
        <v>281</v>
      </c>
      <c r="F684" s="12" t="s">
        <v>27</v>
      </c>
      <c r="G684" s="12" t="n">
        <v>86</v>
      </c>
      <c r="H684" s="12" t="s">
        <v>302</v>
      </c>
      <c r="I684" s="12"/>
      <c r="J684" s="12" t="n">
        <v>1</v>
      </c>
      <c r="K684" s="12" t="s">
        <v>302</v>
      </c>
      <c r="L684" s="28" t="n">
        <v>0</v>
      </c>
      <c r="M684" s="12" t="str">
        <f aca="false">IF(L684=1,COUNTIFS($C$2:$C$1090,C684,$L$2:$L$1090,1),"")</f>
        <v/>
      </c>
      <c r="N684" s="12" t="str">
        <f aca="false">IF(L684=1,1+COUNTIFS($C$2:$C$1090,C684,$L$2:$L$1090,1,$G$2:$G$1090,"&gt;"&amp;G684),"")</f>
        <v/>
      </c>
      <c r="O684" s="12" t="str">
        <f aca="false">IF(L684=1,1+COUNTIFS($C$2:$C$1090,C684,$L$2:$L$1090,1,$H$2:$H$1090,"&gt;"&amp;H684),"")</f>
        <v/>
      </c>
      <c r="P684" s="12" t="str">
        <f aca="false">IF(L684=1,N684-O684,"")</f>
        <v/>
      </c>
      <c r="Q684" s="12" t="n">
        <f aca="false">INDEX(Directions!$D$2:$D$100,MATCH(C684,Directions!$A$2:$A$100,0))</f>
        <v>0</v>
      </c>
      <c r="R684" s="12" t="str">
        <f aca="false">IF(L684=1,P684*Q684,"")</f>
        <v/>
      </c>
      <c r="S684" s="12" t="str">
        <f aca="false">IF(L684&lt;&gt;1,"Excluded",IF(Q684=0,"No direction",IF(R684&gt;0,"Better",IF(R684&lt;0,"Worse","No change"))))</f>
        <v>Excluded</v>
      </c>
      <c r="T684" s="12" t="s">
        <v>303</v>
      </c>
      <c r="U684" s="12" t="str">
        <f aca="false">C684&amp;"|"&amp;E684</f>
        <v>F9_03|USA</v>
      </c>
    </row>
    <row r="685" customFormat="false" ht="15" hidden="false" customHeight="false" outlineLevel="0" collapsed="false">
      <c r="A685" s="12" t="n">
        <v>9</v>
      </c>
      <c r="B685" s="12" t="s">
        <v>43</v>
      </c>
      <c r="C685" s="12" t="s">
        <v>179</v>
      </c>
      <c r="D685" s="12" t="s">
        <v>180</v>
      </c>
      <c r="E685" s="12" t="s">
        <v>283</v>
      </c>
      <c r="F685" s="12" t="s">
        <v>28</v>
      </c>
      <c r="G685" s="12" t="n">
        <v>26</v>
      </c>
      <c r="H685" s="12" t="s">
        <v>302</v>
      </c>
      <c r="I685" s="12"/>
      <c r="J685" s="12" t="n">
        <v>5</v>
      </c>
      <c r="K685" s="12" t="s">
        <v>302</v>
      </c>
      <c r="L685" s="28" t="n">
        <v>0</v>
      </c>
      <c r="M685" s="12" t="str">
        <f aca="false">IF(L685=1,COUNTIFS($C$2:$C$1090,C685,$L$2:$L$1090,1),"")</f>
        <v/>
      </c>
      <c r="N685" s="12" t="str">
        <f aca="false">IF(L685=1,1+COUNTIFS($C$2:$C$1090,C685,$L$2:$L$1090,1,$G$2:$G$1090,"&gt;"&amp;G685),"")</f>
        <v/>
      </c>
      <c r="O685" s="12" t="str">
        <f aca="false">IF(L685=1,1+COUNTIFS($C$2:$C$1090,C685,$L$2:$L$1090,1,$H$2:$H$1090,"&gt;"&amp;H685),"")</f>
        <v/>
      </c>
      <c r="P685" s="12" t="str">
        <f aca="false">IF(L685=1,N685-O685,"")</f>
        <v/>
      </c>
      <c r="Q685" s="12" t="n">
        <f aca="false">INDEX(Directions!$D$2:$D$100,MATCH(C685,Directions!$A$2:$A$100,0))</f>
        <v>0</v>
      </c>
      <c r="R685" s="12" t="str">
        <f aca="false">IF(L685=1,P685*Q685,"")</f>
        <v/>
      </c>
      <c r="S685" s="12" t="str">
        <f aca="false">IF(L685&lt;&gt;1,"Excluded",IF(Q685=0,"No direction",IF(R685&gt;0,"Better",IF(R685&lt;0,"Worse","No change"))))</f>
        <v>Excluded</v>
      </c>
      <c r="T685" s="12" t="s">
        <v>303</v>
      </c>
      <c r="U685" s="12" t="str">
        <f aca="false">C685&amp;"|"&amp;E685</f>
        <v>F9_03|GBR</v>
      </c>
    </row>
    <row r="686" customFormat="false" ht="15" hidden="false" customHeight="false" outlineLevel="0" collapsed="false">
      <c r="A686" s="12" t="n">
        <v>9</v>
      </c>
      <c r="B686" s="12" t="s">
        <v>43</v>
      </c>
      <c r="C686" s="12" t="s">
        <v>179</v>
      </c>
      <c r="D686" s="12" t="s">
        <v>180</v>
      </c>
      <c r="E686" s="12" t="s">
        <v>284</v>
      </c>
      <c r="F686" s="12" t="s">
        <v>29</v>
      </c>
      <c r="G686" s="12" t="n">
        <v>41</v>
      </c>
      <c r="H686" s="12" t="s">
        <v>302</v>
      </c>
      <c r="I686" s="12"/>
      <c r="J686" s="12" t="n">
        <v>2</v>
      </c>
      <c r="K686" s="12" t="s">
        <v>302</v>
      </c>
      <c r="L686" s="28" t="n">
        <v>0</v>
      </c>
      <c r="M686" s="12" t="str">
        <f aca="false">IF(L686=1,COUNTIFS($C$2:$C$1090,C686,$L$2:$L$1090,1),"")</f>
        <v/>
      </c>
      <c r="N686" s="12" t="str">
        <f aca="false">IF(L686=1,1+COUNTIFS($C$2:$C$1090,C686,$L$2:$L$1090,1,$G$2:$G$1090,"&gt;"&amp;G686),"")</f>
        <v/>
      </c>
      <c r="O686" s="12" t="str">
        <f aca="false">IF(L686=1,1+COUNTIFS($C$2:$C$1090,C686,$L$2:$L$1090,1,$H$2:$H$1090,"&gt;"&amp;H686),"")</f>
        <v/>
      </c>
      <c r="P686" s="12" t="str">
        <f aca="false">IF(L686=1,N686-O686,"")</f>
        <v/>
      </c>
      <c r="Q686" s="12" t="n">
        <f aca="false">INDEX(Directions!$D$2:$D$100,MATCH(C686,Directions!$A$2:$A$100,0))</f>
        <v>0</v>
      </c>
      <c r="R686" s="12" t="str">
        <f aca="false">IF(L686=1,P686*Q686,"")</f>
        <v/>
      </c>
      <c r="S686" s="12" t="str">
        <f aca="false">IF(L686&lt;&gt;1,"Excluded",IF(Q686=0,"No direction",IF(R686&gt;0,"Better",IF(R686&lt;0,"Worse","No change"))))</f>
        <v>Excluded</v>
      </c>
      <c r="T686" s="12" t="s">
        <v>303</v>
      </c>
      <c r="U686" s="12" t="str">
        <f aca="false">C686&amp;"|"&amp;E686</f>
        <v>F9_03|DEU</v>
      </c>
    </row>
    <row r="687" customFormat="false" ht="15" hidden="false" customHeight="false" outlineLevel="0" collapsed="false">
      <c r="A687" s="12" t="n">
        <v>9</v>
      </c>
      <c r="B687" s="12" t="s">
        <v>43</v>
      </c>
      <c r="C687" s="12" t="s">
        <v>179</v>
      </c>
      <c r="D687" s="12" t="s">
        <v>180</v>
      </c>
      <c r="E687" s="12" t="s">
        <v>285</v>
      </c>
      <c r="F687" s="12" t="s">
        <v>30</v>
      </c>
      <c r="G687" s="12" t="s">
        <v>302</v>
      </c>
      <c r="H687" s="12" t="s">
        <v>302</v>
      </c>
      <c r="I687" s="12"/>
      <c r="J687" s="12" t="s">
        <v>302</v>
      </c>
      <c r="K687" s="12" t="s">
        <v>302</v>
      </c>
      <c r="L687" s="28" t="n">
        <v>0</v>
      </c>
      <c r="M687" s="12" t="str">
        <f aca="false">IF(L687=1,COUNTIFS($C$2:$C$1090,C687,$L$2:$L$1090,1),"")</f>
        <v/>
      </c>
      <c r="N687" s="12" t="str">
        <f aca="false">IF(L687=1,1+COUNTIFS($C$2:$C$1090,C687,$L$2:$L$1090,1,$G$2:$G$1090,"&gt;"&amp;G687),"")</f>
        <v/>
      </c>
      <c r="O687" s="12" t="str">
        <f aca="false">IF(L687=1,1+COUNTIFS($C$2:$C$1090,C687,$L$2:$L$1090,1,$H$2:$H$1090,"&gt;"&amp;H687),"")</f>
        <v/>
      </c>
      <c r="P687" s="12" t="str">
        <f aca="false">IF(L687=1,N687-O687,"")</f>
        <v/>
      </c>
      <c r="Q687" s="12" t="n">
        <f aca="false">INDEX(Directions!$D$2:$D$100,MATCH(C687,Directions!$A$2:$A$100,0))</f>
        <v>0</v>
      </c>
      <c r="R687" s="12" t="str">
        <f aca="false">IF(L687=1,P687*Q687,"")</f>
        <v/>
      </c>
      <c r="S687" s="12" t="str">
        <f aca="false">IF(L687&lt;&gt;1,"Excluded",IF(Q687=0,"No direction",IF(R687&gt;0,"Better",IF(R687&lt;0,"Worse","No change"))))</f>
        <v>Excluded</v>
      </c>
      <c r="T687" s="12" t="s">
        <v>304</v>
      </c>
      <c r="U687" s="12" t="str">
        <f aca="false">C687&amp;"|"&amp;E687</f>
        <v>F9_03|SWE</v>
      </c>
    </row>
    <row r="688" customFormat="false" ht="15" hidden="false" customHeight="false" outlineLevel="0" collapsed="false">
      <c r="A688" s="12" t="n">
        <v>9</v>
      </c>
      <c r="B688" s="12" t="s">
        <v>43</v>
      </c>
      <c r="C688" s="12" t="s">
        <v>179</v>
      </c>
      <c r="D688" s="12" t="s">
        <v>180</v>
      </c>
      <c r="E688" s="12" t="s">
        <v>286</v>
      </c>
      <c r="F688" s="12" t="s">
        <v>31</v>
      </c>
      <c r="G688" s="12" t="n">
        <v>20</v>
      </c>
      <c r="H688" s="12" t="s">
        <v>302</v>
      </c>
      <c r="I688" s="12"/>
      <c r="J688" s="12" t="n">
        <v>6</v>
      </c>
      <c r="K688" s="12" t="s">
        <v>302</v>
      </c>
      <c r="L688" s="28" t="n">
        <v>0</v>
      </c>
      <c r="M688" s="12" t="str">
        <f aca="false">IF(L688=1,COUNTIFS($C$2:$C$1090,C688,$L$2:$L$1090,1),"")</f>
        <v/>
      </c>
      <c r="N688" s="12" t="str">
        <f aca="false">IF(L688=1,1+COUNTIFS($C$2:$C$1090,C688,$L$2:$L$1090,1,$G$2:$G$1090,"&gt;"&amp;G688),"")</f>
        <v/>
      </c>
      <c r="O688" s="12" t="str">
        <f aca="false">IF(L688=1,1+COUNTIFS($C$2:$C$1090,C688,$L$2:$L$1090,1,$H$2:$H$1090,"&gt;"&amp;H688),"")</f>
        <v/>
      </c>
      <c r="P688" s="12" t="str">
        <f aca="false">IF(L688=1,N688-O688,"")</f>
        <v/>
      </c>
      <c r="Q688" s="12" t="n">
        <f aca="false">INDEX(Directions!$D$2:$D$100,MATCH(C688,Directions!$A$2:$A$100,0))</f>
        <v>0</v>
      </c>
      <c r="R688" s="12" t="str">
        <f aca="false">IF(L688=1,P688*Q688,"")</f>
        <v/>
      </c>
      <c r="S688" s="12" t="str">
        <f aca="false">IF(L688&lt;&gt;1,"Excluded",IF(Q688=0,"No direction",IF(R688&gt;0,"Better",IF(R688&lt;0,"Worse","No change"))))</f>
        <v>Excluded</v>
      </c>
      <c r="T688" s="12" t="s">
        <v>303</v>
      </c>
      <c r="U688" s="12" t="str">
        <f aca="false">C688&amp;"|"&amp;E688</f>
        <v>F9_03|FRA</v>
      </c>
    </row>
    <row r="689" customFormat="false" ht="15" hidden="false" customHeight="false" outlineLevel="0" collapsed="false">
      <c r="A689" s="12" t="n">
        <v>9</v>
      </c>
      <c r="B689" s="12" t="s">
        <v>43</v>
      </c>
      <c r="C689" s="12" t="s">
        <v>179</v>
      </c>
      <c r="D689" s="12" t="s">
        <v>180</v>
      </c>
      <c r="E689" s="12" t="s">
        <v>32</v>
      </c>
      <c r="F689" s="12" t="s">
        <v>32</v>
      </c>
      <c r="G689" s="12" t="s">
        <v>302</v>
      </c>
      <c r="H689" s="12" t="s">
        <v>302</v>
      </c>
      <c r="I689" s="12"/>
      <c r="J689" s="12" t="s">
        <v>302</v>
      </c>
      <c r="K689" s="12" t="s">
        <v>302</v>
      </c>
      <c r="L689" s="28" t="n">
        <v>0</v>
      </c>
      <c r="M689" s="12" t="str">
        <f aca="false">IF(L689=1,COUNTIFS($C$2:$C$1090,C689,$L$2:$L$1090,1),"")</f>
        <v/>
      </c>
      <c r="N689" s="12" t="str">
        <f aca="false">IF(L689=1,1+COUNTIFS($C$2:$C$1090,C689,$L$2:$L$1090,1,$G$2:$G$1090,"&gt;"&amp;G689),"")</f>
        <v/>
      </c>
      <c r="O689" s="12" t="str">
        <f aca="false">IF(L689=1,1+COUNTIFS($C$2:$C$1090,C689,$L$2:$L$1090,1,$H$2:$H$1090,"&gt;"&amp;H689),"")</f>
        <v/>
      </c>
      <c r="P689" s="12" t="str">
        <f aca="false">IF(L689=1,N689-O689,"")</f>
        <v/>
      </c>
      <c r="Q689" s="12" t="n">
        <f aca="false">INDEX(Directions!$D$2:$D$100,MATCH(C689,Directions!$A$2:$A$100,0))</f>
        <v>0</v>
      </c>
      <c r="R689" s="12" t="str">
        <f aca="false">IF(L689=1,P689*Q689,"")</f>
        <v/>
      </c>
      <c r="S689" s="12" t="str">
        <f aca="false">IF(L689&lt;&gt;1,"Excluded",IF(Q689=0,"No direction",IF(R689&gt;0,"Better",IF(R689&lt;0,"Worse","No change"))))</f>
        <v>Excluded</v>
      </c>
      <c r="T689" s="12" t="s">
        <v>304</v>
      </c>
      <c r="U689" s="12" t="str">
        <f aca="false">C689&amp;"|"&amp;E689</f>
        <v>F9_03|NLD</v>
      </c>
    </row>
    <row r="690" customFormat="false" ht="15" hidden="false" customHeight="false" outlineLevel="0" collapsed="false">
      <c r="A690" s="12" t="n">
        <v>9</v>
      </c>
      <c r="B690" s="12" t="s">
        <v>43</v>
      </c>
      <c r="C690" s="12" t="s">
        <v>179</v>
      </c>
      <c r="D690" s="12" t="s">
        <v>180</v>
      </c>
      <c r="E690" s="12" t="s">
        <v>33</v>
      </c>
      <c r="F690" s="12" t="s">
        <v>33</v>
      </c>
      <c r="G690" s="12" t="s">
        <v>302</v>
      </c>
      <c r="H690" s="12" t="s">
        <v>302</v>
      </c>
      <c r="I690" s="12"/>
      <c r="J690" s="12" t="s">
        <v>302</v>
      </c>
      <c r="K690" s="12" t="s">
        <v>302</v>
      </c>
      <c r="L690" s="28" t="n">
        <v>0</v>
      </c>
      <c r="M690" s="12" t="str">
        <f aca="false">IF(L690=1,COUNTIFS($C$2:$C$1090,C690,$L$2:$L$1090,1),"")</f>
        <v/>
      </c>
      <c r="N690" s="12" t="str">
        <f aca="false">IF(L690=1,1+COUNTIFS($C$2:$C$1090,C690,$L$2:$L$1090,1,$G$2:$G$1090,"&gt;"&amp;G690),"")</f>
        <v/>
      </c>
      <c r="O690" s="12" t="str">
        <f aca="false">IF(L690=1,1+COUNTIFS($C$2:$C$1090,C690,$L$2:$L$1090,1,$H$2:$H$1090,"&gt;"&amp;H690),"")</f>
        <v/>
      </c>
      <c r="P690" s="12" t="str">
        <f aca="false">IF(L690=1,N690-O690,"")</f>
        <v/>
      </c>
      <c r="Q690" s="12" t="n">
        <f aca="false">INDEX(Directions!$D$2:$D$100,MATCH(C690,Directions!$A$2:$A$100,0))</f>
        <v>0</v>
      </c>
      <c r="R690" s="12" t="str">
        <f aca="false">IF(L690=1,P690*Q690,"")</f>
        <v/>
      </c>
      <c r="S690" s="12" t="str">
        <f aca="false">IF(L690&lt;&gt;1,"Excluded",IF(Q690=0,"No direction",IF(R690&gt;0,"Better",IF(R690&lt;0,"Worse","No change"))))</f>
        <v>Excluded</v>
      </c>
      <c r="T690" s="12" t="s">
        <v>304</v>
      </c>
      <c r="U690" s="12" t="str">
        <f aca="false">C690&amp;"|"&amp;E690</f>
        <v>F9_03|CHE</v>
      </c>
    </row>
    <row r="691" customFormat="false" ht="15" hidden="false" customHeight="false" outlineLevel="0" collapsed="false">
      <c r="A691" s="12" t="n">
        <v>9</v>
      </c>
      <c r="B691" s="12" t="s">
        <v>43</v>
      </c>
      <c r="C691" s="12" t="s">
        <v>179</v>
      </c>
      <c r="D691" s="12" t="s">
        <v>180</v>
      </c>
      <c r="E691" s="12" t="s">
        <v>287</v>
      </c>
      <c r="F691" s="12" t="s">
        <v>34</v>
      </c>
      <c r="G691" s="12" t="s">
        <v>302</v>
      </c>
      <c r="H691" s="12" t="s">
        <v>302</v>
      </c>
      <c r="I691" s="12"/>
      <c r="J691" s="12" t="s">
        <v>302</v>
      </c>
      <c r="K691" s="12" t="s">
        <v>302</v>
      </c>
      <c r="L691" s="28" t="n">
        <v>0</v>
      </c>
      <c r="M691" s="12" t="str">
        <f aca="false">IF(L691=1,COUNTIFS($C$2:$C$1090,C691,$L$2:$L$1090,1),"")</f>
        <v/>
      </c>
      <c r="N691" s="12" t="str">
        <f aca="false">IF(L691=1,1+COUNTIFS($C$2:$C$1090,C691,$L$2:$L$1090,1,$G$2:$G$1090,"&gt;"&amp;G691),"")</f>
        <v/>
      </c>
      <c r="O691" s="12" t="str">
        <f aca="false">IF(L691=1,1+COUNTIFS($C$2:$C$1090,C691,$L$2:$L$1090,1,$H$2:$H$1090,"&gt;"&amp;H691),"")</f>
        <v/>
      </c>
      <c r="P691" s="12" t="str">
        <f aca="false">IF(L691=1,N691-O691,"")</f>
        <v/>
      </c>
      <c r="Q691" s="12" t="n">
        <f aca="false">INDEX(Directions!$D$2:$D$100,MATCH(C691,Directions!$A$2:$A$100,0))</f>
        <v>0</v>
      </c>
      <c r="R691" s="12" t="str">
        <f aca="false">IF(L691=1,P691*Q691,"")</f>
        <v/>
      </c>
      <c r="S691" s="12" t="str">
        <f aca="false">IF(L691&lt;&gt;1,"Excluded",IF(Q691=0,"No direction",IF(R691&gt;0,"Better",IF(R691&lt;0,"Worse","No change"))))</f>
        <v>Excluded</v>
      </c>
      <c r="T691" s="12" t="s">
        <v>304</v>
      </c>
      <c r="U691" s="12" t="str">
        <f aca="false">C691&amp;"|"&amp;E691</f>
        <v>F9_03|DNK</v>
      </c>
    </row>
    <row r="692" customFormat="false" ht="15" hidden="false" customHeight="false" outlineLevel="0" collapsed="false">
      <c r="A692" s="12" t="n">
        <v>9</v>
      </c>
      <c r="B692" s="12" t="s">
        <v>43</v>
      </c>
      <c r="C692" s="12" t="s">
        <v>179</v>
      </c>
      <c r="D692" s="12" t="s">
        <v>180</v>
      </c>
      <c r="E692" s="12" t="s">
        <v>288</v>
      </c>
      <c r="F692" s="12" t="s">
        <v>35</v>
      </c>
      <c r="G692" s="12" t="n">
        <v>32</v>
      </c>
      <c r="H692" s="12" t="s">
        <v>302</v>
      </c>
      <c r="I692" s="12"/>
      <c r="J692" s="12" t="n">
        <v>3</v>
      </c>
      <c r="K692" s="12" t="s">
        <v>302</v>
      </c>
      <c r="L692" s="28" t="n">
        <v>0</v>
      </c>
      <c r="M692" s="12" t="str">
        <f aca="false">IF(L692=1,COUNTIFS($C$2:$C$1090,C692,$L$2:$L$1090,1),"")</f>
        <v/>
      </c>
      <c r="N692" s="12" t="str">
        <f aca="false">IF(L692=1,1+COUNTIFS($C$2:$C$1090,C692,$L$2:$L$1090,1,$G$2:$G$1090,"&gt;"&amp;G692),"")</f>
        <v/>
      </c>
      <c r="O692" s="12" t="str">
        <f aca="false">IF(L692=1,1+COUNTIFS($C$2:$C$1090,C692,$L$2:$L$1090,1,$H$2:$H$1090,"&gt;"&amp;H692),"")</f>
        <v/>
      </c>
      <c r="P692" s="12" t="str">
        <f aca="false">IF(L692=1,N692-O692,"")</f>
        <v/>
      </c>
      <c r="Q692" s="12" t="n">
        <f aca="false">INDEX(Directions!$D$2:$D$100,MATCH(C692,Directions!$A$2:$A$100,0))</f>
        <v>0</v>
      </c>
      <c r="R692" s="12" t="str">
        <f aca="false">IF(L692=1,P692*Q692,"")</f>
        <v/>
      </c>
      <c r="S692" s="12" t="str">
        <f aca="false">IF(L692&lt;&gt;1,"Excluded",IF(Q692=0,"No direction",IF(R692&gt;0,"Better",IF(R692&lt;0,"Worse","No change"))))</f>
        <v>Excluded</v>
      </c>
      <c r="T692" s="12" t="s">
        <v>303</v>
      </c>
      <c r="U692" s="12" t="str">
        <f aca="false">C692&amp;"|"&amp;E692</f>
        <v>F9_03|CAN</v>
      </c>
    </row>
    <row r="693" customFormat="false" ht="15" hidden="false" customHeight="false" outlineLevel="0" collapsed="false">
      <c r="A693" s="12" t="n">
        <v>9</v>
      </c>
      <c r="B693" s="12" t="s">
        <v>43</v>
      </c>
      <c r="C693" s="12" t="s">
        <v>179</v>
      </c>
      <c r="D693" s="12" t="s">
        <v>180</v>
      </c>
      <c r="E693" s="12" t="s">
        <v>289</v>
      </c>
      <c r="F693" s="12" t="s">
        <v>36</v>
      </c>
      <c r="G693" s="12" t="n">
        <v>29</v>
      </c>
      <c r="H693" s="12" t="s">
        <v>302</v>
      </c>
      <c r="I693" s="12"/>
      <c r="J693" s="12" t="n">
        <v>4</v>
      </c>
      <c r="K693" s="12" t="s">
        <v>302</v>
      </c>
      <c r="L693" s="28" t="n">
        <v>0</v>
      </c>
      <c r="M693" s="12" t="str">
        <f aca="false">IF(L693=1,COUNTIFS($C$2:$C$1090,C693,$L$2:$L$1090,1),"")</f>
        <v/>
      </c>
      <c r="N693" s="12" t="str">
        <f aca="false">IF(L693=1,1+COUNTIFS($C$2:$C$1090,C693,$L$2:$L$1090,1,$G$2:$G$1090,"&gt;"&amp;G693),"")</f>
        <v/>
      </c>
      <c r="O693" s="12" t="str">
        <f aca="false">IF(L693=1,1+COUNTIFS($C$2:$C$1090,C693,$L$2:$L$1090,1,$H$2:$H$1090,"&gt;"&amp;H693),"")</f>
        <v/>
      </c>
      <c r="P693" s="12" t="str">
        <f aca="false">IF(L693=1,N693-O693,"")</f>
        <v/>
      </c>
      <c r="Q693" s="12" t="n">
        <f aca="false">INDEX(Directions!$D$2:$D$100,MATCH(C693,Directions!$A$2:$A$100,0))</f>
        <v>0</v>
      </c>
      <c r="R693" s="12" t="str">
        <f aca="false">IF(L693=1,P693*Q693,"")</f>
        <v/>
      </c>
      <c r="S693" s="12" t="str">
        <f aca="false">IF(L693&lt;&gt;1,"Excluded",IF(Q693=0,"No direction",IF(R693&gt;0,"Better",IF(R693&lt;0,"Worse","No change"))))</f>
        <v>Excluded</v>
      </c>
      <c r="T693" s="12" t="s">
        <v>303</v>
      </c>
      <c r="U693" s="12" t="str">
        <f aca="false">C693&amp;"|"&amp;E693</f>
        <v>F9_03|JPN</v>
      </c>
    </row>
    <row r="694" customFormat="false" ht="15" hidden="false" customHeight="false" outlineLevel="0" collapsed="false">
      <c r="A694" s="12" t="n">
        <v>9</v>
      </c>
      <c r="B694" s="12" t="s">
        <v>43</v>
      </c>
      <c r="C694" s="12" t="s">
        <v>179</v>
      </c>
      <c r="D694" s="12" t="s">
        <v>180</v>
      </c>
      <c r="E694" s="12" t="s">
        <v>290</v>
      </c>
      <c r="F694" s="12" t="s">
        <v>37</v>
      </c>
      <c r="G694" s="12" t="n">
        <v>9</v>
      </c>
      <c r="H694" s="12" t="s">
        <v>302</v>
      </c>
      <c r="I694" s="12"/>
      <c r="J694" s="12" t="n">
        <v>7</v>
      </c>
      <c r="K694" s="12" t="s">
        <v>302</v>
      </c>
      <c r="L694" s="28" t="n">
        <v>0</v>
      </c>
      <c r="M694" s="12" t="str">
        <f aca="false">IF(L694=1,COUNTIFS($C$2:$C$1090,C694,$L$2:$L$1090,1),"")</f>
        <v/>
      </c>
      <c r="N694" s="12" t="str">
        <f aca="false">IF(L694=1,1+COUNTIFS($C$2:$C$1090,C694,$L$2:$L$1090,1,$G$2:$G$1090,"&gt;"&amp;G694),"")</f>
        <v/>
      </c>
      <c r="O694" s="12" t="str">
        <f aca="false">IF(L694=1,1+COUNTIFS($C$2:$C$1090,C694,$L$2:$L$1090,1,$H$2:$H$1090,"&gt;"&amp;H694),"")</f>
        <v/>
      </c>
      <c r="P694" s="12" t="str">
        <f aca="false">IF(L694=1,N694-O694,"")</f>
        <v/>
      </c>
      <c r="Q694" s="12" t="n">
        <f aca="false">INDEX(Directions!$D$2:$D$100,MATCH(C694,Directions!$A$2:$A$100,0))</f>
        <v>0</v>
      </c>
      <c r="R694" s="12" t="str">
        <f aca="false">IF(L694=1,P694*Q694,"")</f>
        <v/>
      </c>
      <c r="S694" s="12" t="str">
        <f aca="false">IF(L694&lt;&gt;1,"Excluded",IF(Q694=0,"No direction",IF(R694&gt;0,"Better",IF(R694&lt;0,"Worse","No change"))))</f>
        <v>Excluded</v>
      </c>
      <c r="T694" s="12" t="s">
        <v>303</v>
      </c>
      <c r="U694" s="12" t="str">
        <f aca="false">C694&amp;"|"&amp;E694</f>
        <v>F9_03|AUS</v>
      </c>
    </row>
    <row r="695" customFormat="false" ht="15" hidden="false" customHeight="false" outlineLevel="0" collapsed="false">
      <c r="A695" s="12" t="n">
        <v>9</v>
      </c>
      <c r="B695" s="12" t="s">
        <v>43</v>
      </c>
      <c r="C695" s="12" t="s">
        <v>181</v>
      </c>
      <c r="D695" s="12" t="s">
        <v>182</v>
      </c>
      <c r="E695" s="12" t="s">
        <v>281</v>
      </c>
      <c r="F695" s="12" t="s">
        <v>27</v>
      </c>
      <c r="G695" s="12" t="n">
        <v>186</v>
      </c>
      <c r="H695" s="12" t="s">
        <v>302</v>
      </c>
      <c r="I695" s="12"/>
      <c r="J695" s="12" t="n">
        <v>1</v>
      </c>
      <c r="K695" s="12" t="s">
        <v>302</v>
      </c>
      <c r="L695" s="28" t="n">
        <v>0</v>
      </c>
      <c r="M695" s="12" t="str">
        <f aca="false">IF(L695=1,COUNTIFS($C$2:$C$1090,C695,$L$2:$L$1090,1),"")</f>
        <v/>
      </c>
      <c r="N695" s="12" t="str">
        <f aca="false">IF(L695=1,1+COUNTIFS($C$2:$C$1090,C695,$L$2:$L$1090,1,$G$2:$G$1090,"&gt;"&amp;G695),"")</f>
        <v/>
      </c>
      <c r="O695" s="12" t="str">
        <f aca="false">IF(L695=1,1+COUNTIFS($C$2:$C$1090,C695,$L$2:$L$1090,1,$H$2:$H$1090,"&gt;"&amp;H695),"")</f>
        <v/>
      </c>
      <c r="P695" s="12" t="str">
        <f aca="false">IF(L695=1,N695-O695,"")</f>
        <v/>
      </c>
      <c r="Q695" s="12" t="n">
        <f aca="false">INDEX(Directions!$D$2:$D$100,MATCH(C695,Directions!$A$2:$A$100,0))</f>
        <v>0</v>
      </c>
      <c r="R695" s="12" t="str">
        <f aca="false">IF(L695=1,P695*Q695,"")</f>
        <v/>
      </c>
      <c r="S695" s="12" t="str">
        <f aca="false">IF(L695&lt;&gt;1,"Excluded",IF(Q695=0,"No direction",IF(R695&gt;0,"Better",IF(R695&lt;0,"Worse","No change"))))</f>
        <v>Excluded</v>
      </c>
      <c r="T695" s="12" t="s">
        <v>303</v>
      </c>
      <c r="U695" s="12" t="str">
        <f aca="false">C695&amp;"|"&amp;E695</f>
        <v>F9_04|USA</v>
      </c>
    </row>
    <row r="696" customFormat="false" ht="15" hidden="false" customHeight="false" outlineLevel="0" collapsed="false">
      <c r="A696" s="12" t="n">
        <v>9</v>
      </c>
      <c r="B696" s="12" t="s">
        <v>43</v>
      </c>
      <c r="C696" s="12" t="s">
        <v>181</v>
      </c>
      <c r="D696" s="12" t="s">
        <v>182</v>
      </c>
      <c r="E696" s="12" t="s">
        <v>283</v>
      </c>
      <c r="F696" s="12" t="s">
        <v>28</v>
      </c>
      <c r="G696" s="12" t="n">
        <v>64</v>
      </c>
      <c r="H696" s="12" t="s">
        <v>302</v>
      </c>
      <c r="I696" s="12"/>
      <c r="J696" s="12" t="n">
        <v>3</v>
      </c>
      <c r="K696" s="12" t="s">
        <v>302</v>
      </c>
      <c r="L696" s="28" t="n">
        <v>0</v>
      </c>
      <c r="M696" s="12" t="str">
        <f aca="false">IF(L696=1,COUNTIFS($C$2:$C$1090,C696,$L$2:$L$1090,1),"")</f>
        <v/>
      </c>
      <c r="N696" s="12" t="str">
        <f aca="false">IF(L696=1,1+COUNTIFS($C$2:$C$1090,C696,$L$2:$L$1090,1,$G$2:$G$1090,"&gt;"&amp;G696),"")</f>
        <v/>
      </c>
      <c r="O696" s="12" t="str">
        <f aca="false">IF(L696=1,1+COUNTIFS($C$2:$C$1090,C696,$L$2:$L$1090,1,$H$2:$H$1090,"&gt;"&amp;H696),"")</f>
        <v/>
      </c>
      <c r="P696" s="12" t="str">
        <f aca="false">IF(L696=1,N696-O696,"")</f>
        <v/>
      </c>
      <c r="Q696" s="12" t="n">
        <f aca="false">INDEX(Directions!$D$2:$D$100,MATCH(C696,Directions!$A$2:$A$100,0))</f>
        <v>0</v>
      </c>
      <c r="R696" s="12" t="str">
        <f aca="false">IF(L696=1,P696*Q696,"")</f>
        <v/>
      </c>
      <c r="S696" s="12" t="str">
        <f aca="false">IF(L696&lt;&gt;1,"Excluded",IF(Q696=0,"No direction",IF(R696&gt;0,"Better",IF(R696&lt;0,"Worse","No change"))))</f>
        <v>Excluded</v>
      </c>
      <c r="T696" s="12" t="s">
        <v>303</v>
      </c>
      <c r="U696" s="12" t="str">
        <f aca="false">C696&amp;"|"&amp;E696</f>
        <v>F9_04|GBR</v>
      </c>
    </row>
    <row r="697" customFormat="false" ht="15" hidden="false" customHeight="false" outlineLevel="0" collapsed="false">
      <c r="A697" s="12" t="n">
        <v>9</v>
      </c>
      <c r="B697" s="12" t="s">
        <v>43</v>
      </c>
      <c r="C697" s="12" t="s">
        <v>181</v>
      </c>
      <c r="D697" s="12" t="s">
        <v>182</v>
      </c>
      <c r="E697" s="12" t="s">
        <v>284</v>
      </c>
      <c r="F697" s="12" t="s">
        <v>29</v>
      </c>
      <c r="G697" s="12" t="n">
        <v>61</v>
      </c>
      <c r="H697" s="12" t="s">
        <v>302</v>
      </c>
      <c r="I697" s="12"/>
      <c r="J697" s="12" t="n">
        <v>5</v>
      </c>
      <c r="K697" s="12" t="s">
        <v>302</v>
      </c>
      <c r="L697" s="28" t="n">
        <v>0</v>
      </c>
      <c r="M697" s="12" t="str">
        <f aca="false">IF(L697=1,COUNTIFS($C$2:$C$1090,C697,$L$2:$L$1090,1),"")</f>
        <v/>
      </c>
      <c r="N697" s="12" t="str">
        <f aca="false">IF(L697=1,1+COUNTIFS($C$2:$C$1090,C697,$L$2:$L$1090,1,$G$2:$G$1090,"&gt;"&amp;G697),"")</f>
        <v/>
      </c>
      <c r="O697" s="12" t="str">
        <f aca="false">IF(L697=1,1+COUNTIFS($C$2:$C$1090,C697,$L$2:$L$1090,1,$H$2:$H$1090,"&gt;"&amp;H697),"")</f>
        <v/>
      </c>
      <c r="P697" s="12" t="str">
        <f aca="false">IF(L697=1,N697-O697,"")</f>
        <v/>
      </c>
      <c r="Q697" s="12" t="n">
        <f aca="false">INDEX(Directions!$D$2:$D$100,MATCH(C697,Directions!$A$2:$A$100,0))</f>
        <v>0</v>
      </c>
      <c r="R697" s="12" t="str">
        <f aca="false">IF(L697=1,P697*Q697,"")</f>
        <v/>
      </c>
      <c r="S697" s="12" t="str">
        <f aca="false">IF(L697&lt;&gt;1,"Excluded",IF(Q697=0,"No direction",IF(R697&gt;0,"Better",IF(R697&lt;0,"Worse","No change"))))</f>
        <v>Excluded</v>
      </c>
      <c r="T697" s="12" t="s">
        <v>303</v>
      </c>
      <c r="U697" s="12" t="str">
        <f aca="false">C697&amp;"|"&amp;E697</f>
        <v>F9_04|DEU</v>
      </c>
    </row>
    <row r="698" customFormat="false" ht="15" hidden="false" customHeight="false" outlineLevel="0" collapsed="false">
      <c r="A698" s="12" t="n">
        <v>9</v>
      </c>
      <c r="B698" s="12" t="s">
        <v>43</v>
      </c>
      <c r="C698" s="12" t="s">
        <v>181</v>
      </c>
      <c r="D698" s="12" t="s">
        <v>182</v>
      </c>
      <c r="E698" s="12" t="s">
        <v>285</v>
      </c>
      <c r="F698" s="12" t="s">
        <v>30</v>
      </c>
      <c r="G698" s="12" t="s">
        <v>302</v>
      </c>
      <c r="H698" s="12" t="s">
        <v>302</v>
      </c>
      <c r="I698" s="12"/>
      <c r="J698" s="12" t="s">
        <v>302</v>
      </c>
      <c r="K698" s="12" t="s">
        <v>302</v>
      </c>
      <c r="L698" s="28" t="n">
        <v>0</v>
      </c>
      <c r="M698" s="12" t="str">
        <f aca="false">IF(L698=1,COUNTIFS($C$2:$C$1090,C698,$L$2:$L$1090,1),"")</f>
        <v/>
      </c>
      <c r="N698" s="12" t="str">
        <f aca="false">IF(L698=1,1+COUNTIFS($C$2:$C$1090,C698,$L$2:$L$1090,1,$G$2:$G$1090,"&gt;"&amp;G698),"")</f>
        <v/>
      </c>
      <c r="O698" s="12" t="str">
        <f aca="false">IF(L698=1,1+COUNTIFS($C$2:$C$1090,C698,$L$2:$L$1090,1,$H$2:$H$1090,"&gt;"&amp;H698),"")</f>
        <v/>
      </c>
      <c r="P698" s="12" t="str">
        <f aca="false">IF(L698=1,N698-O698,"")</f>
        <v/>
      </c>
      <c r="Q698" s="12" t="n">
        <f aca="false">INDEX(Directions!$D$2:$D$100,MATCH(C698,Directions!$A$2:$A$100,0))</f>
        <v>0</v>
      </c>
      <c r="R698" s="12" t="str">
        <f aca="false">IF(L698=1,P698*Q698,"")</f>
        <v/>
      </c>
      <c r="S698" s="12" t="str">
        <f aca="false">IF(L698&lt;&gt;1,"Excluded",IF(Q698=0,"No direction",IF(R698&gt;0,"Better",IF(R698&lt;0,"Worse","No change"))))</f>
        <v>Excluded</v>
      </c>
      <c r="T698" s="12" t="s">
        <v>304</v>
      </c>
      <c r="U698" s="12" t="str">
        <f aca="false">C698&amp;"|"&amp;E698</f>
        <v>F9_04|SWE</v>
      </c>
    </row>
    <row r="699" customFormat="false" ht="15" hidden="false" customHeight="false" outlineLevel="0" collapsed="false">
      <c r="A699" s="12" t="n">
        <v>9</v>
      </c>
      <c r="B699" s="12" t="s">
        <v>43</v>
      </c>
      <c r="C699" s="12" t="s">
        <v>181</v>
      </c>
      <c r="D699" s="12" t="s">
        <v>182</v>
      </c>
      <c r="E699" s="12" t="s">
        <v>286</v>
      </c>
      <c r="F699" s="12" t="s">
        <v>31</v>
      </c>
      <c r="G699" s="12" t="n">
        <v>47</v>
      </c>
      <c r="H699" s="12" t="s">
        <v>302</v>
      </c>
      <c r="I699" s="12"/>
      <c r="J699" s="12" t="n">
        <v>7</v>
      </c>
      <c r="K699" s="12" t="s">
        <v>302</v>
      </c>
      <c r="L699" s="28" t="n">
        <v>0</v>
      </c>
      <c r="M699" s="12" t="str">
        <f aca="false">IF(L699=1,COUNTIFS($C$2:$C$1090,C699,$L$2:$L$1090,1),"")</f>
        <v/>
      </c>
      <c r="N699" s="12" t="str">
        <f aca="false">IF(L699=1,1+COUNTIFS($C$2:$C$1090,C699,$L$2:$L$1090,1,$G$2:$G$1090,"&gt;"&amp;G699),"")</f>
        <v/>
      </c>
      <c r="O699" s="12" t="str">
        <f aca="false">IF(L699=1,1+COUNTIFS($C$2:$C$1090,C699,$L$2:$L$1090,1,$H$2:$H$1090,"&gt;"&amp;H699),"")</f>
        <v/>
      </c>
      <c r="P699" s="12" t="str">
        <f aca="false">IF(L699=1,N699-O699,"")</f>
        <v/>
      </c>
      <c r="Q699" s="12" t="n">
        <f aca="false">INDEX(Directions!$D$2:$D$100,MATCH(C699,Directions!$A$2:$A$100,0))</f>
        <v>0</v>
      </c>
      <c r="R699" s="12" t="str">
        <f aca="false">IF(L699=1,P699*Q699,"")</f>
        <v/>
      </c>
      <c r="S699" s="12" t="str">
        <f aca="false">IF(L699&lt;&gt;1,"Excluded",IF(Q699=0,"No direction",IF(R699&gt;0,"Better",IF(R699&lt;0,"Worse","No change"))))</f>
        <v>Excluded</v>
      </c>
      <c r="T699" s="12" t="s">
        <v>303</v>
      </c>
      <c r="U699" s="12" t="str">
        <f aca="false">C699&amp;"|"&amp;E699</f>
        <v>F9_04|FRA</v>
      </c>
    </row>
    <row r="700" customFormat="false" ht="15" hidden="false" customHeight="false" outlineLevel="0" collapsed="false">
      <c r="A700" s="12" t="n">
        <v>9</v>
      </c>
      <c r="B700" s="12" t="s">
        <v>43</v>
      </c>
      <c r="C700" s="12" t="s">
        <v>181</v>
      </c>
      <c r="D700" s="12" t="s">
        <v>182</v>
      </c>
      <c r="E700" s="12" t="s">
        <v>32</v>
      </c>
      <c r="F700" s="12" t="s">
        <v>32</v>
      </c>
      <c r="G700" s="12" t="s">
        <v>302</v>
      </c>
      <c r="H700" s="12" t="s">
        <v>302</v>
      </c>
      <c r="I700" s="12"/>
      <c r="J700" s="12" t="s">
        <v>302</v>
      </c>
      <c r="K700" s="12" t="s">
        <v>302</v>
      </c>
      <c r="L700" s="28" t="n">
        <v>0</v>
      </c>
      <c r="M700" s="12" t="str">
        <f aca="false">IF(L700=1,COUNTIFS($C$2:$C$1090,C700,$L$2:$L$1090,1),"")</f>
        <v/>
      </c>
      <c r="N700" s="12" t="str">
        <f aca="false">IF(L700=1,1+COUNTIFS($C$2:$C$1090,C700,$L$2:$L$1090,1,$G$2:$G$1090,"&gt;"&amp;G700),"")</f>
        <v/>
      </c>
      <c r="O700" s="12" t="str">
        <f aca="false">IF(L700=1,1+COUNTIFS($C$2:$C$1090,C700,$L$2:$L$1090,1,$H$2:$H$1090,"&gt;"&amp;H700),"")</f>
        <v/>
      </c>
      <c r="P700" s="12" t="str">
        <f aca="false">IF(L700=1,N700-O700,"")</f>
        <v/>
      </c>
      <c r="Q700" s="12" t="n">
        <f aca="false">INDEX(Directions!$D$2:$D$100,MATCH(C700,Directions!$A$2:$A$100,0))</f>
        <v>0</v>
      </c>
      <c r="R700" s="12" t="str">
        <f aca="false">IF(L700=1,P700*Q700,"")</f>
        <v/>
      </c>
      <c r="S700" s="12" t="str">
        <f aca="false">IF(L700&lt;&gt;1,"Excluded",IF(Q700=0,"No direction",IF(R700&gt;0,"Better",IF(R700&lt;0,"Worse","No change"))))</f>
        <v>Excluded</v>
      </c>
      <c r="T700" s="12" t="s">
        <v>304</v>
      </c>
      <c r="U700" s="12" t="str">
        <f aca="false">C700&amp;"|"&amp;E700</f>
        <v>F9_04|NLD</v>
      </c>
    </row>
    <row r="701" customFormat="false" ht="15" hidden="false" customHeight="false" outlineLevel="0" collapsed="false">
      <c r="A701" s="12" t="n">
        <v>9</v>
      </c>
      <c r="B701" s="12" t="s">
        <v>43</v>
      </c>
      <c r="C701" s="12" t="s">
        <v>181</v>
      </c>
      <c r="D701" s="12" t="s">
        <v>182</v>
      </c>
      <c r="E701" s="12" t="s">
        <v>33</v>
      </c>
      <c r="F701" s="12" t="s">
        <v>33</v>
      </c>
      <c r="G701" s="12" t="s">
        <v>302</v>
      </c>
      <c r="H701" s="12" t="s">
        <v>302</v>
      </c>
      <c r="I701" s="12"/>
      <c r="J701" s="12" t="s">
        <v>302</v>
      </c>
      <c r="K701" s="12" t="s">
        <v>302</v>
      </c>
      <c r="L701" s="28" t="n">
        <v>0</v>
      </c>
      <c r="M701" s="12" t="str">
        <f aca="false">IF(L701=1,COUNTIFS($C$2:$C$1090,C701,$L$2:$L$1090,1),"")</f>
        <v/>
      </c>
      <c r="N701" s="12" t="str">
        <f aca="false">IF(L701=1,1+COUNTIFS($C$2:$C$1090,C701,$L$2:$L$1090,1,$G$2:$G$1090,"&gt;"&amp;G701),"")</f>
        <v/>
      </c>
      <c r="O701" s="12" t="str">
        <f aca="false">IF(L701=1,1+COUNTIFS($C$2:$C$1090,C701,$L$2:$L$1090,1,$H$2:$H$1090,"&gt;"&amp;H701),"")</f>
        <v/>
      </c>
      <c r="P701" s="12" t="str">
        <f aca="false">IF(L701=1,N701-O701,"")</f>
        <v/>
      </c>
      <c r="Q701" s="12" t="n">
        <f aca="false">INDEX(Directions!$D$2:$D$100,MATCH(C701,Directions!$A$2:$A$100,0))</f>
        <v>0</v>
      </c>
      <c r="R701" s="12" t="str">
        <f aca="false">IF(L701=1,P701*Q701,"")</f>
        <v/>
      </c>
      <c r="S701" s="12" t="str">
        <f aca="false">IF(L701&lt;&gt;1,"Excluded",IF(Q701=0,"No direction",IF(R701&gt;0,"Better",IF(R701&lt;0,"Worse","No change"))))</f>
        <v>Excluded</v>
      </c>
      <c r="T701" s="12" t="s">
        <v>304</v>
      </c>
      <c r="U701" s="12" t="str">
        <f aca="false">C701&amp;"|"&amp;E701</f>
        <v>F9_04|CHE</v>
      </c>
    </row>
    <row r="702" customFormat="false" ht="15" hidden="false" customHeight="false" outlineLevel="0" collapsed="false">
      <c r="A702" s="12" t="n">
        <v>9</v>
      </c>
      <c r="B702" s="12" t="s">
        <v>43</v>
      </c>
      <c r="C702" s="12" t="s">
        <v>181</v>
      </c>
      <c r="D702" s="12" t="s">
        <v>182</v>
      </c>
      <c r="E702" s="12" t="s">
        <v>287</v>
      </c>
      <c r="F702" s="12" t="s">
        <v>34</v>
      </c>
      <c r="G702" s="12" t="s">
        <v>302</v>
      </c>
      <c r="H702" s="12" t="s">
        <v>302</v>
      </c>
      <c r="I702" s="12"/>
      <c r="J702" s="12" t="s">
        <v>302</v>
      </c>
      <c r="K702" s="12" t="s">
        <v>302</v>
      </c>
      <c r="L702" s="28" t="n">
        <v>0</v>
      </c>
      <c r="M702" s="12" t="str">
        <f aca="false">IF(L702=1,COUNTIFS($C$2:$C$1090,C702,$L$2:$L$1090,1),"")</f>
        <v/>
      </c>
      <c r="N702" s="12" t="str">
        <f aca="false">IF(L702=1,1+COUNTIFS($C$2:$C$1090,C702,$L$2:$L$1090,1,$G$2:$G$1090,"&gt;"&amp;G702),"")</f>
        <v/>
      </c>
      <c r="O702" s="12" t="str">
        <f aca="false">IF(L702=1,1+COUNTIFS($C$2:$C$1090,C702,$L$2:$L$1090,1,$H$2:$H$1090,"&gt;"&amp;H702),"")</f>
        <v/>
      </c>
      <c r="P702" s="12" t="str">
        <f aca="false">IF(L702=1,N702-O702,"")</f>
        <v/>
      </c>
      <c r="Q702" s="12" t="n">
        <f aca="false">INDEX(Directions!$D$2:$D$100,MATCH(C702,Directions!$A$2:$A$100,0))</f>
        <v>0</v>
      </c>
      <c r="R702" s="12" t="str">
        <f aca="false">IF(L702=1,P702*Q702,"")</f>
        <v/>
      </c>
      <c r="S702" s="12" t="str">
        <f aca="false">IF(L702&lt;&gt;1,"Excluded",IF(Q702=0,"No direction",IF(R702&gt;0,"Better",IF(R702&lt;0,"Worse","No change"))))</f>
        <v>Excluded</v>
      </c>
      <c r="T702" s="12" t="s">
        <v>304</v>
      </c>
      <c r="U702" s="12" t="str">
        <f aca="false">C702&amp;"|"&amp;E702</f>
        <v>F9_04|DNK</v>
      </c>
    </row>
    <row r="703" customFormat="false" ht="15" hidden="false" customHeight="false" outlineLevel="0" collapsed="false">
      <c r="A703" s="12" t="n">
        <v>9</v>
      </c>
      <c r="B703" s="12" t="s">
        <v>43</v>
      </c>
      <c r="C703" s="12" t="s">
        <v>181</v>
      </c>
      <c r="D703" s="12" t="s">
        <v>182</v>
      </c>
      <c r="E703" s="12" t="s">
        <v>288</v>
      </c>
      <c r="F703" s="12" t="s">
        <v>35</v>
      </c>
      <c r="G703" s="12" t="n">
        <v>67</v>
      </c>
      <c r="H703" s="12" t="s">
        <v>302</v>
      </c>
      <c r="I703" s="12"/>
      <c r="J703" s="12" t="n">
        <v>2</v>
      </c>
      <c r="K703" s="12" t="s">
        <v>302</v>
      </c>
      <c r="L703" s="28" t="n">
        <v>0</v>
      </c>
      <c r="M703" s="12" t="str">
        <f aca="false">IF(L703=1,COUNTIFS($C$2:$C$1090,C703,$L$2:$L$1090,1),"")</f>
        <v/>
      </c>
      <c r="N703" s="12" t="str">
        <f aca="false">IF(L703=1,1+COUNTIFS($C$2:$C$1090,C703,$L$2:$L$1090,1,$G$2:$G$1090,"&gt;"&amp;G703),"")</f>
        <v/>
      </c>
      <c r="O703" s="12" t="str">
        <f aca="false">IF(L703=1,1+COUNTIFS($C$2:$C$1090,C703,$L$2:$L$1090,1,$H$2:$H$1090,"&gt;"&amp;H703),"")</f>
        <v/>
      </c>
      <c r="P703" s="12" t="str">
        <f aca="false">IF(L703=1,N703-O703,"")</f>
        <v/>
      </c>
      <c r="Q703" s="12" t="n">
        <f aca="false">INDEX(Directions!$D$2:$D$100,MATCH(C703,Directions!$A$2:$A$100,0))</f>
        <v>0</v>
      </c>
      <c r="R703" s="12" t="str">
        <f aca="false">IF(L703=1,P703*Q703,"")</f>
        <v/>
      </c>
      <c r="S703" s="12" t="str">
        <f aca="false">IF(L703&lt;&gt;1,"Excluded",IF(Q703=0,"No direction",IF(R703&gt;0,"Better",IF(R703&lt;0,"Worse","No change"))))</f>
        <v>Excluded</v>
      </c>
      <c r="T703" s="12" t="s">
        <v>303</v>
      </c>
      <c r="U703" s="12" t="str">
        <f aca="false">C703&amp;"|"&amp;E703</f>
        <v>F9_04|CAN</v>
      </c>
    </row>
    <row r="704" customFormat="false" ht="15" hidden="false" customHeight="false" outlineLevel="0" collapsed="false">
      <c r="A704" s="12" t="n">
        <v>9</v>
      </c>
      <c r="B704" s="12" t="s">
        <v>43</v>
      </c>
      <c r="C704" s="12" t="s">
        <v>181</v>
      </c>
      <c r="D704" s="12" t="s">
        <v>182</v>
      </c>
      <c r="E704" s="12" t="s">
        <v>289</v>
      </c>
      <c r="F704" s="12" t="s">
        <v>36</v>
      </c>
      <c r="G704" s="12" t="n">
        <v>64</v>
      </c>
      <c r="H704" s="12" t="s">
        <v>302</v>
      </c>
      <c r="I704" s="12"/>
      <c r="J704" s="12" t="n">
        <v>4</v>
      </c>
      <c r="K704" s="12" t="s">
        <v>302</v>
      </c>
      <c r="L704" s="28" t="n">
        <v>0</v>
      </c>
      <c r="M704" s="12" t="str">
        <f aca="false">IF(L704=1,COUNTIFS($C$2:$C$1090,C704,$L$2:$L$1090,1),"")</f>
        <v/>
      </c>
      <c r="N704" s="12" t="str">
        <f aca="false">IF(L704=1,1+COUNTIFS($C$2:$C$1090,C704,$L$2:$L$1090,1,$G$2:$G$1090,"&gt;"&amp;G704),"")</f>
        <v/>
      </c>
      <c r="O704" s="12" t="str">
        <f aca="false">IF(L704=1,1+COUNTIFS($C$2:$C$1090,C704,$L$2:$L$1090,1,$H$2:$H$1090,"&gt;"&amp;H704),"")</f>
        <v/>
      </c>
      <c r="P704" s="12" t="str">
        <f aca="false">IF(L704=1,N704-O704,"")</f>
        <v/>
      </c>
      <c r="Q704" s="12" t="n">
        <f aca="false">INDEX(Directions!$D$2:$D$100,MATCH(C704,Directions!$A$2:$A$100,0))</f>
        <v>0</v>
      </c>
      <c r="R704" s="12" t="str">
        <f aca="false">IF(L704=1,P704*Q704,"")</f>
        <v/>
      </c>
      <c r="S704" s="12" t="str">
        <f aca="false">IF(L704&lt;&gt;1,"Excluded",IF(Q704=0,"No direction",IF(R704&gt;0,"Better",IF(R704&lt;0,"Worse","No change"))))</f>
        <v>Excluded</v>
      </c>
      <c r="T704" s="12" t="s">
        <v>303</v>
      </c>
      <c r="U704" s="12" t="str">
        <f aca="false">C704&amp;"|"&amp;E704</f>
        <v>F9_04|JPN</v>
      </c>
    </row>
    <row r="705" customFormat="false" ht="15" hidden="false" customHeight="false" outlineLevel="0" collapsed="false">
      <c r="A705" s="12" t="n">
        <v>9</v>
      </c>
      <c r="B705" s="12" t="s">
        <v>43</v>
      </c>
      <c r="C705" s="12" t="s">
        <v>181</v>
      </c>
      <c r="D705" s="12" t="s">
        <v>182</v>
      </c>
      <c r="E705" s="12" t="s">
        <v>290</v>
      </c>
      <c r="F705" s="12" t="s">
        <v>37</v>
      </c>
      <c r="G705" s="12" t="n">
        <v>54</v>
      </c>
      <c r="H705" s="12" t="s">
        <v>302</v>
      </c>
      <c r="I705" s="12"/>
      <c r="J705" s="12" t="n">
        <v>6</v>
      </c>
      <c r="K705" s="12" t="s">
        <v>302</v>
      </c>
      <c r="L705" s="28" t="n">
        <v>0</v>
      </c>
      <c r="M705" s="12" t="str">
        <f aca="false">IF(L705=1,COUNTIFS($C$2:$C$1090,C705,$L$2:$L$1090,1),"")</f>
        <v/>
      </c>
      <c r="N705" s="12" t="str">
        <f aca="false">IF(L705=1,1+COUNTIFS($C$2:$C$1090,C705,$L$2:$L$1090,1,$G$2:$G$1090,"&gt;"&amp;G705),"")</f>
        <v/>
      </c>
      <c r="O705" s="12" t="str">
        <f aca="false">IF(L705=1,1+COUNTIFS($C$2:$C$1090,C705,$L$2:$L$1090,1,$H$2:$H$1090,"&gt;"&amp;H705),"")</f>
        <v/>
      </c>
      <c r="P705" s="12" t="str">
        <f aca="false">IF(L705=1,N705-O705,"")</f>
        <v/>
      </c>
      <c r="Q705" s="12" t="n">
        <f aca="false">INDEX(Directions!$D$2:$D$100,MATCH(C705,Directions!$A$2:$A$100,0))</f>
        <v>0</v>
      </c>
      <c r="R705" s="12" t="str">
        <f aca="false">IF(L705=1,P705*Q705,"")</f>
        <v/>
      </c>
      <c r="S705" s="12" t="str">
        <f aca="false">IF(L705&lt;&gt;1,"Excluded",IF(Q705=0,"No direction",IF(R705&gt;0,"Better",IF(R705&lt;0,"Worse","No change"))))</f>
        <v>Excluded</v>
      </c>
      <c r="T705" s="12" t="s">
        <v>303</v>
      </c>
      <c r="U705" s="12" t="str">
        <f aca="false">C705&amp;"|"&amp;E705</f>
        <v>F9_04|AUS</v>
      </c>
    </row>
    <row r="706" customFormat="false" ht="15" hidden="false" customHeight="false" outlineLevel="0" collapsed="false">
      <c r="A706" s="12" t="n">
        <v>9</v>
      </c>
      <c r="B706" s="12" t="s">
        <v>43</v>
      </c>
      <c r="C706" s="12" t="s">
        <v>183</v>
      </c>
      <c r="D706" s="12" t="s">
        <v>184</v>
      </c>
      <c r="E706" s="12" t="s">
        <v>281</v>
      </c>
      <c r="F706" s="12" t="s">
        <v>27</v>
      </c>
      <c r="G706" s="12" t="n">
        <v>155</v>
      </c>
      <c r="H706" s="12" t="s">
        <v>302</v>
      </c>
      <c r="I706" s="12"/>
      <c r="J706" s="12" t="n">
        <v>1</v>
      </c>
      <c r="K706" s="12" t="s">
        <v>302</v>
      </c>
      <c r="L706" s="28" t="n">
        <v>0</v>
      </c>
      <c r="M706" s="12" t="str">
        <f aca="false">IF(L706=1,COUNTIFS($C$2:$C$1090,C706,$L$2:$L$1090,1),"")</f>
        <v/>
      </c>
      <c r="N706" s="12" t="str">
        <f aca="false">IF(L706=1,1+COUNTIFS($C$2:$C$1090,C706,$L$2:$L$1090,1,$G$2:$G$1090,"&gt;"&amp;G706),"")</f>
        <v/>
      </c>
      <c r="O706" s="12" t="str">
        <f aca="false">IF(L706=1,1+COUNTIFS($C$2:$C$1090,C706,$L$2:$L$1090,1,$H$2:$H$1090,"&gt;"&amp;H706),"")</f>
        <v/>
      </c>
      <c r="P706" s="12" t="str">
        <f aca="false">IF(L706=1,N706-O706,"")</f>
        <v/>
      </c>
      <c r="Q706" s="12" t="n">
        <f aca="false">INDEX(Directions!$D$2:$D$100,MATCH(C706,Directions!$A$2:$A$100,0))</f>
        <v>0</v>
      </c>
      <c r="R706" s="12" t="str">
        <f aca="false">IF(L706=1,P706*Q706,"")</f>
        <v/>
      </c>
      <c r="S706" s="12" t="str">
        <f aca="false">IF(L706&lt;&gt;1,"Excluded",IF(Q706=0,"No direction",IF(R706&gt;0,"Better",IF(R706&lt;0,"Worse","No change"))))</f>
        <v>Excluded</v>
      </c>
      <c r="T706" s="12" t="s">
        <v>303</v>
      </c>
      <c r="U706" s="12" t="str">
        <f aca="false">C706&amp;"|"&amp;E706</f>
        <v>F9_05|USA</v>
      </c>
    </row>
    <row r="707" customFormat="false" ht="15" hidden="false" customHeight="false" outlineLevel="0" collapsed="false">
      <c r="A707" s="12" t="n">
        <v>9</v>
      </c>
      <c r="B707" s="12" t="s">
        <v>43</v>
      </c>
      <c r="C707" s="12" t="s">
        <v>183</v>
      </c>
      <c r="D707" s="12" t="s">
        <v>184</v>
      </c>
      <c r="E707" s="12" t="s">
        <v>283</v>
      </c>
      <c r="F707" s="12" t="s">
        <v>28</v>
      </c>
      <c r="G707" s="12" t="s">
        <v>302</v>
      </c>
      <c r="H707" s="12" t="s">
        <v>302</v>
      </c>
      <c r="I707" s="12"/>
      <c r="J707" s="12" t="s">
        <v>302</v>
      </c>
      <c r="K707" s="12" t="s">
        <v>302</v>
      </c>
      <c r="L707" s="28" t="n">
        <v>0</v>
      </c>
      <c r="M707" s="12" t="str">
        <f aca="false">IF(L707=1,COUNTIFS($C$2:$C$1090,C707,$L$2:$L$1090,1),"")</f>
        <v/>
      </c>
      <c r="N707" s="12" t="str">
        <f aca="false">IF(L707=1,1+COUNTIFS($C$2:$C$1090,C707,$L$2:$L$1090,1,$G$2:$G$1090,"&gt;"&amp;G707),"")</f>
        <v/>
      </c>
      <c r="O707" s="12" t="str">
        <f aca="false">IF(L707=1,1+COUNTIFS($C$2:$C$1090,C707,$L$2:$L$1090,1,$H$2:$H$1090,"&gt;"&amp;H707),"")</f>
        <v/>
      </c>
      <c r="P707" s="12" t="str">
        <f aca="false">IF(L707=1,N707-O707,"")</f>
        <v/>
      </c>
      <c r="Q707" s="12" t="n">
        <f aca="false">INDEX(Directions!$D$2:$D$100,MATCH(C707,Directions!$A$2:$A$100,0))</f>
        <v>0</v>
      </c>
      <c r="R707" s="12" t="str">
        <f aca="false">IF(L707=1,P707*Q707,"")</f>
        <v/>
      </c>
      <c r="S707" s="12" t="str">
        <f aca="false">IF(L707&lt;&gt;1,"Excluded",IF(Q707=0,"No direction",IF(R707&gt;0,"Better",IF(R707&lt;0,"Worse","No change"))))</f>
        <v>Excluded</v>
      </c>
      <c r="T707" s="12" t="s">
        <v>304</v>
      </c>
      <c r="U707" s="12" t="str">
        <f aca="false">C707&amp;"|"&amp;E707</f>
        <v>F9_05|GBR</v>
      </c>
    </row>
    <row r="708" customFormat="false" ht="15" hidden="false" customHeight="false" outlineLevel="0" collapsed="false">
      <c r="A708" s="12" t="n">
        <v>9</v>
      </c>
      <c r="B708" s="12" t="s">
        <v>43</v>
      </c>
      <c r="C708" s="12" t="s">
        <v>183</v>
      </c>
      <c r="D708" s="12" t="s">
        <v>184</v>
      </c>
      <c r="E708" s="12" t="s">
        <v>284</v>
      </c>
      <c r="F708" s="12" t="s">
        <v>29</v>
      </c>
      <c r="G708" s="12" t="n">
        <v>38</v>
      </c>
      <c r="H708" s="12" t="s">
        <v>302</v>
      </c>
      <c r="I708" s="12"/>
      <c r="J708" s="12" t="n">
        <v>4</v>
      </c>
      <c r="K708" s="12" t="s">
        <v>302</v>
      </c>
      <c r="L708" s="28" t="n">
        <v>0</v>
      </c>
      <c r="M708" s="12" t="str">
        <f aca="false">IF(L708=1,COUNTIFS($C$2:$C$1090,C708,$L$2:$L$1090,1),"")</f>
        <v/>
      </c>
      <c r="N708" s="12" t="str">
        <f aca="false">IF(L708=1,1+COUNTIFS($C$2:$C$1090,C708,$L$2:$L$1090,1,$G$2:$G$1090,"&gt;"&amp;G708),"")</f>
        <v/>
      </c>
      <c r="O708" s="12" t="str">
        <f aca="false">IF(L708=1,1+COUNTIFS($C$2:$C$1090,C708,$L$2:$L$1090,1,$H$2:$H$1090,"&gt;"&amp;H708),"")</f>
        <v/>
      </c>
      <c r="P708" s="12" t="str">
        <f aca="false">IF(L708=1,N708-O708,"")</f>
        <v/>
      </c>
      <c r="Q708" s="12" t="n">
        <f aca="false">INDEX(Directions!$D$2:$D$100,MATCH(C708,Directions!$A$2:$A$100,0))</f>
        <v>0</v>
      </c>
      <c r="R708" s="12" t="str">
        <f aca="false">IF(L708=1,P708*Q708,"")</f>
        <v/>
      </c>
      <c r="S708" s="12" t="str">
        <f aca="false">IF(L708&lt;&gt;1,"Excluded",IF(Q708=0,"No direction",IF(R708&gt;0,"Better",IF(R708&lt;0,"Worse","No change"))))</f>
        <v>Excluded</v>
      </c>
      <c r="T708" s="12" t="s">
        <v>303</v>
      </c>
      <c r="U708" s="12" t="str">
        <f aca="false">C708&amp;"|"&amp;E708</f>
        <v>F9_05|DEU</v>
      </c>
    </row>
    <row r="709" customFormat="false" ht="15" hidden="false" customHeight="false" outlineLevel="0" collapsed="false">
      <c r="A709" s="12" t="n">
        <v>9</v>
      </c>
      <c r="B709" s="12" t="s">
        <v>43</v>
      </c>
      <c r="C709" s="12" t="s">
        <v>183</v>
      </c>
      <c r="D709" s="12" t="s">
        <v>184</v>
      </c>
      <c r="E709" s="12" t="s">
        <v>285</v>
      </c>
      <c r="F709" s="12" t="s">
        <v>30</v>
      </c>
      <c r="G709" s="12" t="s">
        <v>302</v>
      </c>
      <c r="H709" s="12" t="s">
        <v>302</v>
      </c>
      <c r="I709" s="12"/>
      <c r="J709" s="12" t="s">
        <v>302</v>
      </c>
      <c r="K709" s="12" t="s">
        <v>302</v>
      </c>
      <c r="L709" s="28" t="n">
        <v>0</v>
      </c>
      <c r="M709" s="12" t="str">
        <f aca="false">IF(L709=1,COUNTIFS($C$2:$C$1090,C709,$L$2:$L$1090,1),"")</f>
        <v/>
      </c>
      <c r="N709" s="12" t="str">
        <f aca="false">IF(L709=1,1+COUNTIFS($C$2:$C$1090,C709,$L$2:$L$1090,1,$G$2:$G$1090,"&gt;"&amp;G709),"")</f>
        <v/>
      </c>
      <c r="O709" s="12" t="str">
        <f aca="false">IF(L709=1,1+COUNTIFS($C$2:$C$1090,C709,$L$2:$L$1090,1,$H$2:$H$1090,"&gt;"&amp;H709),"")</f>
        <v/>
      </c>
      <c r="P709" s="12" t="str">
        <f aca="false">IF(L709=1,N709-O709,"")</f>
        <v/>
      </c>
      <c r="Q709" s="12" t="n">
        <f aca="false">INDEX(Directions!$D$2:$D$100,MATCH(C709,Directions!$A$2:$A$100,0))</f>
        <v>0</v>
      </c>
      <c r="R709" s="12" t="str">
        <f aca="false">IF(L709=1,P709*Q709,"")</f>
        <v/>
      </c>
      <c r="S709" s="12" t="str">
        <f aca="false">IF(L709&lt;&gt;1,"Excluded",IF(Q709=0,"No direction",IF(R709&gt;0,"Better",IF(R709&lt;0,"Worse","No change"))))</f>
        <v>Excluded</v>
      </c>
      <c r="T709" s="12" t="s">
        <v>304</v>
      </c>
      <c r="U709" s="12" t="str">
        <f aca="false">C709&amp;"|"&amp;E709</f>
        <v>F9_05|SWE</v>
      </c>
    </row>
    <row r="710" customFormat="false" ht="15" hidden="false" customHeight="false" outlineLevel="0" collapsed="false">
      <c r="A710" s="12" t="n">
        <v>9</v>
      </c>
      <c r="B710" s="12" t="s">
        <v>43</v>
      </c>
      <c r="C710" s="12" t="s">
        <v>183</v>
      </c>
      <c r="D710" s="12" t="s">
        <v>184</v>
      </c>
      <c r="E710" s="12" t="s">
        <v>286</v>
      </c>
      <c r="F710" s="12" t="s">
        <v>31</v>
      </c>
      <c r="G710" s="12" t="n">
        <v>35</v>
      </c>
      <c r="H710" s="12" t="s">
        <v>302</v>
      </c>
      <c r="I710" s="12"/>
      <c r="J710" s="12" t="n">
        <v>5</v>
      </c>
      <c r="K710" s="12" t="s">
        <v>302</v>
      </c>
      <c r="L710" s="28" t="n">
        <v>0</v>
      </c>
      <c r="M710" s="12" t="str">
        <f aca="false">IF(L710=1,COUNTIFS($C$2:$C$1090,C710,$L$2:$L$1090,1),"")</f>
        <v/>
      </c>
      <c r="N710" s="12" t="str">
        <f aca="false">IF(L710=1,1+COUNTIFS($C$2:$C$1090,C710,$L$2:$L$1090,1,$G$2:$G$1090,"&gt;"&amp;G710),"")</f>
        <v/>
      </c>
      <c r="O710" s="12" t="str">
        <f aca="false">IF(L710=1,1+COUNTIFS($C$2:$C$1090,C710,$L$2:$L$1090,1,$H$2:$H$1090,"&gt;"&amp;H710),"")</f>
        <v/>
      </c>
      <c r="P710" s="12" t="str">
        <f aca="false">IF(L710=1,N710-O710,"")</f>
        <v/>
      </c>
      <c r="Q710" s="12" t="n">
        <f aca="false">INDEX(Directions!$D$2:$D$100,MATCH(C710,Directions!$A$2:$A$100,0))</f>
        <v>0</v>
      </c>
      <c r="R710" s="12" t="str">
        <f aca="false">IF(L710=1,P710*Q710,"")</f>
        <v/>
      </c>
      <c r="S710" s="12" t="str">
        <f aca="false">IF(L710&lt;&gt;1,"Excluded",IF(Q710=0,"No direction",IF(R710&gt;0,"Better",IF(R710&lt;0,"Worse","No change"))))</f>
        <v>Excluded</v>
      </c>
      <c r="T710" s="12" t="s">
        <v>303</v>
      </c>
      <c r="U710" s="12" t="str">
        <f aca="false">C710&amp;"|"&amp;E710</f>
        <v>F9_05|FRA</v>
      </c>
    </row>
    <row r="711" customFormat="false" ht="15" hidden="false" customHeight="false" outlineLevel="0" collapsed="false">
      <c r="A711" s="12" t="n">
        <v>9</v>
      </c>
      <c r="B711" s="12" t="s">
        <v>43</v>
      </c>
      <c r="C711" s="12" t="s">
        <v>183</v>
      </c>
      <c r="D711" s="12" t="s">
        <v>184</v>
      </c>
      <c r="E711" s="12" t="s">
        <v>32</v>
      </c>
      <c r="F711" s="12" t="s">
        <v>32</v>
      </c>
      <c r="G711" s="12" t="s">
        <v>302</v>
      </c>
      <c r="H711" s="12" t="s">
        <v>302</v>
      </c>
      <c r="I711" s="12"/>
      <c r="J711" s="12" t="s">
        <v>302</v>
      </c>
      <c r="K711" s="12" t="s">
        <v>302</v>
      </c>
      <c r="L711" s="28" t="n">
        <v>0</v>
      </c>
      <c r="M711" s="12" t="str">
        <f aca="false">IF(L711=1,COUNTIFS($C$2:$C$1090,C711,$L$2:$L$1090,1),"")</f>
        <v/>
      </c>
      <c r="N711" s="12" t="str">
        <f aca="false">IF(L711=1,1+COUNTIFS($C$2:$C$1090,C711,$L$2:$L$1090,1,$G$2:$G$1090,"&gt;"&amp;G711),"")</f>
        <v/>
      </c>
      <c r="O711" s="12" t="str">
        <f aca="false">IF(L711=1,1+COUNTIFS($C$2:$C$1090,C711,$L$2:$L$1090,1,$H$2:$H$1090,"&gt;"&amp;H711),"")</f>
        <v/>
      </c>
      <c r="P711" s="12" t="str">
        <f aca="false">IF(L711=1,N711-O711,"")</f>
        <v/>
      </c>
      <c r="Q711" s="12" t="n">
        <f aca="false">INDEX(Directions!$D$2:$D$100,MATCH(C711,Directions!$A$2:$A$100,0))</f>
        <v>0</v>
      </c>
      <c r="R711" s="12" t="str">
        <f aca="false">IF(L711=1,P711*Q711,"")</f>
        <v/>
      </c>
      <c r="S711" s="12" t="str">
        <f aca="false">IF(L711&lt;&gt;1,"Excluded",IF(Q711=0,"No direction",IF(R711&gt;0,"Better",IF(R711&lt;0,"Worse","No change"))))</f>
        <v>Excluded</v>
      </c>
      <c r="T711" s="12" t="s">
        <v>304</v>
      </c>
      <c r="U711" s="12" t="str">
        <f aca="false">C711&amp;"|"&amp;E711</f>
        <v>F9_05|NLD</v>
      </c>
    </row>
    <row r="712" customFormat="false" ht="15" hidden="false" customHeight="false" outlineLevel="0" collapsed="false">
      <c r="A712" s="12" t="n">
        <v>9</v>
      </c>
      <c r="B712" s="12" t="s">
        <v>43</v>
      </c>
      <c r="C712" s="12" t="s">
        <v>183</v>
      </c>
      <c r="D712" s="12" t="s">
        <v>184</v>
      </c>
      <c r="E712" s="12" t="s">
        <v>33</v>
      </c>
      <c r="F712" s="12" t="s">
        <v>33</v>
      </c>
      <c r="G712" s="12" t="s">
        <v>302</v>
      </c>
      <c r="H712" s="12" t="s">
        <v>302</v>
      </c>
      <c r="I712" s="12"/>
      <c r="J712" s="12" t="s">
        <v>302</v>
      </c>
      <c r="K712" s="12" t="s">
        <v>302</v>
      </c>
      <c r="L712" s="28" t="n">
        <v>0</v>
      </c>
      <c r="M712" s="12" t="str">
        <f aca="false">IF(L712=1,COUNTIFS($C$2:$C$1090,C712,$L$2:$L$1090,1),"")</f>
        <v/>
      </c>
      <c r="N712" s="12" t="str">
        <f aca="false">IF(L712=1,1+COUNTIFS($C$2:$C$1090,C712,$L$2:$L$1090,1,$G$2:$G$1090,"&gt;"&amp;G712),"")</f>
        <v/>
      </c>
      <c r="O712" s="12" t="str">
        <f aca="false">IF(L712=1,1+COUNTIFS($C$2:$C$1090,C712,$L$2:$L$1090,1,$H$2:$H$1090,"&gt;"&amp;H712),"")</f>
        <v/>
      </c>
      <c r="P712" s="12" t="str">
        <f aca="false">IF(L712=1,N712-O712,"")</f>
        <v/>
      </c>
      <c r="Q712" s="12" t="n">
        <f aca="false">INDEX(Directions!$D$2:$D$100,MATCH(C712,Directions!$A$2:$A$100,0))</f>
        <v>0</v>
      </c>
      <c r="R712" s="12" t="str">
        <f aca="false">IF(L712=1,P712*Q712,"")</f>
        <v/>
      </c>
      <c r="S712" s="12" t="str">
        <f aca="false">IF(L712&lt;&gt;1,"Excluded",IF(Q712=0,"No direction",IF(R712&gt;0,"Better",IF(R712&lt;0,"Worse","No change"))))</f>
        <v>Excluded</v>
      </c>
      <c r="T712" s="12" t="s">
        <v>304</v>
      </c>
      <c r="U712" s="12" t="str">
        <f aca="false">C712&amp;"|"&amp;E712</f>
        <v>F9_05|CHE</v>
      </c>
    </row>
    <row r="713" customFormat="false" ht="15" hidden="false" customHeight="false" outlineLevel="0" collapsed="false">
      <c r="A713" s="12" t="n">
        <v>9</v>
      </c>
      <c r="B713" s="12" t="s">
        <v>43</v>
      </c>
      <c r="C713" s="12" t="s">
        <v>183</v>
      </c>
      <c r="D713" s="12" t="s">
        <v>184</v>
      </c>
      <c r="E713" s="12" t="s">
        <v>287</v>
      </c>
      <c r="F713" s="12" t="s">
        <v>34</v>
      </c>
      <c r="G713" s="12" t="s">
        <v>302</v>
      </c>
      <c r="H713" s="12" t="s">
        <v>302</v>
      </c>
      <c r="I713" s="12"/>
      <c r="J713" s="12" t="s">
        <v>302</v>
      </c>
      <c r="K713" s="12" t="s">
        <v>302</v>
      </c>
      <c r="L713" s="28" t="n">
        <v>0</v>
      </c>
      <c r="M713" s="12" t="str">
        <f aca="false">IF(L713=1,COUNTIFS($C$2:$C$1090,C713,$L$2:$L$1090,1),"")</f>
        <v/>
      </c>
      <c r="N713" s="12" t="str">
        <f aca="false">IF(L713=1,1+COUNTIFS($C$2:$C$1090,C713,$L$2:$L$1090,1,$G$2:$G$1090,"&gt;"&amp;G713),"")</f>
        <v/>
      </c>
      <c r="O713" s="12" t="str">
        <f aca="false">IF(L713=1,1+COUNTIFS($C$2:$C$1090,C713,$L$2:$L$1090,1,$H$2:$H$1090,"&gt;"&amp;H713),"")</f>
        <v/>
      </c>
      <c r="P713" s="12" t="str">
        <f aca="false">IF(L713=1,N713-O713,"")</f>
        <v/>
      </c>
      <c r="Q713" s="12" t="n">
        <f aca="false">INDEX(Directions!$D$2:$D$100,MATCH(C713,Directions!$A$2:$A$100,0))</f>
        <v>0</v>
      </c>
      <c r="R713" s="12" t="str">
        <f aca="false">IF(L713=1,P713*Q713,"")</f>
        <v/>
      </c>
      <c r="S713" s="12" t="str">
        <f aca="false">IF(L713&lt;&gt;1,"Excluded",IF(Q713=0,"No direction",IF(R713&gt;0,"Better",IF(R713&lt;0,"Worse","No change"))))</f>
        <v>Excluded</v>
      </c>
      <c r="T713" s="12" t="s">
        <v>304</v>
      </c>
      <c r="U713" s="12" t="str">
        <f aca="false">C713&amp;"|"&amp;E713</f>
        <v>F9_05|DNK</v>
      </c>
    </row>
    <row r="714" customFormat="false" ht="15" hidden="false" customHeight="false" outlineLevel="0" collapsed="false">
      <c r="A714" s="12" t="n">
        <v>9</v>
      </c>
      <c r="B714" s="12" t="s">
        <v>43</v>
      </c>
      <c r="C714" s="12" t="s">
        <v>183</v>
      </c>
      <c r="D714" s="12" t="s">
        <v>184</v>
      </c>
      <c r="E714" s="12" t="s">
        <v>288</v>
      </c>
      <c r="F714" s="12" t="s">
        <v>35</v>
      </c>
      <c r="G714" s="12" t="n">
        <v>74</v>
      </c>
      <c r="H714" s="12" t="s">
        <v>302</v>
      </c>
      <c r="I714" s="12"/>
      <c r="J714" s="12" t="n">
        <v>2</v>
      </c>
      <c r="K714" s="12" t="s">
        <v>302</v>
      </c>
      <c r="L714" s="28" t="n">
        <v>0</v>
      </c>
      <c r="M714" s="12" t="str">
        <f aca="false">IF(L714=1,COUNTIFS($C$2:$C$1090,C714,$L$2:$L$1090,1),"")</f>
        <v/>
      </c>
      <c r="N714" s="12" t="str">
        <f aca="false">IF(L714=1,1+COUNTIFS($C$2:$C$1090,C714,$L$2:$L$1090,1,$G$2:$G$1090,"&gt;"&amp;G714),"")</f>
        <v/>
      </c>
      <c r="O714" s="12" t="str">
        <f aca="false">IF(L714=1,1+COUNTIFS($C$2:$C$1090,C714,$L$2:$L$1090,1,$H$2:$H$1090,"&gt;"&amp;H714),"")</f>
        <v/>
      </c>
      <c r="P714" s="12" t="str">
        <f aca="false">IF(L714=1,N714-O714,"")</f>
        <v/>
      </c>
      <c r="Q714" s="12" t="n">
        <f aca="false">INDEX(Directions!$D$2:$D$100,MATCH(C714,Directions!$A$2:$A$100,0))</f>
        <v>0</v>
      </c>
      <c r="R714" s="12" t="str">
        <f aca="false">IF(L714=1,P714*Q714,"")</f>
        <v/>
      </c>
      <c r="S714" s="12" t="str">
        <f aca="false">IF(L714&lt;&gt;1,"Excluded",IF(Q714=0,"No direction",IF(R714&gt;0,"Better",IF(R714&lt;0,"Worse","No change"))))</f>
        <v>Excluded</v>
      </c>
      <c r="T714" s="12" t="s">
        <v>303</v>
      </c>
      <c r="U714" s="12" t="str">
        <f aca="false">C714&amp;"|"&amp;E714</f>
        <v>F9_05|CAN</v>
      </c>
    </row>
    <row r="715" customFormat="false" ht="15" hidden="false" customHeight="false" outlineLevel="0" collapsed="false">
      <c r="A715" s="12" t="n">
        <v>9</v>
      </c>
      <c r="B715" s="12" t="s">
        <v>43</v>
      </c>
      <c r="C715" s="12" t="s">
        <v>183</v>
      </c>
      <c r="D715" s="12" t="s">
        <v>184</v>
      </c>
      <c r="E715" s="12" t="s">
        <v>289</v>
      </c>
      <c r="F715" s="12" t="s">
        <v>36</v>
      </c>
      <c r="G715" s="12" t="n">
        <v>51</v>
      </c>
      <c r="H715" s="12" t="s">
        <v>302</v>
      </c>
      <c r="I715" s="12"/>
      <c r="J715" s="12" t="n">
        <v>3</v>
      </c>
      <c r="K715" s="12" t="s">
        <v>302</v>
      </c>
      <c r="L715" s="28" t="n">
        <v>0</v>
      </c>
      <c r="M715" s="12" t="str">
        <f aca="false">IF(L715=1,COUNTIFS($C$2:$C$1090,C715,$L$2:$L$1090,1),"")</f>
        <v/>
      </c>
      <c r="N715" s="12" t="str">
        <f aca="false">IF(L715=1,1+COUNTIFS($C$2:$C$1090,C715,$L$2:$L$1090,1,$G$2:$G$1090,"&gt;"&amp;G715),"")</f>
        <v/>
      </c>
      <c r="O715" s="12" t="str">
        <f aca="false">IF(L715=1,1+COUNTIFS($C$2:$C$1090,C715,$L$2:$L$1090,1,$H$2:$H$1090,"&gt;"&amp;H715),"")</f>
        <v/>
      </c>
      <c r="P715" s="12" t="str">
        <f aca="false">IF(L715=1,N715-O715,"")</f>
        <v/>
      </c>
      <c r="Q715" s="12" t="n">
        <f aca="false">INDEX(Directions!$D$2:$D$100,MATCH(C715,Directions!$A$2:$A$100,0))</f>
        <v>0</v>
      </c>
      <c r="R715" s="12" t="str">
        <f aca="false">IF(L715=1,P715*Q715,"")</f>
        <v/>
      </c>
      <c r="S715" s="12" t="str">
        <f aca="false">IF(L715&lt;&gt;1,"Excluded",IF(Q715=0,"No direction",IF(R715&gt;0,"Better",IF(R715&lt;0,"Worse","No change"))))</f>
        <v>Excluded</v>
      </c>
      <c r="T715" s="12" t="s">
        <v>303</v>
      </c>
      <c r="U715" s="12" t="str">
        <f aca="false">C715&amp;"|"&amp;E715</f>
        <v>F9_05|JPN</v>
      </c>
    </row>
    <row r="716" customFormat="false" ht="15" hidden="false" customHeight="false" outlineLevel="0" collapsed="false">
      <c r="A716" s="12" t="n">
        <v>9</v>
      </c>
      <c r="B716" s="12" t="s">
        <v>43</v>
      </c>
      <c r="C716" s="12" t="s">
        <v>183</v>
      </c>
      <c r="D716" s="12" t="s">
        <v>184</v>
      </c>
      <c r="E716" s="12" t="s">
        <v>290</v>
      </c>
      <c r="F716" s="12" t="s">
        <v>37</v>
      </c>
      <c r="G716" s="12" t="n">
        <v>29</v>
      </c>
      <c r="H716" s="12" t="s">
        <v>302</v>
      </c>
      <c r="I716" s="12"/>
      <c r="J716" s="12" t="n">
        <v>6</v>
      </c>
      <c r="K716" s="12" t="s">
        <v>302</v>
      </c>
      <c r="L716" s="28" t="n">
        <v>0</v>
      </c>
      <c r="M716" s="12" t="str">
        <f aca="false">IF(L716=1,COUNTIFS($C$2:$C$1090,C716,$L$2:$L$1090,1),"")</f>
        <v/>
      </c>
      <c r="N716" s="12" t="str">
        <f aca="false">IF(L716=1,1+COUNTIFS($C$2:$C$1090,C716,$L$2:$L$1090,1,$G$2:$G$1090,"&gt;"&amp;G716),"")</f>
        <v/>
      </c>
      <c r="O716" s="12" t="str">
        <f aca="false">IF(L716=1,1+COUNTIFS($C$2:$C$1090,C716,$L$2:$L$1090,1,$H$2:$H$1090,"&gt;"&amp;H716),"")</f>
        <v/>
      </c>
      <c r="P716" s="12" t="str">
        <f aca="false">IF(L716=1,N716-O716,"")</f>
        <v/>
      </c>
      <c r="Q716" s="12" t="n">
        <f aca="false">INDEX(Directions!$D$2:$D$100,MATCH(C716,Directions!$A$2:$A$100,0))</f>
        <v>0</v>
      </c>
      <c r="R716" s="12" t="str">
        <f aca="false">IF(L716=1,P716*Q716,"")</f>
        <v/>
      </c>
      <c r="S716" s="12" t="str">
        <f aca="false">IF(L716&lt;&gt;1,"Excluded",IF(Q716=0,"No direction",IF(R716&gt;0,"Better",IF(R716&lt;0,"Worse","No change"))))</f>
        <v>Excluded</v>
      </c>
      <c r="T716" s="12" t="s">
        <v>303</v>
      </c>
      <c r="U716" s="12" t="str">
        <f aca="false">C716&amp;"|"&amp;E716</f>
        <v>F9_05|AUS</v>
      </c>
    </row>
    <row r="717" customFormat="false" ht="15" hidden="false" customHeight="false" outlineLevel="0" collapsed="false">
      <c r="A717" s="12" t="n">
        <v>9</v>
      </c>
      <c r="B717" s="12" t="s">
        <v>43</v>
      </c>
      <c r="C717" s="12" t="s">
        <v>185</v>
      </c>
      <c r="D717" s="12" t="s">
        <v>186</v>
      </c>
      <c r="E717" s="12" t="s">
        <v>281</v>
      </c>
      <c r="F717" s="12" t="s">
        <v>27</v>
      </c>
      <c r="G717" s="12" t="n">
        <v>2505</v>
      </c>
      <c r="H717" s="12" t="s">
        <v>302</v>
      </c>
      <c r="I717" s="12"/>
      <c r="J717" s="12" t="n">
        <v>1</v>
      </c>
      <c r="K717" s="12" t="s">
        <v>302</v>
      </c>
      <c r="L717" s="28" t="n">
        <v>0</v>
      </c>
      <c r="M717" s="12" t="str">
        <f aca="false">IF(L717=1,COUNTIFS($C$2:$C$1090,C717,$L$2:$L$1090,1),"")</f>
        <v/>
      </c>
      <c r="N717" s="12" t="str">
        <f aca="false">IF(L717=1,1+COUNTIFS($C$2:$C$1090,C717,$L$2:$L$1090,1,$G$2:$G$1090,"&gt;"&amp;G717),"")</f>
        <v/>
      </c>
      <c r="O717" s="12" t="str">
        <f aca="false">IF(L717=1,1+COUNTIFS($C$2:$C$1090,C717,$L$2:$L$1090,1,$H$2:$H$1090,"&gt;"&amp;H717),"")</f>
        <v/>
      </c>
      <c r="P717" s="12" t="str">
        <f aca="false">IF(L717=1,N717-O717,"")</f>
        <v/>
      </c>
      <c r="Q717" s="12" t="n">
        <f aca="false">INDEX(Directions!$D$2:$D$100,MATCH(C717,Directions!$A$2:$A$100,0))</f>
        <v>0</v>
      </c>
      <c r="R717" s="12" t="str">
        <f aca="false">IF(L717=1,P717*Q717,"")</f>
        <v/>
      </c>
      <c r="S717" s="12" t="str">
        <f aca="false">IF(L717&lt;&gt;1,"Excluded",IF(Q717=0,"No direction",IF(R717&gt;0,"Better",IF(R717&lt;0,"Worse","No change"))))</f>
        <v>Excluded</v>
      </c>
      <c r="T717" s="12" t="s">
        <v>303</v>
      </c>
      <c r="U717" s="12" t="str">
        <f aca="false">C717&amp;"|"&amp;E717</f>
        <v>F9_06|USA</v>
      </c>
    </row>
    <row r="718" customFormat="false" ht="15" hidden="false" customHeight="false" outlineLevel="0" collapsed="false">
      <c r="A718" s="12" t="n">
        <v>9</v>
      </c>
      <c r="B718" s="12" t="s">
        <v>43</v>
      </c>
      <c r="C718" s="12" t="s">
        <v>185</v>
      </c>
      <c r="D718" s="12" t="s">
        <v>186</v>
      </c>
      <c r="E718" s="12" t="s">
        <v>283</v>
      </c>
      <c r="F718" s="12" t="s">
        <v>28</v>
      </c>
      <c r="G718" s="12" t="n">
        <v>1158</v>
      </c>
      <c r="H718" s="12" t="s">
        <v>302</v>
      </c>
      <c r="I718" s="12"/>
      <c r="J718" s="12" t="n">
        <v>5</v>
      </c>
      <c r="K718" s="12" t="s">
        <v>302</v>
      </c>
      <c r="L718" s="28" t="n">
        <v>0</v>
      </c>
      <c r="M718" s="12" t="str">
        <f aca="false">IF(L718=1,COUNTIFS($C$2:$C$1090,C718,$L$2:$L$1090,1),"")</f>
        <v/>
      </c>
      <c r="N718" s="12" t="str">
        <f aca="false">IF(L718=1,1+COUNTIFS($C$2:$C$1090,C718,$L$2:$L$1090,1,$G$2:$G$1090,"&gt;"&amp;G718),"")</f>
        <v/>
      </c>
      <c r="O718" s="12" t="str">
        <f aca="false">IF(L718=1,1+COUNTIFS($C$2:$C$1090,C718,$L$2:$L$1090,1,$H$2:$H$1090,"&gt;"&amp;H718),"")</f>
        <v/>
      </c>
      <c r="P718" s="12" t="str">
        <f aca="false">IF(L718=1,N718-O718,"")</f>
        <v/>
      </c>
      <c r="Q718" s="12" t="n">
        <f aca="false">INDEX(Directions!$D$2:$D$100,MATCH(C718,Directions!$A$2:$A$100,0))</f>
        <v>0</v>
      </c>
      <c r="R718" s="12" t="str">
        <f aca="false">IF(L718=1,P718*Q718,"")</f>
        <v/>
      </c>
      <c r="S718" s="12" t="str">
        <f aca="false">IF(L718&lt;&gt;1,"Excluded",IF(Q718=0,"No direction",IF(R718&gt;0,"Better",IF(R718&lt;0,"Worse","No change"))))</f>
        <v>Excluded</v>
      </c>
      <c r="T718" s="12" t="s">
        <v>303</v>
      </c>
      <c r="U718" s="12" t="str">
        <f aca="false">C718&amp;"|"&amp;E718</f>
        <v>F9_06|GBR</v>
      </c>
    </row>
    <row r="719" customFormat="false" ht="15" hidden="false" customHeight="false" outlineLevel="0" collapsed="false">
      <c r="A719" s="12" t="n">
        <v>9</v>
      </c>
      <c r="B719" s="12" t="s">
        <v>43</v>
      </c>
      <c r="C719" s="12" t="s">
        <v>185</v>
      </c>
      <c r="D719" s="12" t="s">
        <v>186</v>
      </c>
      <c r="E719" s="12" t="s">
        <v>284</v>
      </c>
      <c r="F719" s="12" t="s">
        <v>29</v>
      </c>
      <c r="G719" s="12" t="n">
        <v>1749</v>
      </c>
      <c r="H719" s="12" t="s">
        <v>302</v>
      </c>
      <c r="I719" s="12"/>
      <c r="J719" s="12" t="n">
        <v>2</v>
      </c>
      <c r="K719" s="12" t="s">
        <v>302</v>
      </c>
      <c r="L719" s="28" t="n">
        <v>0</v>
      </c>
      <c r="M719" s="12" t="str">
        <f aca="false">IF(L719=1,COUNTIFS($C$2:$C$1090,C719,$L$2:$L$1090,1),"")</f>
        <v/>
      </c>
      <c r="N719" s="12" t="str">
        <f aca="false">IF(L719=1,1+COUNTIFS($C$2:$C$1090,C719,$L$2:$L$1090,1,$G$2:$G$1090,"&gt;"&amp;G719),"")</f>
        <v/>
      </c>
      <c r="O719" s="12" t="str">
        <f aca="false">IF(L719=1,1+COUNTIFS($C$2:$C$1090,C719,$L$2:$L$1090,1,$H$2:$H$1090,"&gt;"&amp;H719),"")</f>
        <v/>
      </c>
      <c r="P719" s="12" t="str">
        <f aca="false">IF(L719=1,N719-O719,"")</f>
        <v/>
      </c>
      <c r="Q719" s="12" t="n">
        <f aca="false">INDEX(Directions!$D$2:$D$100,MATCH(C719,Directions!$A$2:$A$100,0))</f>
        <v>0</v>
      </c>
      <c r="R719" s="12" t="str">
        <f aca="false">IF(L719=1,P719*Q719,"")</f>
        <v/>
      </c>
      <c r="S719" s="12" t="str">
        <f aca="false">IF(L719&lt;&gt;1,"Excluded",IF(Q719=0,"No direction",IF(R719&gt;0,"Better",IF(R719&lt;0,"Worse","No change"))))</f>
        <v>Excluded</v>
      </c>
      <c r="T719" s="12" t="s">
        <v>303</v>
      </c>
      <c r="U719" s="12" t="str">
        <f aca="false">C719&amp;"|"&amp;E719</f>
        <v>F9_06|DEU</v>
      </c>
    </row>
    <row r="720" customFormat="false" ht="15" hidden="false" customHeight="false" outlineLevel="0" collapsed="false">
      <c r="A720" s="12" t="n">
        <v>9</v>
      </c>
      <c r="B720" s="12" t="s">
        <v>43</v>
      </c>
      <c r="C720" s="12" t="s">
        <v>185</v>
      </c>
      <c r="D720" s="12" t="s">
        <v>186</v>
      </c>
      <c r="E720" s="12" t="s">
        <v>285</v>
      </c>
      <c r="F720" s="12" t="s">
        <v>30</v>
      </c>
      <c r="G720" s="12" t="s">
        <v>302</v>
      </c>
      <c r="H720" s="12" t="s">
        <v>302</v>
      </c>
      <c r="I720" s="12"/>
      <c r="J720" s="12" t="s">
        <v>302</v>
      </c>
      <c r="K720" s="12" t="s">
        <v>302</v>
      </c>
      <c r="L720" s="28" t="n">
        <v>0</v>
      </c>
      <c r="M720" s="12" t="str">
        <f aca="false">IF(L720=1,COUNTIFS($C$2:$C$1090,C720,$L$2:$L$1090,1),"")</f>
        <v/>
      </c>
      <c r="N720" s="12" t="str">
        <f aca="false">IF(L720=1,1+COUNTIFS($C$2:$C$1090,C720,$L$2:$L$1090,1,$G$2:$G$1090,"&gt;"&amp;G720),"")</f>
        <v/>
      </c>
      <c r="O720" s="12" t="str">
        <f aca="false">IF(L720=1,1+COUNTIFS($C$2:$C$1090,C720,$L$2:$L$1090,1,$H$2:$H$1090,"&gt;"&amp;H720),"")</f>
        <v/>
      </c>
      <c r="P720" s="12" t="str">
        <f aca="false">IF(L720=1,N720-O720,"")</f>
        <v/>
      </c>
      <c r="Q720" s="12" t="n">
        <f aca="false">INDEX(Directions!$D$2:$D$100,MATCH(C720,Directions!$A$2:$A$100,0))</f>
        <v>0</v>
      </c>
      <c r="R720" s="12" t="str">
        <f aca="false">IF(L720=1,P720*Q720,"")</f>
        <v/>
      </c>
      <c r="S720" s="12" t="str">
        <f aca="false">IF(L720&lt;&gt;1,"Excluded",IF(Q720=0,"No direction",IF(R720&gt;0,"Better",IF(R720&lt;0,"Worse","No change"))))</f>
        <v>Excluded</v>
      </c>
      <c r="T720" s="12" t="s">
        <v>304</v>
      </c>
      <c r="U720" s="12" t="str">
        <f aca="false">C720&amp;"|"&amp;E720</f>
        <v>F9_06|SWE</v>
      </c>
    </row>
    <row r="721" customFormat="false" ht="15" hidden="false" customHeight="false" outlineLevel="0" collapsed="false">
      <c r="A721" s="12" t="n">
        <v>9</v>
      </c>
      <c r="B721" s="12" t="s">
        <v>43</v>
      </c>
      <c r="C721" s="12" t="s">
        <v>185</v>
      </c>
      <c r="D721" s="12" t="s">
        <v>186</v>
      </c>
      <c r="E721" s="12" t="s">
        <v>286</v>
      </c>
      <c r="F721" s="12" t="s">
        <v>31</v>
      </c>
      <c r="G721" s="12" t="n">
        <v>982</v>
      </c>
      <c r="H721" s="12" t="s">
        <v>302</v>
      </c>
      <c r="I721" s="12"/>
      <c r="J721" s="12" t="n">
        <v>6</v>
      </c>
      <c r="K721" s="12" t="s">
        <v>302</v>
      </c>
      <c r="L721" s="28" t="n">
        <v>0</v>
      </c>
      <c r="M721" s="12" t="str">
        <f aca="false">IF(L721=1,COUNTIFS($C$2:$C$1090,C721,$L$2:$L$1090,1),"")</f>
        <v/>
      </c>
      <c r="N721" s="12" t="str">
        <f aca="false">IF(L721=1,1+COUNTIFS($C$2:$C$1090,C721,$L$2:$L$1090,1,$G$2:$G$1090,"&gt;"&amp;G721),"")</f>
        <v/>
      </c>
      <c r="O721" s="12" t="str">
        <f aca="false">IF(L721=1,1+COUNTIFS($C$2:$C$1090,C721,$L$2:$L$1090,1,$H$2:$H$1090,"&gt;"&amp;H721),"")</f>
        <v/>
      </c>
      <c r="P721" s="12" t="str">
        <f aca="false">IF(L721=1,N721-O721,"")</f>
        <v/>
      </c>
      <c r="Q721" s="12" t="n">
        <f aca="false">INDEX(Directions!$D$2:$D$100,MATCH(C721,Directions!$A$2:$A$100,0))</f>
        <v>0</v>
      </c>
      <c r="R721" s="12" t="str">
        <f aca="false">IF(L721=1,P721*Q721,"")</f>
        <v/>
      </c>
      <c r="S721" s="12" t="str">
        <f aca="false">IF(L721&lt;&gt;1,"Excluded",IF(Q721=0,"No direction",IF(R721&gt;0,"Better",IF(R721&lt;0,"Worse","No change"))))</f>
        <v>Excluded</v>
      </c>
      <c r="T721" s="12" t="s">
        <v>303</v>
      </c>
      <c r="U721" s="12" t="str">
        <f aca="false">C721&amp;"|"&amp;E721</f>
        <v>F9_06|FRA</v>
      </c>
    </row>
    <row r="722" customFormat="false" ht="15" hidden="false" customHeight="false" outlineLevel="0" collapsed="false">
      <c r="A722" s="12" t="n">
        <v>9</v>
      </c>
      <c r="B722" s="12" t="s">
        <v>43</v>
      </c>
      <c r="C722" s="12" t="s">
        <v>185</v>
      </c>
      <c r="D722" s="12" t="s">
        <v>186</v>
      </c>
      <c r="E722" s="12" t="s">
        <v>32</v>
      </c>
      <c r="F722" s="12" t="s">
        <v>32</v>
      </c>
      <c r="G722" s="12" t="s">
        <v>302</v>
      </c>
      <c r="H722" s="12" t="s">
        <v>302</v>
      </c>
      <c r="I722" s="12"/>
      <c r="J722" s="12" t="s">
        <v>302</v>
      </c>
      <c r="K722" s="12" t="s">
        <v>302</v>
      </c>
      <c r="L722" s="28" t="n">
        <v>0</v>
      </c>
      <c r="M722" s="12" t="str">
        <f aca="false">IF(L722=1,COUNTIFS($C$2:$C$1090,C722,$L$2:$L$1090,1),"")</f>
        <v/>
      </c>
      <c r="N722" s="12" t="str">
        <f aca="false">IF(L722=1,1+COUNTIFS($C$2:$C$1090,C722,$L$2:$L$1090,1,$G$2:$G$1090,"&gt;"&amp;G722),"")</f>
        <v/>
      </c>
      <c r="O722" s="12" t="str">
        <f aca="false">IF(L722=1,1+COUNTIFS($C$2:$C$1090,C722,$L$2:$L$1090,1,$H$2:$H$1090,"&gt;"&amp;H722),"")</f>
        <v/>
      </c>
      <c r="P722" s="12" t="str">
        <f aca="false">IF(L722=1,N722-O722,"")</f>
        <v/>
      </c>
      <c r="Q722" s="12" t="n">
        <f aca="false">INDEX(Directions!$D$2:$D$100,MATCH(C722,Directions!$A$2:$A$100,0))</f>
        <v>0</v>
      </c>
      <c r="R722" s="12" t="str">
        <f aca="false">IF(L722=1,P722*Q722,"")</f>
        <v/>
      </c>
      <c r="S722" s="12" t="str">
        <f aca="false">IF(L722&lt;&gt;1,"Excluded",IF(Q722=0,"No direction",IF(R722&gt;0,"Better",IF(R722&lt;0,"Worse","No change"))))</f>
        <v>Excluded</v>
      </c>
      <c r="T722" s="12" t="s">
        <v>304</v>
      </c>
      <c r="U722" s="12" t="str">
        <f aca="false">C722&amp;"|"&amp;E722</f>
        <v>F9_06|NLD</v>
      </c>
    </row>
    <row r="723" customFormat="false" ht="15" hidden="false" customHeight="false" outlineLevel="0" collapsed="false">
      <c r="A723" s="12" t="n">
        <v>9</v>
      </c>
      <c r="B723" s="12" t="s">
        <v>43</v>
      </c>
      <c r="C723" s="12" t="s">
        <v>185</v>
      </c>
      <c r="D723" s="12" t="s">
        <v>186</v>
      </c>
      <c r="E723" s="12" t="s">
        <v>33</v>
      </c>
      <c r="F723" s="12" t="s">
        <v>33</v>
      </c>
      <c r="G723" s="12" t="s">
        <v>302</v>
      </c>
      <c r="H723" s="12" t="s">
        <v>302</v>
      </c>
      <c r="I723" s="12"/>
      <c r="J723" s="12" t="s">
        <v>302</v>
      </c>
      <c r="K723" s="12" t="s">
        <v>302</v>
      </c>
      <c r="L723" s="28" t="n">
        <v>0</v>
      </c>
      <c r="M723" s="12" t="str">
        <f aca="false">IF(L723=1,COUNTIFS($C$2:$C$1090,C723,$L$2:$L$1090,1),"")</f>
        <v/>
      </c>
      <c r="N723" s="12" t="str">
        <f aca="false">IF(L723=1,1+COUNTIFS($C$2:$C$1090,C723,$L$2:$L$1090,1,$G$2:$G$1090,"&gt;"&amp;G723),"")</f>
        <v/>
      </c>
      <c r="O723" s="12" t="str">
        <f aca="false">IF(L723=1,1+COUNTIFS($C$2:$C$1090,C723,$L$2:$L$1090,1,$H$2:$H$1090,"&gt;"&amp;H723),"")</f>
        <v/>
      </c>
      <c r="P723" s="12" t="str">
        <f aca="false">IF(L723=1,N723-O723,"")</f>
        <v/>
      </c>
      <c r="Q723" s="12" t="n">
        <f aca="false">INDEX(Directions!$D$2:$D$100,MATCH(C723,Directions!$A$2:$A$100,0))</f>
        <v>0</v>
      </c>
      <c r="R723" s="12" t="str">
        <f aca="false">IF(L723=1,P723*Q723,"")</f>
        <v/>
      </c>
      <c r="S723" s="12" t="str">
        <f aca="false">IF(L723&lt;&gt;1,"Excluded",IF(Q723=0,"No direction",IF(R723&gt;0,"Better",IF(R723&lt;0,"Worse","No change"))))</f>
        <v>Excluded</v>
      </c>
      <c r="T723" s="12" t="s">
        <v>304</v>
      </c>
      <c r="U723" s="12" t="str">
        <f aca="false">C723&amp;"|"&amp;E723</f>
        <v>F9_06|CHE</v>
      </c>
    </row>
    <row r="724" customFormat="false" ht="15" hidden="false" customHeight="false" outlineLevel="0" collapsed="false">
      <c r="A724" s="12" t="n">
        <v>9</v>
      </c>
      <c r="B724" s="12" t="s">
        <v>43</v>
      </c>
      <c r="C724" s="12" t="s">
        <v>185</v>
      </c>
      <c r="D724" s="12" t="s">
        <v>186</v>
      </c>
      <c r="E724" s="12" t="s">
        <v>287</v>
      </c>
      <c r="F724" s="12" t="s">
        <v>34</v>
      </c>
      <c r="G724" s="12" t="s">
        <v>302</v>
      </c>
      <c r="H724" s="12" t="s">
        <v>302</v>
      </c>
      <c r="I724" s="12"/>
      <c r="J724" s="12" t="s">
        <v>302</v>
      </c>
      <c r="K724" s="12" t="s">
        <v>302</v>
      </c>
      <c r="L724" s="28" t="n">
        <v>0</v>
      </c>
      <c r="M724" s="12" t="str">
        <f aca="false">IF(L724=1,COUNTIFS($C$2:$C$1090,C724,$L$2:$L$1090,1),"")</f>
        <v/>
      </c>
      <c r="N724" s="12" t="str">
        <f aca="false">IF(L724=1,1+COUNTIFS($C$2:$C$1090,C724,$L$2:$L$1090,1,$G$2:$G$1090,"&gt;"&amp;G724),"")</f>
        <v/>
      </c>
      <c r="O724" s="12" t="str">
        <f aca="false">IF(L724=1,1+COUNTIFS($C$2:$C$1090,C724,$L$2:$L$1090,1,$H$2:$H$1090,"&gt;"&amp;H724),"")</f>
        <v/>
      </c>
      <c r="P724" s="12" t="str">
        <f aca="false">IF(L724=1,N724-O724,"")</f>
        <v/>
      </c>
      <c r="Q724" s="12" t="n">
        <f aca="false">INDEX(Directions!$D$2:$D$100,MATCH(C724,Directions!$A$2:$A$100,0))</f>
        <v>0</v>
      </c>
      <c r="R724" s="12" t="str">
        <f aca="false">IF(L724=1,P724*Q724,"")</f>
        <v/>
      </c>
      <c r="S724" s="12" t="str">
        <f aca="false">IF(L724&lt;&gt;1,"Excluded",IF(Q724=0,"No direction",IF(R724&gt;0,"Better",IF(R724&lt;0,"Worse","No change"))))</f>
        <v>Excluded</v>
      </c>
      <c r="T724" s="12" t="s">
        <v>304</v>
      </c>
      <c r="U724" s="12" t="str">
        <f aca="false">C724&amp;"|"&amp;E724</f>
        <v>F9_06|DNK</v>
      </c>
    </row>
    <row r="725" customFormat="false" ht="15" hidden="false" customHeight="false" outlineLevel="0" collapsed="false">
      <c r="A725" s="12" t="n">
        <v>9</v>
      </c>
      <c r="B725" s="12" t="s">
        <v>43</v>
      </c>
      <c r="C725" s="12" t="s">
        <v>185</v>
      </c>
      <c r="D725" s="12" t="s">
        <v>186</v>
      </c>
      <c r="E725" s="12" t="s">
        <v>288</v>
      </c>
      <c r="F725" s="12" t="s">
        <v>35</v>
      </c>
      <c r="G725" s="12" t="n">
        <v>1164</v>
      </c>
      <c r="H725" s="12" t="s">
        <v>302</v>
      </c>
      <c r="I725" s="12"/>
      <c r="J725" s="12" t="n">
        <v>4</v>
      </c>
      <c r="K725" s="12" t="s">
        <v>302</v>
      </c>
      <c r="L725" s="28" t="n">
        <v>0</v>
      </c>
      <c r="M725" s="12" t="str">
        <f aca="false">IF(L725=1,COUNTIFS($C$2:$C$1090,C725,$L$2:$L$1090,1),"")</f>
        <v/>
      </c>
      <c r="N725" s="12" t="str">
        <f aca="false">IF(L725=1,1+COUNTIFS($C$2:$C$1090,C725,$L$2:$L$1090,1,$G$2:$G$1090,"&gt;"&amp;G725),"")</f>
        <v/>
      </c>
      <c r="O725" s="12" t="str">
        <f aca="false">IF(L725=1,1+COUNTIFS($C$2:$C$1090,C725,$L$2:$L$1090,1,$H$2:$H$1090,"&gt;"&amp;H725),"")</f>
        <v/>
      </c>
      <c r="P725" s="12" t="str">
        <f aca="false">IF(L725=1,N725-O725,"")</f>
        <v/>
      </c>
      <c r="Q725" s="12" t="n">
        <f aca="false">INDEX(Directions!$D$2:$D$100,MATCH(C725,Directions!$A$2:$A$100,0))</f>
        <v>0</v>
      </c>
      <c r="R725" s="12" t="str">
        <f aca="false">IF(L725=1,P725*Q725,"")</f>
        <v/>
      </c>
      <c r="S725" s="12" t="str">
        <f aca="false">IF(L725&lt;&gt;1,"Excluded",IF(Q725=0,"No direction",IF(R725&gt;0,"Better",IF(R725&lt;0,"Worse","No change"))))</f>
        <v>Excluded</v>
      </c>
      <c r="T725" s="12" t="s">
        <v>303</v>
      </c>
      <c r="U725" s="12" t="str">
        <f aca="false">C725&amp;"|"&amp;E725</f>
        <v>F9_06|CAN</v>
      </c>
    </row>
    <row r="726" customFormat="false" ht="15" hidden="false" customHeight="false" outlineLevel="0" collapsed="false">
      <c r="A726" s="12" t="n">
        <v>9</v>
      </c>
      <c r="B726" s="12" t="s">
        <v>43</v>
      </c>
      <c r="C726" s="12" t="s">
        <v>185</v>
      </c>
      <c r="D726" s="12" t="s">
        <v>186</v>
      </c>
      <c r="E726" s="12" t="s">
        <v>289</v>
      </c>
      <c r="F726" s="12" t="s">
        <v>36</v>
      </c>
      <c r="G726" s="12" t="n">
        <v>980</v>
      </c>
      <c r="H726" s="12" t="s">
        <v>302</v>
      </c>
      <c r="I726" s="12"/>
      <c r="J726" s="12" t="n">
        <v>7</v>
      </c>
      <c r="K726" s="12" t="s">
        <v>302</v>
      </c>
      <c r="L726" s="28" t="n">
        <v>0</v>
      </c>
      <c r="M726" s="12" t="str">
        <f aca="false">IF(L726=1,COUNTIFS($C$2:$C$1090,C726,$L$2:$L$1090,1),"")</f>
        <v/>
      </c>
      <c r="N726" s="12" t="str">
        <f aca="false">IF(L726=1,1+COUNTIFS($C$2:$C$1090,C726,$L$2:$L$1090,1,$G$2:$G$1090,"&gt;"&amp;G726),"")</f>
        <v/>
      </c>
      <c r="O726" s="12" t="str">
        <f aca="false">IF(L726=1,1+COUNTIFS($C$2:$C$1090,C726,$L$2:$L$1090,1,$H$2:$H$1090,"&gt;"&amp;H726),"")</f>
        <v/>
      </c>
      <c r="P726" s="12" t="str">
        <f aca="false">IF(L726=1,N726-O726,"")</f>
        <v/>
      </c>
      <c r="Q726" s="12" t="n">
        <f aca="false">INDEX(Directions!$D$2:$D$100,MATCH(C726,Directions!$A$2:$A$100,0))</f>
        <v>0</v>
      </c>
      <c r="R726" s="12" t="str">
        <f aca="false">IF(L726=1,P726*Q726,"")</f>
        <v/>
      </c>
      <c r="S726" s="12" t="str">
        <f aca="false">IF(L726&lt;&gt;1,"Excluded",IF(Q726=0,"No direction",IF(R726&gt;0,"Better",IF(R726&lt;0,"Worse","No change"))))</f>
        <v>Excluded</v>
      </c>
      <c r="T726" s="12" t="s">
        <v>303</v>
      </c>
      <c r="U726" s="12" t="str">
        <f aca="false">C726&amp;"|"&amp;E726</f>
        <v>F9_06|JPN</v>
      </c>
    </row>
    <row r="727" customFormat="false" ht="15" hidden="false" customHeight="false" outlineLevel="0" collapsed="false">
      <c r="A727" s="12" t="n">
        <v>9</v>
      </c>
      <c r="B727" s="12" t="s">
        <v>43</v>
      </c>
      <c r="C727" s="12" t="s">
        <v>185</v>
      </c>
      <c r="D727" s="12" t="s">
        <v>186</v>
      </c>
      <c r="E727" s="12" t="s">
        <v>290</v>
      </c>
      <c r="F727" s="12" t="s">
        <v>37</v>
      </c>
      <c r="G727" s="12" t="n">
        <v>1243</v>
      </c>
      <c r="H727" s="12" t="s">
        <v>302</v>
      </c>
      <c r="I727" s="12"/>
      <c r="J727" s="12" t="n">
        <v>3</v>
      </c>
      <c r="K727" s="12" t="s">
        <v>302</v>
      </c>
      <c r="L727" s="28" t="n">
        <v>0</v>
      </c>
      <c r="M727" s="12" t="str">
        <f aca="false">IF(L727=1,COUNTIFS($C$2:$C$1090,C727,$L$2:$L$1090,1),"")</f>
        <v/>
      </c>
      <c r="N727" s="12" t="str">
        <f aca="false">IF(L727=1,1+COUNTIFS($C$2:$C$1090,C727,$L$2:$L$1090,1,$G$2:$G$1090,"&gt;"&amp;G727),"")</f>
        <v/>
      </c>
      <c r="O727" s="12" t="str">
        <f aca="false">IF(L727=1,1+COUNTIFS($C$2:$C$1090,C727,$L$2:$L$1090,1,$H$2:$H$1090,"&gt;"&amp;H727),"")</f>
        <v/>
      </c>
      <c r="P727" s="12" t="str">
        <f aca="false">IF(L727=1,N727-O727,"")</f>
        <v/>
      </c>
      <c r="Q727" s="12" t="n">
        <f aca="false">INDEX(Directions!$D$2:$D$100,MATCH(C727,Directions!$A$2:$A$100,0))</f>
        <v>0</v>
      </c>
      <c r="R727" s="12" t="str">
        <f aca="false">IF(L727=1,P727*Q727,"")</f>
        <v/>
      </c>
      <c r="S727" s="12" t="str">
        <f aca="false">IF(L727&lt;&gt;1,"Excluded",IF(Q727=0,"No direction",IF(R727&gt;0,"Better",IF(R727&lt;0,"Worse","No change"))))</f>
        <v>Excluded</v>
      </c>
      <c r="T727" s="12" t="s">
        <v>303</v>
      </c>
      <c r="U727" s="12" t="str">
        <f aca="false">C727&amp;"|"&amp;E727</f>
        <v>F9_06|AUS</v>
      </c>
    </row>
    <row r="728" customFormat="false" ht="15" hidden="false" customHeight="false" outlineLevel="0" collapsed="false">
      <c r="A728" s="12" t="n">
        <v>9</v>
      </c>
      <c r="B728" s="12" t="s">
        <v>43</v>
      </c>
      <c r="C728" s="12" t="s">
        <v>187</v>
      </c>
      <c r="D728" s="12" t="s">
        <v>188</v>
      </c>
      <c r="E728" s="12" t="s">
        <v>281</v>
      </c>
      <c r="F728" s="12" t="s">
        <v>27</v>
      </c>
      <c r="G728" s="12" t="n">
        <v>111</v>
      </c>
      <c r="H728" s="12" t="s">
        <v>302</v>
      </c>
      <c r="I728" s="12"/>
      <c r="J728" s="12" t="n">
        <v>1</v>
      </c>
      <c r="K728" s="12" t="s">
        <v>302</v>
      </c>
      <c r="L728" s="28" t="n">
        <v>0</v>
      </c>
      <c r="M728" s="12" t="str">
        <f aca="false">IF(L728=1,COUNTIFS($C$2:$C$1090,C728,$L$2:$L$1090,1),"")</f>
        <v/>
      </c>
      <c r="N728" s="12" t="str">
        <f aca="false">IF(L728=1,1+COUNTIFS($C$2:$C$1090,C728,$L$2:$L$1090,1,$G$2:$G$1090,"&gt;"&amp;G728),"")</f>
        <v/>
      </c>
      <c r="O728" s="12" t="str">
        <f aca="false">IF(L728=1,1+COUNTIFS($C$2:$C$1090,C728,$L$2:$L$1090,1,$H$2:$H$1090,"&gt;"&amp;H728),"")</f>
        <v/>
      </c>
      <c r="P728" s="12" t="str">
        <f aca="false">IF(L728=1,N728-O728,"")</f>
        <v/>
      </c>
      <c r="Q728" s="12" t="n">
        <f aca="false">INDEX(Directions!$D$2:$D$100,MATCH(C728,Directions!$A$2:$A$100,0))</f>
        <v>0</v>
      </c>
      <c r="R728" s="12" t="str">
        <f aca="false">IF(L728=1,P728*Q728,"")</f>
        <v/>
      </c>
      <c r="S728" s="12" t="str">
        <f aca="false">IF(L728&lt;&gt;1,"Excluded",IF(Q728=0,"No direction",IF(R728&gt;0,"Better",IF(R728&lt;0,"Worse","No change"))))</f>
        <v>Excluded</v>
      </c>
      <c r="T728" s="12" t="s">
        <v>303</v>
      </c>
      <c r="U728" s="12" t="str">
        <f aca="false">C728&amp;"|"&amp;E728</f>
        <v>F9_07|USA</v>
      </c>
    </row>
    <row r="729" customFormat="false" ht="15" hidden="false" customHeight="false" outlineLevel="0" collapsed="false">
      <c r="A729" s="12" t="n">
        <v>9</v>
      </c>
      <c r="B729" s="12" t="s">
        <v>43</v>
      </c>
      <c r="C729" s="12" t="s">
        <v>187</v>
      </c>
      <c r="D729" s="12" t="s">
        <v>188</v>
      </c>
      <c r="E729" s="12" t="s">
        <v>283</v>
      </c>
      <c r="F729" s="12" t="s">
        <v>28</v>
      </c>
      <c r="G729" s="12" t="n">
        <v>16</v>
      </c>
      <c r="H729" s="12" t="s">
        <v>302</v>
      </c>
      <c r="I729" s="12"/>
      <c r="J729" s="12" t="n">
        <v>4</v>
      </c>
      <c r="K729" s="12" t="s">
        <v>302</v>
      </c>
      <c r="L729" s="28" t="n">
        <v>0</v>
      </c>
      <c r="M729" s="12" t="str">
        <f aca="false">IF(L729=1,COUNTIFS($C$2:$C$1090,C729,$L$2:$L$1090,1),"")</f>
        <v/>
      </c>
      <c r="N729" s="12" t="str">
        <f aca="false">IF(L729=1,1+COUNTIFS($C$2:$C$1090,C729,$L$2:$L$1090,1,$G$2:$G$1090,"&gt;"&amp;G729),"")</f>
        <v/>
      </c>
      <c r="O729" s="12" t="str">
        <f aca="false">IF(L729=1,1+COUNTIFS($C$2:$C$1090,C729,$L$2:$L$1090,1,$H$2:$H$1090,"&gt;"&amp;H729),"")</f>
        <v/>
      </c>
      <c r="P729" s="12" t="str">
        <f aca="false">IF(L729=1,N729-O729,"")</f>
        <v/>
      </c>
      <c r="Q729" s="12" t="n">
        <f aca="false">INDEX(Directions!$D$2:$D$100,MATCH(C729,Directions!$A$2:$A$100,0))</f>
        <v>0</v>
      </c>
      <c r="R729" s="12" t="str">
        <f aca="false">IF(L729=1,P729*Q729,"")</f>
        <v/>
      </c>
      <c r="S729" s="12" t="str">
        <f aca="false">IF(L729&lt;&gt;1,"Excluded",IF(Q729=0,"No direction",IF(R729&gt;0,"Better",IF(R729&lt;0,"Worse","No change"))))</f>
        <v>Excluded</v>
      </c>
      <c r="T729" s="12" t="s">
        <v>303</v>
      </c>
      <c r="U729" s="12" t="str">
        <f aca="false">C729&amp;"|"&amp;E729</f>
        <v>F9_07|GBR</v>
      </c>
    </row>
    <row r="730" customFormat="false" ht="15" hidden="false" customHeight="false" outlineLevel="0" collapsed="false">
      <c r="A730" s="12" t="n">
        <v>9</v>
      </c>
      <c r="B730" s="12" t="s">
        <v>43</v>
      </c>
      <c r="C730" s="12" t="s">
        <v>187</v>
      </c>
      <c r="D730" s="12" t="s">
        <v>188</v>
      </c>
      <c r="E730" s="12" t="s">
        <v>284</v>
      </c>
      <c r="F730" s="12" t="s">
        <v>29</v>
      </c>
      <c r="G730" s="12" t="n">
        <v>12</v>
      </c>
      <c r="H730" s="12" t="s">
        <v>302</v>
      </c>
      <c r="I730" s="12"/>
      <c r="J730" s="12" t="n">
        <v>5</v>
      </c>
      <c r="K730" s="12" t="s">
        <v>302</v>
      </c>
      <c r="L730" s="28" t="n">
        <v>0</v>
      </c>
      <c r="M730" s="12" t="str">
        <f aca="false">IF(L730=1,COUNTIFS($C$2:$C$1090,C730,$L$2:$L$1090,1),"")</f>
        <v/>
      </c>
      <c r="N730" s="12" t="str">
        <f aca="false">IF(L730=1,1+COUNTIFS($C$2:$C$1090,C730,$L$2:$L$1090,1,$G$2:$G$1090,"&gt;"&amp;G730),"")</f>
        <v/>
      </c>
      <c r="O730" s="12" t="str">
        <f aca="false">IF(L730=1,1+COUNTIFS($C$2:$C$1090,C730,$L$2:$L$1090,1,$H$2:$H$1090,"&gt;"&amp;H730),"")</f>
        <v/>
      </c>
      <c r="P730" s="12" t="str">
        <f aca="false">IF(L730=1,N730-O730,"")</f>
        <v/>
      </c>
      <c r="Q730" s="12" t="n">
        <f aca="false">INDEX(Directions!$D$2:$D$100,MATCH(C730,Directions!$A$2:$A$100,0))</f>
        <v>0</v>
      </c>
      <c r="R730" s="12" t="str">
        <f aca="false">IF(L730=1,P730*Q730,"")</f>
        <v/>
      </c>
      <c r="S730" s="12" t="str">
        <f aca="false">IF(L730&lt;&gt;1,"Excluded",IF(Q730=0,"No direction",IF(R730&gt;0,"Better",IF(R730&lt;0,"Worse","No change"))))</f>
        <v>Excluded</v>
      </c>
      <c r="T730" s="12" t="s">
        <v>303</v>
      </c>
      <c r="U730" s="12" t="str">
        <f aca="false">C730&amp;"|"&amp;E730</f>
        <v>F9_07|DEU</v>
      </c>
    </row>
    <row r="731" customFormat="false" ht="15" hidden="false" customHeight="false" outlineLevel="0" collapsed="false">
      <c r="A731" s="12" t="n">
        <v>9</v>
      </c>
      <c r="B731" s="12" t="s">
        <v>43</v>
      </c>
      <c r="C731" s="12" t="s">
        <v>187</v>
      </c>
      <c r="D731" s="12" t="s">
        <v>188</v>
      </c>
      <c r="E731" s="12" t="s">
        <v>285</v>
      </c>
      <c r="F731" s="12" t="s">
        <v>30</v>
      </c>
      <c r="G731" s="12" t="s">
        <v>302</v>
      </c>
      <c r="H731" s="12" t="s">
        <v>302</v>
      </c>
      <c r="I731" s="12"/>
      <c r="J731" s="12" t="s">
        <v>302</v>
      </c>
      <c r="K731" s="12" t="s">
        <v>302</v>
      </c>
      <c r="L731" s="28" t="n">
        <v>0</v>
      </c>
      <c r="M731" s="12" t="str">
        <f aca="false">IF(L731=1,COUNTIFS($C$2:$C$1090,C731,$L$2:$L$1090,1),"")</f>
        <v/>
      </c>
      <c r="N731" s="12" t="str">
        <f aca="false">IF(L731=1,1+COUNTIFS($C$2:$C$1090,C731,$L$2:$L$1090,1,$G$2:$G$1090,"&gt;"&amp;G731),"")</f>
        <v/>
      </c>
      <c r="O731" s="12" t="str">
        <f aca="false">IF(L731=1,1+COUNTIFS($C$2:$C$1090,C731,$L$2:$L$1090,1,$H$2:$H$1090,"&gt;"&amp;H731),"")</f>
        <v/>
      </c>
      <c r="P731" s="12" t="str">
        <f aca="false">IF(L731=1,N731-O731,"")</f>
        <v/>
      </c>
      <c r="Q731" s="12" t="n">
        <f aca="false">INDEX(Directions!$D$2:$D$100,MATCH(C731,Directions!$A$2:$A$100,0))</f>
        <v>0</v>
      </c>
      <c r="R731" s="12" t="str">
        <f aca="false">IF(L731=1,P731*Q731,"")</f>
        <v/>
      </c>
      <c r="S731" s="12" t="str">
        <f aca="false">IF(L731&lt;&gt;1,"Excluded",IF(Q731=0,"No direction",IF(R731&gt;0,"Better",IF(R731&lt;0,"Worse","No change"))))</f>
        <v>Excluded</v>
      </c>
      <c r="T731" s="12" t="s">
        <v>304</v>
      </c>
      <c r="U731" s="12" t="str">
        <f aca="false">C731&amp;"|"&amp;E731</f>
        <v>F9_07|SWE</v>
      </c>
    </row>
    <row r="732" customFormat="false" ht="15" hidden="false" customHeight="false" outlineLevel="0" collapsed="false">
      <c r="A732" s="12" t="n">
        <v>9</v>
      </c>
      <c r="B732" s="12" t="s">
        <v>43</v>
      </c>
      <c r="C732" s="12" t="s">
        <v>187</v>
      </c>
      <c r="D732" s="12" t="s">
        <v>188</v>
      </c>
      <c r="E732" s="12" t="s">
        <v>286</v>
      </c>
      <c r="F732" s="12" t="s">
        <v>31</v>
      </c>
      <c r="G732" s="12" t="n">
        <v>11</v>
      </c>
      <c r="H732" s="12" t="s">
        <v>302</v>
      </c>
      <c r="I732" s="12"/>
      <c r="J732" s="12" t="n">
        <v>6</v>
      </c>
      <c r="K732" s="12" t="s">
        <v>302</v>
      </c>
      <c r="L732" s="28" t="n">
        <v>0</v>
      </c>
      <c r="M732" s="12" t="str">
        <f aca="false">IF(L732=1,COUNTIFS($C$2:$C$1090,C732,$L$2:$L$1090,1),"")</f>
        <v/>
      </c>
      <c r="N732" s="12" t="str">
        <f aca="false">IF(L732=1,1+COUNTIFS($C$2:$C$1090,C732,$L$2:$L$1090,1,$G$2:$G$1090,"&gt;"&amp;G732),"")</f>
        <v/>
      </c>
      <c r="O732" s="12" t="str">
        <f aca="false">IF(L732=1,1+COUNTIFS($C$2:$C$1090,C732,$L$2:$L$1090,1,$H$2:$H$1090,"&gt;"&amp;H732),"")</f>
        <v/>
      </c>
      <c r="P732" s="12" t="str">
        <f aca="false">IF(L732=1,N732-O732,"")</f>
        <v/>
      </c>
      <c r="Q732" s="12" t="n">
        <f aca="false">INDEX(Directions!$D$2:$D$100,MATCH(C732,Directions!$A$2:$A$100,0))</f>
        <v>0</v>
      </c>
      <c r="R732" s="12" t="str">
        <f aca="false">IF(L732=1,P732*Q732,"")</f>
        <v/>
      </c>
      <c r="S732" s="12" t="str">
        <f aca="false">IF(L732&lt;&gt;1,"Excluded",IF(Q732=0,"No direction",IF(R732&gt;0,"Better",IF(R732&lt;0,"Worse","No change"))))</f>
        <v>Excluded</v>
      </c>
      <c r="T732" s="12" t="s">
        <v>303</v>
      </c>
      <c r="U732" s="12" t="str">
        <f aca="false">C732&amp;"|"&amp;E732</f>
        <v>F9_07|FRA</v>
      </c>
    </row>
    <row r="733" customFormat="false" ht="15" hidden="false" customHeight="false" outlineLevel="0" collapsed="false">
      <c r="A733" s="12" t="n">
        <v>9</v>
      </c>
      <c r="B733" s="12" t="s">
        <v>43</v>
      </c>
      <c r="C733" s="12" t="s">
        <v>187</v>
      </c>
      <c r="D733" s="12" t="s">
        <v>188</v>
      </c>
      <c r="E733" s="12" t="s">
        <v>32</v>
      </c>
      <c r="F733" s="12" t="s">
        <v>32</v>
      </c>
      <c r="G733" s="12" t="s">
        <v>302</v>
      </c>
      <c r="H733" s="12" t="s">
        <v>302</v>
      </c>
      <c r="I733" s="12"/>
      <c r="J733" s="12" t="s">
        <v>302</v>
      </c>
      <c r="K733" s="12" t="s">
        <v>302</v>
      </c>
      <c r="L733" s="28" t="n">
        <v>0</v>
      </c>
      <c r="M733" s="12" t="str">
        <f aca="false">IF(L733=1,COUNTIFS($C$2:$C$1090,C733,$L$2:$L$1090,1),"")</f>
        <v/>
      </c>
      <c r="N733" s="12" t="str">
        <f aca="false">IF(L733=1,1+COUNTIFS($C$2:$C$1090,C733,$L$2:$L$1090,1,$G$2:$G$1090,"&gt;"&amp;G733),"")</f>
        <v/>
      </c>
      <c r="O733" s="12" t="str">
        <f aca="false">IF(L733=1,1+COUNTIFS($C$2:$C$1090,C733,$L$2:$L$1090,1,$H$2:$H$1090,"&gt;"&amp;H733),"")</f>
        <v/>
      </c>
      <c r="P733" s="12" t="str">
        <f aca="false">IF(L733=1,N733-O733,"")</f>
        <v/>
      </c>
      <c r="Q733" s="12" t="n">
        <f aca="false">INDEX(Directions!$D$2:$D$100,MATCH(C733,Directions!$A$2:$A$100,0))</f>
        <v>0</v>
      </c>
      <c r="R733" s="12" t="str">
        <f aca="false">IF(L733=1,P733*Q733,"")</f>
        <v/>
      </c>
      <c r="S733" s="12" t="str">
        <f aca="false">IF(L733&lt;&gt;1,"Excluded",IF(Q733=0,"No direction",IF(R733&gt;0,"Better",IF(R733&lt;0,"Worse","No change"))))</f>
        <v>Excluded</v>
      </c>
      <c r="T733" s="12" t="s">
        <v>304</v>
      </c>
      <c r="U733" s="12" t="str">
        <f aca="false">C733&amp;"|"&amp;E733</f>
        <v>F9_07|NLD</v>
      </c>
    </row>
    <row r="734" customFormat="false" ht="15" hidden="false" customHeight="false" outlineLevel="0" collapsed="false">
      <c r="A734" s="12" t="n">
        <v>9</v>
      </c>
      <c r="B734" s="12" t="s">
        <v>43</v>
      </c>
      <c r="C734" s="12" t="s">
        <v>187</v>
      </c>
      <c r="D734" s="12" t="s">
        <v>188</v>
      </c>
      <c r="E734" s="12" t="s">
        <v>33</v>
      </c>
      <c r="F734" s="12" t="s">
        <v>33</v>
      </c>
      <c r="G734" s="12" t="n">
        <v>26</v>
      </c>
      <c r="H734" s="12" t="s">
        <v>302</v>
      </c>
      <c r="I734" s="12"/>
      <c r="J734" s="12" t="n">
        <v>2</v>
      </c>
      <c r="K734" s="12" t="s">
        <v>302</v>
      </c>
      <c r="L734" s="28" t="n">
        <v>0</v>
      </c>
      <c r="M734" s="12" t="str">
        <f aca="false">IF(L734=1,COUNTIFS($C$2:$C$1090,C734,$L$2:$L$1090,1),"")</f>
        <v/>
      </c>
      <c r="N734" s="12" t="str">
        <f aca="false">IF(L734=1,1+COUNTIFS($C$2:$C$1090,C734,$L$2:$L$1090,1,$G$2:$G$1090,"&gt;"&amp;G734),"")</f>
        <v/>
      </c>
      <c r="O734" s="12" t="str">
        <f aca="false">IF(L734=1,1+COUNTIFS($C$2:$C$1090,C734,$L$2:$L$1090,1,$H$2:$H$1090,"&gt;"&amp;H734),"")</f>
        <v/>
      </c>
      <c r="P734" s="12" t="str">
        <f aca="false">IF(L734=1,N734-O734,"")</f>
        <v/>
      </c>
      <c r="Q734" s="12" t="n">
        <f aca="false">INDEX(Directions!$D$2:$D$100,MATCH(C734,Directions!$A$2:$A$100,0))</f>
        <v>0</v>
      </c>
      <c r="R734" s="12" t="str">
        <f aca="false">IF(L734=1,P734*Q734,"")</f>
        <v/>
      </c>
      <c r="S734" s="12" t="str">
        <f aca="false">IF(L734&lt;&gt;1,"Excluded",IF(Q734=0,"No direction",IF(R734&gt;0,"Better",IF(R734&lt;0,"Worse","No change"))))</f>
        <v>Excluded</v>
      </c>
      <c r="T734" s="12" t="s">
        <v>303</v>
      </c>
      <c r="U734" s="12" t="str">
        <f aca="false">C734&amp;"|"&amp;E734</f>
        <v>F9_07|CHE</v>
      </c>
    </row>
    <row r="735" customFormat="false" ht="15" hidden="false" customHeight="false" outlineLevel="0" collapsed="false">
      <c r="A735" s="12" t="n">
        <v>9</v>
      </c>
      <c r="B735" s="12" t="s">
        <v>43</v>
      </c>
      <c r="C735" s="12" t="s">
        <v>187</v>
      </c>
      <c r="D735" s="12" t="s">
        <v>188</v>
      </c>
      <c r="E735" s="12" t="s">
        <v>287</v>
      </c>
      <c r="F735" s="12" t="s">
        <v>34</v>
      </c>
      <c r="G735" s="12" t="s">
        <v>302</v>
      </c>
      <c r="H735" s="12" t="s">
        <v>302</v>
      </c>
      <c r="I735" s="12"/>
      <c r="J735" s="12" t="s">
        <v>302</v>
      </c>
      <c r="K735" s="12" t="s">
        <v>302</v>
      </c>
      <c r="L735" s="28" t="n">
        <v>0</v>
      </c>
      <c r="M735" s="12" t="str">
        <f aca="false">IF(L735=1,COUNTIFS($C$2:$C$1090,C735,$L$2:$L$1090,1),"")</f>
        <v/>
      </c>
      <c r="N735" s="12" t="str">
        <f aca="false">IF(L735=1,1+COUNTIFS($C$2:$C$1090,C735,$L$2:$L$1090,1,$G$2:$G$1090,"&gt;"&amp;G735),"")</f>
        <v/>
      </c>
      <c r="O735" s="12" t="str">
        <f aca="false">IF(L735=1,1+COUNTIFS($C$2:$C$1090,C735,$L$2:$L$1090,1,$H$2:$H$1090,"&gt;"&amp;H735),"")</f>
        <v/>
      </c>
      <c r="P735" s="12" t="str">
        <f aca="false">IF(L735=1,N735-O735,"")</f>
        <v/>
      </c>
      <c r="Q735" s="12" t="n">
        <f aca="false">INDEX(Directions!$D$2:$D$100,MATCH(C735,Directions!$A$2:$A$100,0))</f>
        <v>0</v>
      </c>
      <c r="R735" s="12" t="str">
        <f aca="false">IF(L735=1,P735*Q735,"")</f>
        <v/>
      </c>
      <c r="S735" s="12" t="str">
        <f aca="false">IF(L735&lt;&gt;1,"Excluded",IF(Q735=0,"No direction",IF(R735&gt;0,"Better",IF(R735&lt;0,"Worse","No change"))))</f>
        <v>Excluded</v>
      </c>
      <c r="T735" s="12" t="s">
        <v>304</v>
      </c>
      <c r="U735" s="12" t="str">
        <f aca="false">C735&amp;"|"&amp;E735</f>
        <v>F9_07|DNK</v>
      </c>
    </row>
    <row r="736" customFormat="false" ht="15" hidden="false" customHeight="false" outlineLevel="0" collapsed="false">
      <c r="A736" s="12" t="n">
        <v>9</v>
      </c>
      <c r="B736" s="12" t="s">
        <v>43</v>
      </c>
      <c r="C736" s="12" t="s">
        <v>187</v>
      </c>
      <c r="D736" s="12" t="s">
        <v>188</v>
      </c>
      <c r="E736" s="12" t="s">
        <v>288</v>
      </c>
      <c r="F736" s="12" t="s">
        <v>35</v>
      </c>
      <c r="G736" s="12" t="s">
        <v>302</v>
      </c>
      <c r="H736" s="12" t="s">
        <v>302</v>
      </c>
      <c r="I736" s="12"/>
      <c r="J736" s="12" t="s">
        <v>302</v>
      </c>
      <c r="K736" s="12" t="s">
        <v>302</v>
      </c>
      <c r="L736" s="28" t="n">
        <v>0</v>
      </c>
      <c r="M736" s="12" t="str">
        <f aca="false">IF(L736=1,COUNTIFS($C$2:$C$1090,C736,$L$2:$L$1090,1),"")</f>
        <v/>
      </c>
      <c r="N736" s="12" t="str">
        <f aca="false">IF(L736=1,1+COUNTIFS($C$2:$C$1090,C736,$L$2:$L$1090,1,$G$2:$G$1090,"&gt;"&amp;G736),"")</f>
        <v/>
      </c>
      <c r="O736" s="12" t="str">
        <f aca="false">IF(L736=1,1+COUNTIFS($C$2:$C$1090,C736,$L$2:$L$1090,1,$H$2:$H$1090,"&gt;"&amp;H736),"")</f>
        <v/>
      </c>
      <c r="P736" s="12" t="str">
        <f aca="false">IF(L736=1,N736-O736,"")</f>
        <v/>
      </c>
      <c r="Q736" s="12" t="n">
        <f aca="false">INDEX(Directions!$D$2:$D$100,MATCH(C736,Directions!$A$2:$A$100,0))</f>
        <v>0</v>
      </c>
      <c r="R736" s="12" t="str">
        <f aca="false">IF(L736=1,P736*Q736,"")</f>
        <v/>
      </c>
      <c r="S736" s="12" t="str">
        <f aca="false">IF(L736&lt;&gt;1,"Excluded",IF(Q736=0,"No direction",IF(R736&gt;0,"Better",IF(R736&lt;0,"Worse","No change"))))</f>
        <v>Excluded</v>
      </c>
      <c r="T736" s="12" t="s">
        <v>304</v>
      </c>
      <c r="U736" s="12" t="str">
        <f aca="false">C736&amp;"|"&amp;E736</f>
        <v>F9_07|CAN</v>
      </c>
    </row>
    <row r="737" customFormat="false" ht="15" hidden="false" customHeight="false" outlineLevel="0" collapsed="false">
      <c r="A737" s="12" t="n">
        <v>9</v>
      </c>
      <c r="B737" s="12" t="s">
        <v>43</v>
      </c>
      <c r="C737" s="12" t="s">
        <v>187</v>
      </c>
      <c r="D737" s="12" t="s">
        <v>188</v>
      </c>
      <c r="E737" s="12" t="s">
        <v>289</v>
      </c>
      <c r="F737" s="12" t="s">
        <v>36</v>
      </c>
      <c r="G737" s="12" t="n">
        <v>18</v>
      </c>
      <c r="H737" s="12" t="s">
        <v>302</v>
      </c>
      <c r="I737" s="12"/>
      <c r="J737" s="12" t="n">
        <v>3</v>
      </c>
      <c r="K737" s="12" t="s">
        <v>302</v>
      </c>
      <c r="L737" s="28" t="n">
        <v>0</v>
      </c>
      <c r="M737" s="12" t="str">
        <f aca="false">IF(L737=1,COUNTIFS($C$2:$C$1090,C737,$L$2:$L$1090,1),"")</f>
        <v/>
      </c>
      <c r="N737" s="12" t="str">
        <f aca="false">IF(L737=1,1+COUNTIFS($C$2:$C$1090,C737,$L$2:$L$1090,1,$G$2:$G$1090,"&gt;"&amp;G737),"")</f>
        <v/>
      </c>
      <c r="O737" s="12" t="str">
        <f aca="false">IF(L737=1,1+COUNTIFS($C$2:$C$1090,C737,$L$2:$L$1090,1,$H$2:$H$1090,"&gt;"&amp;H737),"")</f>
        <v/>
      </c>
      <c r="P737" s="12" t="str">
        <f aca="false">IF(L737=1,N737-O737,"")</f>
        <v/>
      </c>
      <c r="Q737" s="12" t="n">
        <f aca="false">INDEX(Directions!$D$2:$D$100,MATCH(C737,Directions!$A$2:$A$100,0))</f>
        <v>0</v>
      </c>
      <c r="R737" s="12" t="str">
        <f aca="false">IF(L737=1,P737*Q737,"")</f>
        <v/>
      </c>
      <c r="S737" s="12" t="str">
        <f aca="false">IF(L737&lt;&gt;1,"Excluded",IF(Q737=0,"No direction",IF(R737&gt;0,"Better",IF(R737&lt;0,"Worse","No change"))))</f>
        <v>Excluded</v>
      </c>
      <c r="T737" s="12" t="s">
        <v>303</v>
      </c>
      <c r="U737" s="12" t="str">
        <f aca="false">C737&amp;"|"&amp;E737</f>
        <v>F9_07|JPN</v>
      </c>
    </row>
    <row r="738" customFormat="false" ht="15" hidden="false" customHeight="false" outlineLevel="0" collapsed="false">
      <c r="A738" s="12" t="n">
        <v>9</v>
      </c>
      <c r="B738" s="12" t="s">
        <v>43</v>
      </c>
      <c r="C738" s="12" t="s">
        <v>187</v>
      </c>
      <c r="D738" s="12" t="s">
        <v>188</v>
      </c>
      <c r="E738" s="12" t="s">
        <v>290</v>
      </c>
      <c r="F738" s="12" t="s">
        <v>37</v>
      </c>
      <c r="G738" s="12" t="s">
        <v>302</v>
      </c>
      <c r="H738" s="12" t="s">
        <v>302</v>
      </c>
      <c r="I738" s="12"/>
      <c r="J738" s="12" t="s">
        <v>302</v>
      </c>
      <c r="K738" s="12" t="s">
        <v>302</v>
      </c>
      <c r="L738" s="28" t="n">
        <v>0</v>
      </c>
      <c r="M738" s="12" t="str">
        <f aca="false">IF(L738=1,COUNTIFS($C$2:$C$1090,C738,$L$2:$L$1090,1),"")</f>
        <v/>
      </c>
      <c r="N738" s="12" t="str">
        <f aca="false">IF(L738=1,1+COUNTIFS($C$2:$C$1090,C738,$L$2:$L$1090,1,$G$2:$G$1090,"&gt;"&amp;G738),"")</f>
        <v/>
      </c>
      <c r="O738" s="12" t="str">
        <f aca="false">IF(L738=1,1+COUNTIFS($C$2:$C$1090,C738,$L$2:$L$1090,1,$H$2:$H$1090,"&gt;"&amp;H738),"")</f>
        <v/>
      </c>
      <c r="P738" s="12" t="str">
        <f aca="false">IF(L738=1,N738-O738,"")</f>
        <v/>
      </c>
      <c r="Q738" s="12" t="n">
        <f aca="false">INDEX(Directions!$D$2:$D$100,MATCH(C738,Directions!$A$2:$A$100,0))</f>
        <v>0</v>
      </c>
      <c r="R738" s="12" t="str">
        <f aca="false">IF(L738=1,P738*Q738,"")</f>
        <v/>
      </c>
      <c r="S738" s="12" t="str">
        <f aca="false">IF(L738&lt;&gt;1,"Excluded",IF(Q738=0,"No direction",IF(R738&gt;0,"Better",IF(R738&lt;0,"Worse","No change"))))</f>
        <v>Excluded</v>
      </c>
      <c r="T738" s="12" t="s">
        <v>304</v>
      </c>
      <c r="U738" s="12" t="str">
        <f aca="false">C738&amp;"|"&amp;E738</f>
        <v>F9_07|AUS</v>
      </c>
    </row>
    <row r="739" customFormat="false" ht="15" hidden="false" customHeight="false" outlineLevel="0" collapsed="false">
      <c r="A739" s="12" t="n">
        <v>9</v>
      </c>
      <c r="B739" s="12" t="s">
        <v>43</v>
      </c>
      <c r="C739" s="12" t="s">
        <v>189</v>
      </c>
      <c r="D739" s="12" t="s">
        <v>190</v>
      </c>
      <c r="E739" s="12" t="s">
        <v>281</v>
      </c>
      <c r="F739" s="12" t="s">
        <v>27</v>
      </c>
      <c r="G739" s="12" t="n">
        <v>34</v>
      </c>
      <c r="H739" s="12" t="s">
        <v>302</v>
      </c>
      <c r="I739" s="12"/>
      <c r="J739" s="12" t="n">
        <v>11</v>
      </c>
      <c r="K739" s="12" t="s">
        <v>302</v>
      </c>
      <c r="L739" s="28" t="n">
        <v>0</v>
      </c>
      <c r="M739" s="12" t="str">
        <f aca="false">IF(L739=1,COUNTIFS($C$2:$C$1090,C739,$L$2:$L$1090,1),"")</f>
        <v/>
      </c>
      <c r="N739" s="12" t="str">
        <f aca="false">IF(L739=1,1+COUNTIFS($C$2:$C$1090,C739,$L$2:$L$1090,1,$G$2:$G$1090,"&gt;"&amp;G739),"")</f>
        <v/>
      </c>
      <c r="O739" s="12" t="str">
        <f aca="false">IF(L739=1,1+COUNTIFS($C$2:$C$1090,C739,$L$2:$L$1090,1,$H$2:$H$1090,"&gt;"&amp;H739),"")</f>
        <v/>
      </c>
      <c r="P739" s="12" t="str">
        <f aca="false">IF(L739=1,N739-O739,"")</f>
        <v/>
      </c>
      <c r="Q739" s="12" t="n">
        <f aca="false">INDEX(Directions!$D$2:$D$100,MATCH(C739,Directions!$A$2:$A$100,0))</f>
        <v>0</v>
      </c>
      <c r="R739" s="12" t="str">
        <f aca="false">IF(L739=1,P739*Q739,"")</f>
        <v/>
      </c>
      <c r="S739" s="12" t="str">
        <f aca="false">IF(L739&lt;&gt;1,"Excluded",IF(Q739=0,"No direction",IF(R739&gt;0,"Better",IF(R739&lt;0,"Worse","No change"))))</f>
        <v>Excluded</v>
      </c>
      <c r="T739" s="12" t="s">
        <v>303</v>
      </c>
      <c r="U739" s="12" t="str">
        <f aca="false">C739&amp;"|"&amp;E739</f>
        <v>F9_08|USA</v>
      </c>
    </row>
    <row r="740" customFormat="false" ht="15" hidden="false" customHeight="false" outlineLevel="0" collapsed="false">
      <c r="A740" s="12" t="n">
        <v>9</v>
      </c>
      <c r="B740" s="12" t="s">
        <v>43</v>
      </c>
      <c r="C740" s="12" t="s">
        <v>189</v>
      </c>
      <c r="D740" s="12" t="s">
        <v>190</v>
      </c>
      <c r="E740" s="12" t="s">
        <v>283</v>
      </c>
      <c r="F740" s="12" t="s">
        <v>28</v>
      </c>
      <c r="G740" s="12" t="n">
        <v>66</v>
      </c>
      <c r="H740" s="12" t="n">
        <v>70.3</v>
      </c>
      <c r="I740" s="12" t="s">
        <v>293</v>
      </c>
      <c r="J740" s="12" t="n">
        <v>4</v>
      </c>
      <c r="K740" s="12" t="n">
        <v>5</v>
      </c>
      <c r="L740" s="28" t="n">
        <v>1</v>
      </c>
      <c r="M740" s="12" t="n">
        <f aca="false">IF(L740=1,COUNTIFS($C$2:$C$1090,C740,$L$2:$L$1090,1),"")</f>
        <v>10</v>
      </c>
      <c r="N740" s="12" t="n">
        <f aca="false">IF(L740=1,1+COUNTIFS($C$2:$C$1090,C740,$L$2:$L$1090,1,$G$2:$G$1090,"&gt;"&amp;G740),"")</f>
        <v>4</v>
      </c>
      <c r="O740" s="12" t="n">
        <f aca="false">IF(L740=1,1+COUNTIFS($C$2:$C$1090,C740,$L$2:$L$1090,1,$H$2:$H$1090,"&gt;"&amp;H740),"")</f>
        <v>5</v>
      </c>
      <c r="P740" s="12" t="n">
        <f aca="false">IF(L740=1,N740-O740,"")</f>
        <v>-1</v>
      </c>
      <c r="Q740" s="12" t="n">
        <f aca="false">INDEX(Directions!$D$2:$D$100,MATCH(C740,Directions!$A$2:$A$100,0))</f>
        <v>0</v>
      </c>
      <c r="R740" s="12" t="n">
        <f aca="false">IF(L740=1,P740*Q740,"")</f>
        <v>-0</v>
      </c>
      <c r="S740" s="12" t="str">
        <f aca="false">IF(L740&lt;&gt;1,"Excluded",IF(Q740=0,"No direction",IF(R740&gt;0,"Better",IF(R740&lt;0,"Worse","No change"))))</f>
        <v>No direction</v>
      </c>
      <c r="T740" s="12"/>
      <c r="U740" s="12" t="str">
        <f aca="false">C740&amp;"|"&amp;E740</f>
        <v>F9_08|GBR</v>
      </c>
    </row>
    <row r="741" customFormat="false" ht="15" hidden="false" customHeight="false" outlineLevel="0" collapsed="false">
      <c r="A741" s="12" t="n">
        <v>9</v>
      </c>
      <c r="B741" s="12" t="s">
        <v>43</v>
      </c>
      <c r="C741" s="12" t="s">
        <v>189</v>
      </c>
      <c r="D741" s="12" t="s">
        <v>190</v>
      </c>
      <c r="E741" s="12" t="s">
        <v>284</v>
      </c>
      <c r="F741" s="12" t="s">
        <v>29</v>
      </c>
      <c r="G741" s="12" t="n">
        <v>75</v>
      </c>
      <c r="H741" s="12" t="n">
        <v>83.2</v>
      </c>
      <c r="I741" s="12" t="s">
        <v>293</v>
      </c>
      <c r="J741" s="12" t="n">
        <v>2</v>
      </c>
      <c r="K741" s="12" t="n">
        <v>1</v>
      </c>
      <c r="L741" s="28" t="n">
        <v>1</v>
      </c>
      <c r="M741" s="12" t="n">
        <f aca="false">IF(L741=1,COUNTIFS($C$2:$C$1090,C741,$L$2:$L$1090,1),"")</f>
        <v>10</v>
      </c>
      <c r="N741" s="12" t="n">
        <f aca="false">IF(L741=1,1+COUNTIFS($C$2:$C$1090,C741,$L$2:$L$1090,1,$G$2:$G$1090,"&gt;"&amp;G741),"")</f>
        <v>2</v>
      </c>
      <c r="O741" s="12" t="n">
        <f aca="false">IF(L741=1,1+COUNTIFS($C$2:$C$1090,C741,$L$2:$L$1090,1,$H$2:$H$1090,"&gt;"&amp;H741),"")</f>
        <v>1</v>
      </c>
      <c r="P741" s="12" t="n">
        <f aca="false">IF(L741=1,N741-O741,"")</f>
        <v>1</v>
      </c>
      <c r="Q741" s="12" t="n">
        <f aca="false">INDEX(Directions!$D$2:$D$100,MATCH(C741,Directions!$A$2:$A$100,0))</f>
        <v>0</v>
      </c>
      <c r="R741" s="12" t="n">
        <f aca="false">IF(L741=1,P741*Q741,"")</f>
        <v>0</v>
      </c>
      <c r="S741" s="12" t="str">
        <f aca="false">IF(L741&lt;&gt;1,"Excluded",IF(Q741=0,"No direction",IF(R741&gt;0,"Better",IF(R741&lt;0,"Worse","No change"))))</f>
        <v>No direction</v>
      </c>
      <c r="T741" s="12"/>
      <c r="U741" s="12" t="str">
        <f aca="false">C741&amp;"|"&amp;E741</f>
        <v>F9_08|DEU</v>
      </c>
    </row>
    <row r="742" customFormat="false" ht="15" hidden="false" customHeight="false" outlineLevel="0" collapsed="false">
      <c r="A742" s="12" t="n">
        <v>9</v>
      </c>
      <c r="B742" s="12" t="s">
        <v>43</v>
      </c>
      <c r="C742" s="12" t="s">
        <v>189</v>
      </c>
      <c r="D742" s="12" t="s">
        <v>190</v>
      </c>
      <c r="E742" s="12" t="s">
        <v>285</v>
      </c>
      <c r="F742" s="12" t="s">
        <v>30</v>
      </c>
      <c r="G742" s="12" t="n">
        <v>52</v>
      </c>
      <c r="H742" s="12" t="n">
        <v>56.5</v>
      </c>
      <c r="I742" s="12" t="s">
        <v>293</v>
      </c>
      <c r="J742" s="12" t="n">
        <v>6</v>
      </c>
      <c r="K742" s="12" t="n">
        <v>7</v>
      </c>
      <c r="L742" s="28" t="n">
        <v>1</v>
      </c>
      <c r="M742" s="12" t="n">
        <f aca="false">IF(L742=1,COUNTIFS($C$2:$C$1090,C742,$L$2:$L$1090,1),"")</f>
        <v>10</v>
      </c>
      <c r="N742" s="12" t="n">
        <f aca="false">IF(L742=1,1+COUNTIFS($C$2:$C$1090,C742,$L$2:$L$1090,1,$G$2:$G$1090,"&gt;"&amp;G742),"")</f>
        <v>6</v>
      </c>
      <c r="O742" s="12" t="n">
        <f aca="false">IF(L742=1,1+COUNTIFS($C$2:$C$1090,C742,$L$2:$L$1090,1,$H$2:$H$1090,"&gt;"&amp;H742),"")</f>
        <v>7</v>
      </c>
      <c r="P742" s="12" t="n">
        <f aca="false">IF(L742=1,N742-O742,"")</f>
        <v>-1</v>
      </c>
      <c r="Q742" s="12" t="n">
        <f aca="false">INDEX(Directions!$D$2:$D$100,MATCH(C742,Directions!$A$2:$A$100,0))</f>
        <v>0</v>
      </c>
      <c r="R742" s="12" t="n">
        <f aca="false">IF(L742=1,P742*Q742,"")</f>
        <v>-0</v>
      </c>
      <c r="S742" s="12" t="str">
        <f aca="false">IF(L742&lt;&gt;1,"Excluded",IF(Q742=0,"No direction",IF(R742&gt;0,"Better",IF(R742&lt;0,"Worse","No change"))))</f>
        <v>No direction</v>
      </c>
      <c r="T742" s="12"/>
      <c r="U742" s="12" t="str">
        <f aca="false">C742&amp;"|"&amp;E742</f>
        <v>F9_08|SWE</v>
      </c>
    </row>
    <row r="743" customFormat="false" ht="15" hidden="false" customHeight="false" outlineLevel="0" collapsed="false">
      <c r="A743" s="12" t="n">
        <v>9</v>
      </c>
      <c r="B743" s="12" t="s">
        <v>43</v>
      </c>
      <c r="C743" s="12" t="s">
        <v>189</v>
      </c>
      <c r="D743" s="12" t="s">
        <v>190</v>
      </c>
      <c r="E743" s="12" t="s">
        <v>286</v>
      </c>
      <c r="F743" s="12" t="s">
        <v>31</v>
      </c>
      <c r="G743" s="12" t="n">
        <v>80</v>
      </c>
      <c r="H743" s="12" t="n">
        <v>81.8</v>
      </c>
      <c r="I743" s="12" t="s">
        <v>293</v>
      </c>
      <c r="J743" s="12" t="n">
        <v>1</v>
      </c>
      <c r="K743" s="12" t="n">
        <v>2</v>
      </c>
      <c r="L743" s="28" t="n">
        <v>1</v>
      </c>
      <c r="M743" s="12" t="n">
        <f aca="false">IF(L743=1,COUNTIFS($C$2:$C$1090,C743,$L$2:$L$1090,1),"")</f>
        <v>10</v>
      </c>
      <c r="N743" s="12" t="n">
        <f aca="false">IF(L743=1,1+COUNTIFS($C$2:$C$1090,C743,$L$2:$L$1090,1,$G$2:$G$1090,"&gt;"&amp;G743),"")</f>
        <v>1</v>
      </c>
      <c r="O743" s="12" t="n">
        <f aca="false">IF(L743=1,1+COUNTIFS($C$2:$C$1090,C743,$L$2:$L$1090,1,$H$2:$H$1090,"&gt;"&amp;H743),"")</f>
        <v>2</v>
      </c>
      <c r="P743" s="12" t="n">
        <f aca="false">IF(L743=1,N743-O743,"")</f>
        <v>-1</v>
      </c>
      <c r="Q743" s="12" t="n">
        <f aca="false">INDEX(Directions!$D$2:$D$100,MATCH(C743,Directions!$A$2:$A$100,0))</f>
        <v>0</v>
      </c>
      <c r="R743" s="12" t="n">
        <f aca="false">IF(L743=1,P743*Q743,"")</f>
        <v>-0</v>
      </c>
      <c r="S743" s="12" t="str">
        <f aca="false">IF(L743&lt;&gt;1,"Excluded",IF(Q743=0,"No direction",IF(R743&gt;0,"Better",IF(R743&lt;0,"Worse","No change"))))</f>
        <v>No direction</v>
      </c>
      <c r="T743" s="12"/>
      <c r="U743" s="12" t="str">
        <f aca="false">C743&amp;"|"&amp;E743</f>
        <v>F9_08|FRA</v>
      </c>
    </row>
    <row r="744" customFormat="false" ht="15" hidden="false" customHeight="false" outlineLevel="0" collapsed="false">
      <c r="A744" s="12" t="n">
        <v>9</v>
      </c>
      <c r="B744" s="12" t="s">
        <v>43</v>
      </c>
      <c r="C744" s="12" t="s">
        <v>189</v>
      </c>
      <c r="D744" s="12" t="s">
        <v>190</v>
      </c>
      <c r="E744" s="12" t="s">
        <v>32</v>
      </c>
      <c r="F744" s="12" t="s">
        <v>32</v>
      </c>
      <c r="G744" s="12" t="n">
        <v>65</v>
      </c>
      <c r="H744" s="12" t="n">
        <v>68.5</v>
      </c>
      <c r="I744" s="12" t="s">
        <v>282</v>
      </c>
      <c r="J744" s="12" t="n">
        <v>5</v>
      </c>
      <c r="K744" s="12" t="n">
        <v>6</v>
      </c>
      <c r="L744" s="28" t="n">
        <v>1</v>
      </c>
      <c r="M744" s="12" t="n">
        <f aca="false">IF(L744=1,COUNTIFS($C$2:$C$1090,C744,$L$2:$L$1090,1),"")</f>
        <v>10</v>
      </c>
      <c r="N744" s="12" t="n">
        <f aca="false">IF(L744=1,1+COUNTIFS($C$2:$C$1090,C744,$L$2:$L$1090,1,$G$2:$G$1090,"&gt;"&amp;G744),"")</f>
        <v>5</v>
      </c>
      <c r="O744" s="12" t="n">
        <f aca="false">IF(L744=1,1+COUNTIFS($C$2:$C$1090,C744,$L$2:$L$1090,1,$H$2:$H$1090,"&gt;"&amp;H744),"")</f>
        <v>6</v>
      </c>
      <c r="P744" s="12" t="n">
        <f aca="false">IF(L744=1,N744-O744,"")</f>
        <v>-1</v>
      </c>
      <c r="Q744" s="12" t="n">
        <f aca="false">INDEX(Directions!$D$2:$D$100,MATCH(C744,Directions!$A$2:$A$100,0))</f>
        <v>0</v>
      </c>
      <c r="R744" s="12" t="n">
        <f aca="false">IF(L744=1,P744*Q744,"")</f>
        <v>-0</v>
      </c>
      <c r="S744" s="12" t="str">
        <f aca="false">IF(L744&lt;&gt;1,"Excluded",IF(Q744=0,"No direction",IF(R744&gt;0,"Better",IF(R744&lt;0,"Worse","No change"))))</f>
        <v>No direction</v>
      </c>
      <c r="T744" s="12"/>
      <c r="U744" s="12" t="str">
        <f aca="false">C744&amp;"|"&amp;E744</f>
        <v>F9_08|NLD</v>
      </c>
    </row>
    <row r="745" customFormat="false" ht="15" hidden="false" customHeight="false" outlineLevel="0" collapsed="false">
      <c r="A745" s="12" t="n">
        <v>9</v>
      </c>
      <c r="B745" s="12" t="s">
        <v>43</v>
      </c>
      <c r="C745" s="12" t="s">
        <v>189</v>
      </c>
      <c r="D745" s="12" t="s">
        <v>190</v>
      </c>
      <c r="E745" s="12" t="s">
        <v>33</v>
      </c>
      <c r="F745" s="12" t="s">
        <v>33</v>
      </c>
      <c r="G745" s="12" t="n">
        <v>43</v>
      </c>
      <c r="H745" s="12" t="n">
        <v>72.5</v>
      </c>
      <c r="I745" s="12" t="s">
        <v>293</v>
      </c>
      <c r="J745" s="12" t="n">
        <v>8</v>
      </c>
      <c r="K745" s="12" t="n">
        <v>3</v>
      </c>
      <c r="L745" s="28" t="n">
        <v>1</v>
      </c>
      <c r="M745" s="12" t="n">
        <f aca="false">IF(L745=1,COUNTIFS($C$2:$C$1090,C745,$L$2:$L$1090,1),"")</f>
        <v>10</v>
      </c>
      <c r="N745" s="12" t="n">
        <f aca="false">IF(L745=1,1+COUNTIFS($C$2:$C$1090,C745,$L$2:$L$1090,1,$G$2:$G$1090,"&gt;"&amp;G745),"")</f>
        <v>8</v>
      </c>
      <c r="O745" s="12" t="n">
        <f aca="false">IF(L745=1,1+COUNTIFS($C$2:$C$1090,C745,$L$2:$L$1090,1,$H$2:$H$1090,"&gt;"&amp;H745),"")</f>
        <v>3</v>
      </c>
      <c r="P745" s="12" t="n">
        <f aca="false">IF(L745=1,N745-O745,"")</f>
        <v>5</v>
      </c>
      <c r="Q745" s="12" t="n">
        <f aca="false">INDEX(Directions!$D$2:$D$100,MATCH(C745,Directions!$A$2:$A$100,0))</f>
        <v>0</v>
      </c>
      <c r="R745" s="12" t="n">
        <f aca="false">IF(L745=1,P745*Q745,"")</f>
        <v>0</v>
      </c>
      <c r="S745" s="12" t="str">
        <f aca="false">IF(L745&lt;&gt;1,"Excluded",IF(Q745=0,"No direction",IF(R745&gt;0,"Better",IF(R745&lt;0,"Worse","No change"))))</f>
        <v>No direction</v>
      </c>
      <c r="T745" s="12"/>
      <c r="U745" s="12" t="str">
        <f aca="false">C745&amp;"|"&amp;E745</f>
        <v>F9_08|CHE</v>
      </c>
    </row>
    <row r="746" customFormat="false" ht="15" hidden="false" customHeight="false" outlineLevel="0" collapsed="false">
      <c r="A746" s="12" t="n">
        <v>9</v>
      </c>
      <c r="B746" s="12" t="s">
        <v>43</v>
      </c>
      <c r="C746" s="12" t="s">
        <v>189</v>
      </c>
      <c r="D746" s="12" t="s">
        <v>190</v>
      </c>
      <c r="E746" s="12" t="s">
        <v>287</v>
      </c>
      <c r="F746" s="12" t="s">
        <v>34</v>
      </c>
      <c r="G746" s="12" t="n">
        <v>43</v>
      </c>
      <c r="H746" s="12" t="n">
        <v>39</v>
      </c>
      <c r="I746" s="12" t="s">
        <v>282</v>
      </c>
      <c r="J746" s="12" t="n">
        <v>9</v>
      </c>
      <c r="K746" s="12" t="n">
        <v>9</v>
      </c>
      <c r="L746" s="28" t="n">
        <v>1</v>
      </c>
      <c r="M746" s="12" t="n">
        <f aca="false">IF(L746=1,COUNTIFS($C$2:$C$1090,C746,$L$2:$L$1090,1),"")</f>
        <v>10</v>
      </c>
      <c r="N746" s="12" t="n">
        <f aca="false">IF(L746=1,1+COUNTIFS($C$2:$C$1090,C746,$L$2:$L$1090,1,$G$2:$G$1090,"&gt;"&amp;G746),"")</f>
        <v>8</v>
      </c>
      <c r="O746" s="12" t="n">
        <f aca="false">IF(L746=1,1+COUNTIFS($C$2:$C$1090,C746,$L$2:$L$1090,1,$H$2:$H$1090,"&gt;"&amp;H746),"")</f>
        <v>9</v>
      </c>
      <c r="P746" s="12" t="n">
        <f aca="false">IF(L746=1,N746-O746,"")</f>
        <v>-1</v>
      </c>
      <c r="Q746" s="12" t="n">
        <f aca="false">INDEX(Directions!$D$2:$D$100,MATCH(C746,Directions!$A$2:$A$100,0))</f>
        <v>0</v>
      </c>
      <c r="R746" s="12" t="n">
        <f aca="false">IF(L746=1,P746*Q746,"")</f>
        <v>-0</v>
      </c>
      <c r="S746" s="12" t="str">
        <f aca="false">IF(L746&lt;&gt;1,"Excluded",IF(Q746=0,"No direction",IF(R746&gt;0,"Better",IF(R746&lt;0,"Worse","No change"))))</f>
        <v>No direction</v>
      </c>
      <c r="T746" s="12"/>
      <c r="U746" s="12" t="str">
        <f aca="false">C746&amp;"|"&amp;E746</f>
        <v>F9_08|DNK</v>
      </c>
    </row>
    <row r="747" customFormat="false" ht="15" hidden="false" customHeight="false" outlineLevel="0" collapsed="false">
      <c r="A747" s="12" t="n">
        <v>9</v>
      </c>
      <c r="B747" s="12" t="s">
        <v>43</v>
      </c>
      <c r="C747" s="12" t="s">
        <v>189</v>
      </c>
      <c r="D747" s="12" t="s">
        <v>190</v>
      </c>
      <c r="E747" s="12" t="s">
        <v>288</v>
      </c>
      <c r="F747" s="12" t="s">
        <v>35</v>
      </c>
      <c r="G747" s="12" t="n">
        <v>36</v>
      </c>
      <c r="H747" s="12" t="n">
        <v>35.6</v>
      </c>
      <c r="I747" s="12" t="s">
        <v>282</v>
      </c>
      <c r="J747" s="12" t="n">
        <v>10</v>
      </c>
      <c r="K747" s="12" t="n">
        <v>10</v>
      </c>
      <c r="L747" s="28" t="n">
        <v>1</v>
      </c>
      <c r="M747" s="12" t="n">
        <f aca="false">IF(L747=1,COUNTIFS($C$2:$C$1090,C747,$L$2:$L$1090,1),"")</f>
        <v>10</v>
      </c>
      <c r="N747" s="12" t="n">
        <f aca="false">IF(L747=1,1+COUNTIFS($C$2:$C$1090,C747,$L$2:$L$1090,1,$G$2:$G$1090,"&gt;"&amp;G747),"")</f>
        <v>10</v>
      </c>
      <c r="O747" s="12" t="n">
        <f aca="false">IF(L747=1,1+COUNTIFS($C$2:$C$1090,C747,$L$2:$L$1090,1,$H$2:$H$1090,"&gt;"&amp;H747),"")</f>
        <v>10</v>
      </c>
      <c r="P747" s="12" t="n">
        <f aca="false">IF(L747=1,N747-O747,"")</f>
        <v>0</v>
      </c>
      <c r="Q747" s="12" t="n">
        <f aca="false">INDEX(Directions!$D$2:$D$100,MATCH(C747,Directions!$A$2:$A$100,0))</f>
        <v>0</v>
      </c>
      <c r="R747" s="12" t="n">
        <f aca="false">IF(L747=1,P747*Q747,"")</f>
        <v>0</v>
      </c>
      <c r="S747" s="12" t="str">
        <f aca="false">IF(L747&lt;&gt;1,"Excluded",IF(Q747=0,"No direction",IF(R747&gt;0,"Better",IF(R747&lt;0,"Worse","No change"))))</f>
        <v>No direction</v>
      </c>
      <c r="T747" s="12"/>
      <c r="U747" s="12" t="str">
        <f aca="false">C747&amp;"|"&amp;E747</f>
        <v>F9_08|CAN</v>
      </c>
    </row>
    <row r="748" customFormat="false" ht="15" hidden="false" customHeight="false" outlineLevel="0" collapsed="false">
      <c r="A748" s="12" t="n">
        <v>9</v>
      </c>
      <c r="B748" s="12" t="s">
        <v>43</v>
      </c>
      <c r="C748" s="12" t="s">
        <v>189</v>
      </c>
      <c r="D748" s="12" t="s">
        <v>190</v>
      </c>
      <c r="E748" s="12" t="s">
        <v>289</v>
      </c>
      <c r="F748" s="12" t="s">
        <v>36</v>
      </c>
      <c r="G748" s="12" t="n">
        <v>71</v>
      </c>
      <c r="H748" s="12" t="n">
        <v>71.1</v>
      </c>
      <c r="I748" s="12" t="s">
        <v>291</v>
      </c>
      <c r="J748" s="12" t="n">
        <v>3</v>
      </c>
      <c r="K748" s="12" t="n">
        <v>4</v>
      </c>
      <c r="L748" s="28" t="n">
        <v>1</v>
      </c>
      <c r="M748" s="12" t="n">
        <f aca="false">IF(L748=1,COUNTIFS($C$2:$C$1090,C748,$L$2:$L$1090,1),"")</f>
        <v>10</v>
      </c>
      <c r="N748" s="12" t="n">
        <f aca="false">IF(L748=1,1+COUNTIFS($C$2:$C$1090,C748,$L$2:$L$1090,1,$G$2:$G$1090,"&gt;"&amp;G748),"")</f>
        <v>3</v>
      </c>
      <c r="O748" s="12" t="n">
        <f aca="false">IF(L748=1,1+COUNTIFS($C$2:$C$1090,C748,$L$2:$L$1090,1,$H$2:$H$1090,"&gt;"&amp;H748),"")</f>
        <v>4</v>
      </c>
      <c r="P748" s="12" t="n">
        <f aca="false">IF(L748=1,N748-O748,"")</f>
        <v>-1</v>
      </c>
      <c r="Q748" s="12" t="n">
        <f aca="false">INDEX(Directions!$D$2:$D$100,MATCH(C748,Directions!$A$2:$A$100,0))</f>
        <v>0</v>
      </c>
      <c r="R748" s="12" t="n">
        <f aca="false">IF(L748=1,P748*Q748,"")</f>
        <v>-0</v>
      </c>
      <c r="S748" s="12" t="str">
        <f aca="false">IF(L748&lt;&gt;1,"Excluded",IF(Q748=0,"No direction",IF(R748&gt;0,"Better",IF(R748&lt;0,"Worse","No change"))))</f>
        <v>No direction</v>
      </c>
      <c r="T748" s="12"/>
      <c r="U748" s="12" t="str">
        <f aca="false">C748&amp;"|"&amp;E748</f>
        <v>F9_08|JPN</v>
      </c>
    </row>
    <row r="749" customFormat="false" ht="15" hidden="false" customHeight="false" outlineLevel="0" collapsed="false">
      <c r="A749" s="12" t="n">
        <v>9</v>
      </c>
      <c r="B749" s="12" t="s">
        <v>43</v>
      </c>
      <c r="C749" s="12" t="s">
        <v>189</v>
      </c>
      <c r="D749" s="12" t="s">
        <v>190</v>
      </c>
      <c r="E749" s="12" t="s">
        <v>290</v>
      </c>
      <c r="F749" s="12" t="s">
        <v>37</v>
      </c>
      <c r="G749" s="12" t="n">
        <v>49</v>
      </c>
      <c r="H749" s="12" t="n">
        <v>49.6</v>
      </c>
      <c r="I749" s="12" t="s">
        <v>291</v>
      </c>
      <c r="J749" s="12" t="n">
        <v>7</v>
      </c>
      <c r="K749" s="12" t="n">
        <v>8</v>
      </c>
      <c r="L749" s="28" t="n">
        <v>1</v>
      </c>
      <c r="M749" s="12" t="n">
        <f aca="false">IF(L749=1,COUNTIFS($C$2:$C$1090,C749,$L$2:$L$1090,1),"")</f>
        <v>10</v>
      </c>
      <c r="N749" s="12" t="n">
        <f aca="false">IF(L749=1,1+COUNTIFS($C$2:$C$1090,C749,$L$2:$L$1090,1,$G$2:$G$1090,"&gt;"&amp;G749),"")</f>
        <v>7</v>
      </c>
      <c r="O749" s="12" t="n">
        <f aca="false">IF(L749=1,1+COUNTIFS($C$2:$C$1090,C749,$L$2:$L$1090,1,$H$2:$H$1090,"&gt;"&amp;H749),"")</f>
        <v>8</v>
      </c>
      <c r="P749" s="12" t="n">
        <f aca="false">IF(L749=1,N749-O749,"")</f>
        <v>-1</v>
      </c>
      <c r="Q749" s="12" t="n">
        <f aca="false">INDEX(Directions!$D$2:$D$100,MATCH(C749,Directions!$A$2:$A$100,0))</f>
        <v>0</v>
      </c>
      <c r="R749" s="12" t="n">
        <f aca="false">IF(L749=1,P749*Q749,"")</f>
        <v>-0</v>
      </c>
      <c r="S749" s="12" t="str">
        <f aca="false">IF(L749&lt;&gt;1,"Excluded",IF(Q749=0,"No direction",IF(R749&gt;0,"Better",IF(R749&lt;0,"Worse","No change"))))</f>
        <v>No direction</v>
      </c>
      <c r="T749" s="12"/>
      <c r="U749" s="12" t="str">
        <f aca="false">C749&amp;"|"&amp;E749</f>
        <v>F9_08|AUS</v>
      </c>
    </row>
    <row r="750" customFormat="false" ht="15" hidden="false" customHeight="false" outlineLevel="0" collapsed="false">
      <c r="A750" s="12" t="n">
        <v>9</v>
      </c>
      <c r="B750" s="12" t="s">
        <v>43</v>
      </c>
      <c r="C750" s="12" t="s">
        <v>191</v>
      </c>
      <c r="D750" s="12" t="s">
        <v>192</v>
      </c>
      <c r="E750" s="12" t="s">
        <v>281</v>
      </c>
      <c r="F750" s="12" t="s">
        <v>27</v>
      </c>
      <c r="G750" s="12" t="n">
        <v>36</v>
      </c>
      <c r="H750" s="12" t="s">
        <v>302</v>
      </c>
      <c r="I750" s="12"/>
      <c r="J750" s="12" t="n">
        <v>1</v>
      </c>
      <c r="K750" s="12" t="s">
        <v>302</v>
      </c>
      <c r="L750" s="28" t="n">
        <v>0</v>
      </c>
      <c r="M750" s="12" t="str">
        <f aca="false">IF(L750=1,COUNTIFS($C$2:$C$1090,C750,$L$2:$L$1090,1),"")</f>
        <v/>
      </c>
      <c r="N750" s="12" t="str">
        <f aca="false">IF(L750=1,1+COUNTIFS($C$2:$C$1090,C750,$L$2:$L$1090,1,$G$2:$G$1090,"&gt;"&amp;G750),"")</f>
        <v/>
      </c>
      <c r="O750" s="12" t="str">
        <f aca="false">IF(L750=1,1+COUNTIFS($C$2:$C$1090,C750,$L$2:$L$1090,1,$H$2:$H$1090,"&gt;"&amp;H750),"")</f>
        <v/>
      </c>
      <c r="P750" s="12" t="str">
        <f aca="false">IF(L750=1,N750-O750,"")</f>
        <v/>
      </c>
      <c r="Q750" s="12" t="n">
        <f aca="false">INDEX(Directions!$D$2:$D$100,MATCH(C750,Directions!$A$2:$A$100,0))</f>
        <v>0</v>
      </c>
      <c r="R750" s="12" t="str">
        <f aca="false">IF(L750=1,P750*Q750,"")</f>
        <v/>
      </c>
      <c r="S750" s="12" t="str">
        <f aca="false">IF(L750&lt;&gt;1,"Excluded",IF(Q750=0,"No direction",IF(R750&gt;0,"Better",IF(R750&lt;0,"Worse","No change"))))</f>
        <v>Excluded</v>
      </c>
      <c r="T750" s="12" t="s">
        <v>303</v>
      </c>
      <c r="U750" s="12" t="str">
        <f aca="false">C750&amp;"|"&amp;E750</f>
        <v>F9_09|USA</v>
      </c>
    </row>
    <row r="751" customFormat="false" ht="15" hidden="false" customHeight="false" outlineLevel="0" collapsed="false">
      <c r="A751" s="12" t="n">
        <v>9</v>
      </c>
      <c r="B751" s="12" t="s">
        <v>43</v>
      </c>
      <c r="C751" s="12" t="s">
        <v>191</v>
      </c>
      <c r="D751" s="12" t="s">
        <v>192</v>
      </c>
      <c r="E751" s="12" t="s">
        <v>283</v>
      </c>
      <c r="F751" s="12" t="s">
        <v>28</v>
      </c>
      <c r="G751" s="12" t="n">
        <v>0</v>
      </c>
      <c r="H751" s="12" t="n">
        <v>0</v>
      </c>
      <c r="I751" s="12" t="s">
        <v>293</v>
      </c>
      <c r="J751" s="12" t="n">
        <v>9</v>
      </c>
      <c r="K751" s="12" t="n">
        <v>9</v>
      </c>
      <c r="L751" s="28" t="n">
        <v>1</v>
      </c>
      <c r="M751" s="12" t="n">
        <f aca="false">IF(L751=1,COUNTIFS($C$2:$C$1090,C751,$L$2:$L$1090,1),"")</f>
        <v>10</v>
      </c>
      <c r="N751" s="12" t="n">
        <f aca="false">IF(L751=1,1+COUNTIFS($C$2:$C$1090,C751,$L$2:$L$1090,1,$G$2:$G$1090,"&gt;"&amp;G751),"")</f>
        <v>8</v>
      </c>
      <c r="O751" s="12" t="n">
        <f aca="false">IF(L751=1,1+COUNTIFS($C$2:$C$1090,C751,$L$2:$L$1090,1,$H$2:$H$1090,"&gt;"&amp;H751),"")</f>
        <v>9</v>
      </c>
      <c r="P751" s="12" t="n">
        <f aca="false">IF(L751=1,N751-O751,"")</f>
        <v>-1</v>
      </c>
      <c r="Q751" s="12" t="n">
        <f aca="false">INDEX(Directions!$D$2:$D$100,MATCH(C751,Directions!$A$2:$A$100,0))</f>
        <v>0</v>
      </c>
      <c r="R751" s="12" t="n">
        <f aca="false">IF(L751=1,P751*Q751,"")</f>
        <v>-0</v>
      </c>
      <c r="S751" s="12" t="str">
        <f aca="false">IF(L751&lt;&gt;1,"Excluded",IF(Q751=0,"No direction",IF(R751&gt;0,"Better",IF(R751&lt;0,"Worse","No change"))))</f>
        <v>No direction</v>
      </c>
      <c r="T751" s="12"/>
      <c r="U751" s="12" t="str">
        <f aca="false">C751&amp;"|"&amp;E751</f>
        <v>F9_09|GBR</v>
      </c>
    </row>
    <row r="752" customFormat="false" ht="15" hidden="false" customHeight="false" outlineLevel="0" collapsed="false">
      <c r="A752" s="12" t="n">
        <v>9</v>
      </c>
      <c r="B752" s="12" t="s">
        <v>43</v>
      </c>
      <c r="C752" s="12" t="s">
        <v>191</v>
      </c>
      <c r="D752" s="12" t="s">
        <v>192</v>
      </c>
      <c r="E752" s="12" t="s">
        <v>284</v>
      </c>
      <c r="F752" s="12" t="s">
        <v>29</v>
      </c>
      <c r="G752" s="12" t="n">
        <v>7</v>
      </c>
      <c r="H752" s="12" t="n">
        <v>0.1</v>
      </c>
      <c r="I752" s="12" t="s">
        <v>293</v>
      </c>
      <c r="J752" s="12" t="n">
        <v>5</v>
      </c>
      <c r="K752" s="12" t="n">
        <v>8</v>
      </c>
      <c r="L752" s="28" t="n">
        <v>1</v>
      </c>
      <c r="M752" s="12" t="n">
        <f aca="false">IF(L752=1,COUNTIFS($C$2:$C$1090,C752,$L$2:$L$1090,1),"")</f>
        <v>10</v>
      </c>
      <c r="N752" s="12" t="n">
        <f aca="false">IF(L752=1,1+COUNTIFS($C$2:$C$1090,C752,$L$2:$L$1090,1,$G$2:$G$1090,"&gt;"&amp;G752),"")</f>
        <v>4</v>
      </c>
      <c r="O752" s="12" t="n">
        <f aca="false">IF(L752=1,1+COUNTIFS($C$2:$C$1090,C752,$L$2:$L$1090,1,$H$2:$H$1090,"&gt;"&amp;H752),"")</f>
        <v>8</v>
      </c>
      <c r="P752" s="12" t="n">
        <f aca="false">IF(L752=1,N752-O752,"")</f>
        <v>-4</v>
      </c>
      <c r="Q752" s="12" t="n">
        <f aca="false">INDEX(Directions!$D$2:$D$100,MATCH(C752,Directions!$A$2:$A$100,0))</f>
        <v>0</v>
      </c>
      <c r="R752" s="12" t="n">
        <f aca="false">IF(L752=1,P752*Q752,"")</f>
        <v>-0</v>
      </c>
      <c r="S752" s="12" t="str">
        <f aca="false">IF(L752&lt;&gt;1,"Excluded",IF(Q752=0,"No direction",IF(R752&gt;0,"Better",IF(R752&lt;0,"Worse","No change"))))</f>
        <v>No direction</v>
      </c>
      <c r="T752" s="12"/>
      <c r="U752" s="12" t="str">
        <f aca="false">C752&amp;"|"&amp;E752</f>
        <v>F9_09|DEU</v>
      </c>
    </row>
    <row r="753" customFormat="false" ht="15" hidden="false" customHeight="false" outlineLevel="0" collapsed="false">
      <c r="A753" s="12" t="n">
        <v>9</v>
      </c>
      <c r="B753" s="12" t="s">
        <v>43</v>
      </c>
      <c r="C753" s="12" t="s">
        <v>191</v>
      </c>
      <c r="D753" s="12" t="s">
        <v>192</v>
      </c>
      <c r="E753" s="12" t="s">
        <v>285</v>
      </c>
      <c r="F753" s="12" t="s">
        <v>30</v>
      </c>
      <c r="G753" s="12" t="n">
        <v>0</v>
      </c>
      <c r="H753" s="12" t="n">
        <v>0</v>
      </c>
      <c r="I753" s="12" t="s">
        <v>293</v>
      </c>
      <c r="J753" s="12" t="n">
        <v>10</v>
      </c>
      <c r="K753" s="12" t="n">
        <v>10</v>
      </c>
      <c r="L753" s="28" t="n">
        <v>1</v>
      </c>
      <c r="M753" s="12" t="n">
        <f aca="false">IF(L753=1,COUNTIFS($C$2:$C$1090,C753,$L$2:$L$1090,1),"")</f>
        <v>10</v>
      </c>
      <c r="N753" s="12" t="n">
        <f aca="false">IF(L753=1,1+COUNTIFS($C$2:$C$1090,C753,$L$2:$L$1090,1,$G$2:$G$1090,"&gt;"&amp;G753),"")</f>
        <v>8</v>
      </c>
      <c r="O753" s="12" t="n">
        <f aca="false">IF(L753=1,1+COUNTIFS($C$2:$C$1090,C753,$L$2:$L$1090,1,$H$2:$H$1090,"&gt;"&amp;H753),"")</f>
        <v>9</v>
      </c>
      <c r="P753" s="12" t="n">
        <f aca="false">IF(L753=1,N753-O753,"")</f>
        <v>-1</v>
      </c>
      <c r="Q753" s="12" t="n">
        <f aca="false">INDEX(Directions!$D$2:$D$100,MATCH(C753,Directions!$A$2:$A$100,0))</f>
        <v>0</v>
      </c>
      <c r="R753" s="12" t="n">
        <f aca="false">IF(L753=1,P753*Q753,"")</f>
        <v>-0</v>
      </c>
      <c r="S753" s="12" t="str">
        <f aca="false">IF(L753&lt;&gt;1,"Excluded",IF(Q753=0,"No direction",IF(R753&gt;0,"Better",IF(R753&lt;0,"Worse","No change"))))</f>
        <v>No direction</v>
      </c>
      <c r="T753" s="12"/>
      <c r="U753" s="12" t="str">
        <f aca="false">C753&amp;"|"&amp;E753</f>
        <v>F9_09|SWE</v>
      </c>
    </row>
    <row r="754" customFormat="false" ht="15" hidden="false" customHeight="false" outlineLevel="0" collapsed="false">
      <c r="A754" s="12" t="n">
        <v>9</v>
      </c>
      <c r="B754" s="12" t="s">
        <v>43</v>
      </c>
      <c r="C754" s="12" t="s">
        <v>191</v>
      </c>
      <c r="D754" s="12" t="s">
        <v>192</v>
      </c>
      <c r="E754" s="12" t="s">
        <v>286</v>
      </c>
      <c r="F754" s="12" t="s">
        <v>31</v>
      </c>
      <c r="G754" s="12" t="n">
        <v>1</v>
      </c>
      <c r="H754" s="12" t="n">
        <v>5.6</v>
      </c>
      <c r="I754" s="12" t="s">
        <v>293</v>
      </c>
      <c r="J754" s="12" t="n">
        <v>7</v>
      </c>
      <c r="K754" s="12" t="n">
        <v>3</v>
      </c>
      <c r="L754" s="28" t="n">
        <v>1</v>
      </c>
      <c r="M754" s="12" t="n">
        <f aca="false">IF(L754=1,COUNTIFS($C$2:$C$1090,C754,$L$2:$L$1090,1),"")</f>
        <v>10</v>
      </c>
      <c r="N754" s="12" t="n">
        <f aca="false">IF(L754=1,1+COUNTIFS($C$2:$C$1090,C754,$L$2:$L$1090,1,$G$2:$G$1090,"&gt;"&amp;G754),"")</f>
        <v>6</v>
      </c>
      <c r="O754" s="12" t="n">
        <f aca="false">IF(L754=1,1+COUNTIFS($C$2:$C$1090,C754,$L$2:$L$1090,1,$H$2:$H$1090,"&gt;"&amp;H754),"")</f>
        <v>3</v>
      </c>
      <c r="P754" s="12" t="n">
        <f aca="false">IF(L754=1,N754-O754,"")</f>
        <v>3</v>
      </c>
      <c r="Q754" s="12" t="n">
        <f aca="false">INDEX(Directions!$D$2:$D$100,MATCH(C754,Directions!$A$2:$A$100,0))</f>
        <v>0</v>
      </c>
      <c r="R754" s="12" t="n">
        <f aca="false">IF(L754=1,P754*Q754,"")</f>
        <v>0</v>
      </c>
      <c r="S754" s="12" t="str">
        <f aca="false">IF(L754&lt;&gt;1,"Excluded",IF(Q754=0,"No direction",IF(R754&gt;0,"Better",IF(R754&lt;0,"Worse","No change"))))</f>
        <v>No direction</v>
      </c>
      <c r="T754" s="12"/>
      <c r="U754" s="12" t="str">
        <f aca="false">C754&amp;"|"&amp;E754</f>
        <v>F9_09|FRA</v>
      </c>
    </row>
    <row r="755" customFormat="false" ht="15" hidden="false" customHeight="false" outlineLevel="0" collapsed="false">
      <c r="A755" s="12" t="n">
        <v>9</v>
      </c>
      <c r="B755" s="12" t="s">
        <v>43</v>
      </c>
      <c r="C755" s="12" t="s">
        <v>191</v>
      </c>
      <c r="D755" s="12" t="s">
        <v>192</v>
      </c>
      <c r="E755" s="12" t="s">
        <v>32</v>
      </c>
      <c r="F755" s="12" t="s">
        <v>32</v>
      </c>
      <c r="G755" s="12" t="n">
        <v>2</v>
      </c>
      <c r="H755" s="12" t="n">
        <v>0.6</v>
      </c>
      <c r="I755" s="12" t="s">
        <v>282</v>
      </c>
      <c r="J755" s="12" t="n">
        <v>6</v>
      </c>
      <c r="K755" s="12" t="n">
        <v>6</v>
      </c>
      <c r="L755" s="28" t="n">
        <v>1</v>
      </c>
      <c r="M755" s="12" t="n">
        <f aca="false">IF(L755=1,COUNTIFS($C$2:$C$1090,C755,$L$2:$L$1090,1),"")</f>
        <v>10</v>
      </c>
      <c r="N755" s="12" t="n">
        <f aca="false">IF(L755=1,1+COUNTIFS($C$2:$C$1090,C755,$L$2:$L$1090,1,$G$2:$G$1090,"&gt;"&amp;G755),"")</f>
        <v>5</v>
      </c>
      <c r="O755" s="12" t="n">
        <f aca="false">IF(L755=1,1+COUNTIFS($C$2:$C$1090,C755,$L$2:$L$1090,1,$H$2:$H$1090,"&gt;"&amp;H755),"")</f>
        <v>6</v>
      </c>
      <c r="P755" s="12" t="n">
        <f aca="false">IF(L755=1,N755-O755,"")</f>
        <v>-1</v>
      </c>
      <c r="Q755" s="12" t="n">
        <f aca="false">INDEX(Directions!$D$2:$D$100,MATCH(C755,Directions!$A$2:$A$100,0))</f>
        <v>0</v>
      </c>
      <c r="R755" s="12" t="n">
        <f aca="false">IF(L755=1,P755*Q755,"")</f>
        <v>-0</v>
      </c>
      <c r="S755" s="12" t="str">
        <f aca="false">IF(L755&lt;&gt;1,"Excluded",IF(Q755=0,"No direction",IF(R755&gt;0,"Better",IF(R755&lt;0,"Worse","No change"))))</f>
        <v>No direction</v>
      </c>
      <c r="T755" s="12"/>
      <c r="U755" s="12" t="str">
        <f aca="false">C755&amp;"|"&amp;E755</f>
        <v>F9_09|NLD</v>
      </c>
    </row>
    <row r="756" customFormat="false" ht="15" hidden="false" customHeight="false" outlineLevel="0" collapsed="false">
      <c r="A756" s="12" t="n">
        <v>9</v>
      </c>
      <c r="B756" s="12" t="s">
        <v>43</v>
      </c>
      <c r="C756" s="12" t="s">
        <v>191</v>
      </c>
      <c r="D756" s="12" t="s">
        <v>192</v>
      </c>
      <c r="E756" s="12" t="s">
        <v>33</v>
      </c>
      <c r="F756" s="12" t="s">
        <v>33</v>
      </c>
      <c r="G756" s="12" t="n">
        <v>8</v>
      </c>
      <c r="H756" s="12" t="n">
        <v>4</v>
      </c>
      <c r="I756" s="12" t="s">
        <v>293</v>
      </c>
      <c r="J756" s="12" t="n">
        <v>3</v>
      </c>
      <c r="K756" s="12" t="n">
        <v>4</v>
      </c>
      <c r="L756" s="28" t="n">
        <v>1</v>
      </c>
      <c r="M756" s="12" t="n">
        <f aca="false">IF(L756=1,COUNTIFS($C$2:$C$1090,C756,$L$2:$L$1090,1),"")</f>
        <v>10</v>
      </c>
      <c r="N756" s="12" t="n">
        <f aca="false">IF(L756=1,1+COUNTIFS($C$2:$C$1090,C756,$L$2:$L$1090,1,$G$2:$G$1090,"&gt;"&amp;G756),"")</f>
        <v>2</v>
      </c>
      <c r="O756" s="12" t="n">
        <f aca="false">IF(L756=1,1+COUNTIFS($C$2:$C$1090,C756,$L$2:$L$1090,1,$H$2:$H$1090,"&gt;"&amp;H756),"")</f>
        <v>4</v>
      </c>
      <c r="P756" s="12" t="n">
        <f aca="false">IF(L756=1,N756-O756,"")</f>
        <v>-2</v>
      </c>
      <c r="Q756" s="12" t="n">
        <f aca="false">INDEX(Directions!$D$2:$D$100,MATCH(C756,Directions!$A$2:$A$100,0))</f>
        <v>0</v>
      </c>
      <c r="R756" s="12" t="n">
        <f aca="false">IF(L756=1,P756*Q756,"")</f>
        <v>-0</v>
      </c>
      <c r="S756" s="12" t="str">
        <f aca="false">IF(L756&lt;&gt;1,"Excluded",IF(Q756=0,"No direction",IF(R756&gt;0,"Better",IF(R756&lt;0,"Worse","No change"))))</f>
        <v>No direction</v>
      </c>
      <c r="T756" s="12"/>
      <c r="U756" s="12" t="str">
        <f aca="false">C756&amp;"|"&amp;E756</f>
        <v>F9_09|CHE</v>
      </c>
    </row>
    <row r="757" customFormat="false" ht="15" hidden="false" customHeight="false" outlineLevel="0" collapsed="false">
      <c r="A757" s="12" t="n">
        <v>9</v>
      </c>
      <c r="B757" s="12" t="s">
        <v>43</v>
      </c>
      <c r="C757" s="12" t="s">
        <v>191</v>
      </c>
      <c r="D757" s="12" t="s">
        <v>192</v>
      </c>
      <c r="E757" s="12" t="s">
        <v>287</v>
      </c>
      <c r="F757" s="12" t="s">
        <v>34</v>
      </c>
      <c r="G757" s="12" t="n">
        <v>8</v>
      </c>
      <c r="H757" s="12" t="n">
        <v>6.4</v>
      </c>
      <c r="I757" s="12" t="s">
        <v>282</v>
      </c>
      <c r="J757" s="12" t="n">
        <v>4</v>
      </c>
      <c r="K757" s="12" t="n">
        <v>2</v>
      </c>
      <c r="L757" s="28" t="n">
        <v>1</v>
      </c>
      <c r="M757" s="12" t="n">
        <f aca="false">IF(L757=1,COUNTIFS($C$2:$C$1090,C757,$L$2:$L$1090,1),"")</f>
        <v>10</v>
      </c>
      <c r="N757" s="12" t="n">
        <f aca="false">IF(L757=1,1+COUNTIFS($C$2:$C$1090,C757,$L$2:$L$1090,1,$G$2:$G$1090,"&gt;"&amp;G757),"")</f>
        <v>2</v>
      </c>
      <c r="O757" s="12" t="n">
        <f aca="false">IF(L757=1,1+COUNTIFS($C$2:$C$1090,C757,$L$2:$L$1090,1,$H$2:$H$1090,"&gt;"&amp;H757),"")</f>
        <v>2</v>
      </c>
      <c r="P757" s="12" t="n">
        <f aca="false">IF(L757=1,N757-O757,"")</f>
        <v>0</v>
      </c>
      <c r="Q757" s="12" t="n">
        <f aca="false">INDEX(Directions!$D$2:$D$100,MATCH(C757,Directions!$A$2:$A$100,0))</f>
        <v>0</v>
      </c>
      <c r="R757" s="12" t="n">
        <f aca="false">IF(L757=1,P757*Q757,"")</f>
        <v>0</v>
      </c>
      <c r="S757" s="12" t="str">
        <f aca="false">IF(L757&lt;&gt;1,"Excluded",IF(Q757=0,"No direction",IF(R757&gt;0,"Better",IF(R757&lt;0,"Worse","No change"))))</f>
        <v>No direction</v>
      </c>
      <c r="T757" s="12"/>
      <c r="U757" s="12" t="str">
        <f aca="false">C757&amp;"|"&amp;E757</f>
        <v>F9_09|DNK</v>
      </c>
    </row>
    <row r="758" customFormat="false" ht="15" hidden="false" customHeight="false" outlineLevel="0" collapsed="false">
      <c r="A758" s="12" t="n">
        <v>9</v>
      </c>
      <c r="B758" s="12" t="s">
        <v>43</v>
      </c>
      <c r="C758" s="12" t="s">
        <v>191</v>
      </c>
      <c r="D758" s="12" t="s">
        <v>192</v>
      </c>
      <c r="E758" s="12" t="s">
        <v>288</v>
      </c>
      <c r="F758" s="12" t="s">
        <v>35</v>
      </c>
      <c r="G758" s="12" t="n">
        <v>30</v>
      </c>
      <c r="H758" s="12" t="n">
        <v>34.2</v>
      </c>
      <c r="I758" s="12" t="s">
        <v>282</v>
      </c>
      <c r="J758" s="12" t="n">
        <v>2</v>
      </c>
      <c r="K758" s="12" t="n">
        <v>1</v>
      </c>
      <c r="L758" s="28" t="n">
        <v>1</v>
      </c>
      <c r="M758" s="12" t="n">
        <f aca="false">IF(L758=1,COUNTIFS($C$2:$C$1090,C758,$L$2:$L$1090,1),"")</f>
        <v>10</v>
      </c>
      <c r="N758" s="12" t="n">
        <f aca="false">IF(L758=1,1+COUNTIFS($C$2:$C$1090,C758,$L$2:$L$1090,1,$G$2:$G$1090,"&gt;"&amp;G758),"")</f>
        <v>1</v>
      </c>
      <c r="O758" s="12" t="n">
        <f aca="false">IF(L758=1,1+COUNTIFS($C$2:$C$1090,C758,$L$2:$L$1090,1,$H$2:$H$1090,"&gt;"&amp;H758),"")</f>
        <v>1</v>
      </c>
      <c r="P758" s="12" t="n">
        <f aca="false">IF(L758=1,N758-O758,"")</f>
        <v>0</v>
      </c>
      <c r="Q758" s="12" t="n">
        <f aca="false">INDEX(Directions!$D$2:$D$100,MATCH(C758,Directions!$A$2:$A$100,0))</f>
        <v>0</v>
      </c>
      <c r="R758" s="12" t="n">
        <f aca="false">IF(L758=1,P758*Q758,"")</f>
        <v>0</v>
      </c>
      <c r="S758" s="12" t="str">
        <f aca="false">IF(L758&lt;&gt;1,"Excluded",IF(Q758=0,"No direction",IF(R758&gt;0,"Better",IF(R758&lt;0,"Worse","No change"))))</f>
        <v>No direction</v>
      </c>
      <c r="T758" s="12"/>
      <c r="U758" s="12" t="str">
        <f aca="false">C758&amp;"|"&amp;E758</f>
        <v>F9_09|CAN</v>
      </c>
    </row>
    <row r="759" customFormat="false" ht="15" hidden="false" customHeight="false" outlineLevel="0" collapsed="false">
      <c r="A759" s="12" t="n">
        <v>9</v>
      </c>
      <c r="B759" s="12" t="s">
        <v>43</v>
      </c>
      <c r="C759" s="12" t="s">
        <v>191</v>
      </c>
      <c r="D759" s="12" t="s">
        <v>192</v>
      </c>
      <c r="E759" s="12" t="s">
        <v>289</v>
      </c>
      <c r="F759" s="12" t="s">
        <v>36</v>
      </c>
      <c r="G759" s="12" t="n">
        <v>1</v>
      </c>
      <c r="H759" s="12" t="n">
        <v>0.9</v>
      </c>
      <c r="I759" s="12" t="s">
        <v>291</v>
      </c>
      <c r="J759" s="12" t="n">
        <v>8</v>
      </c>
      <c r="K759" s="12" t="n">
        <v>5</v>
      </c>
      <c r="L759" s="28" t="n">
        <v>1</v>
      </c>
      <c r="M759" s="12" t="n">
        <f aca="false">IF(L759=1,COUNTIFS($C$2:$C$1090,C759,$L$2:$L$1090,1),"")</f>
        <v>10</v>
      </c>
      <c r="N759" s="12" t="n">
        <f aca="false">IF(L759=1,1+COUNTIFS($C$2:$C$1090,C759,$L$2:$L$1090,1,$G$2:$G$1090,"&gt;"&amp;G759),"")</f>
        <v>6</v>
      </c>
      <c r="O759" s="12" t="n">
        <f aca="false">IF(L759=1,1+COUNTIFS($C$2:$C$1090,C759,$L$2:$L$1090,1,$H$2:$H$1090,"&gt;"&amp;H759),"")</f>
        <v>5</v>
      </c>
      <c r="P759" s="12" t="n">
        <f aca="false">IF(L759=1,N759-O759,"")</f>
        <v>1</v>
      </c>
      <c r="Q759" s="12" t="n">
        <f aca="false">INDEX(Directions!$D$2:$D$100,MATCH(C759,Directions!$A$2:$A$100,0))</f>
        <v>0</v>
      </c>
      <c r="R759" s="12" t="n">
        <f aca="false">IF(L759=1,P759*Q759,"")</f>
        <v>0</v>
      </c>
      <c r="S759" s="12" t="str">
        <f aca="false">IF(L759&lt;&gt;1,"Excluded",IF(Q759=0,"No direction",IF(R759&gt;0,"Better",IF(R759&lt;0,"Worse","No change"))))</f>
        <v>No direction</v>
      </c>
      <c r="T759" s="12"/>
      <c r="U759" s="12" t="str">
        <f aca="false">C759&amp;"|"&amp;E759</f>
        <v>F9_09|JPN</v>
      </c>
    </row>
    <row r="760" customFormat="false" ht="15" hidden="false" customHeight="false" outlineLevel="0" collapsed="false">
      <c r="A760" s="12" t="n">
        <v>9</v>
      </c>
      <c r="B760" s="12" t="s">
        <v>43</v>
      </c>
      <c r="C760" s="12" t="s">
        <v>191</v>
      </c>
      <c r="D760" s="12" t="s">
        <v>192</v>
      </c>
      <c r="E760" s="12" t="s">
        <v>290</v>
      </c>
      <c r="F760" s="12" t="s">
        <v>37</v>
      </c>
      <c r="G760" s="12" t="n">
        <v>0</v>
      </c>
      <c r="H760" s="12" t="n">
        <v>0.3</v>
      </c>
      <c r="I760" s="12" t="s">
        <v>291</v>
      </c>
      <c r="J760" s="12" t="n">
        <v>11</v>
      </c>
      <c r="K760" s="12" t="n">
        <v>7</v>
      </c>
      <c r="L760" s="28" t="n">
        <v>1</v>
      </c>
      <c r="M760" s="12" t="n">
        <f aca="false">IF(L760=1,COUNTIFS($C$2:$C$1090,C760,$L$2:$L$1090,1),"")</f>
        <v>10</v>
      </c>
      <c r="N760" s="12" t="n">
        <f aca="false">IF(L760=1,1+COUNTIFS($C$2:$C$1090,C760,$L$2:$L$1090,1,$G$2:$G$1090,"&gt;"&amp;G760),"")</f>
        <v>8</v>
      </c>
      <c r="O760" s="12" t="n">
        <f aca="false">IF(L760=1,1+COUNTIFS($C$2:$C$1090,C760,$L$2:$L$1090,1,$H$2:$H$1090,"&gt;"&amp;H760),"")</f>
        <v>7</v>
      </c>
      <c r="P760" s="12" t="n">
        <f aca="false">IF(L760=1,N760-O760,"")</f>
        <v>1</v>
      </c>
      <c r="Q760" s="12" t="n">
        <f aca="false">INDEX(Directions!$D$2:$D$100,MATCH(C760,Directions!$A$2:$A$100,0))</f>
        <v>0</v>
      </c>
      <c r="R760" s="12" t="n">
        <f aca="false">IF(L760=1,P760*Q760,"")</f>
        <v>0</v>
      </c>
      <c r="S760" s="12" t="str">
        <f aca="false">IF(L760&lt;&gt;1,"Excluded",IF(Q760=0,"No direction",IF(R760&gt;0,"Better",IF(R760&lt;0,"Worse","No change"))))</f>
        <v>No direction</v>
      </c>
      <c r="T760" s="12"/>
      <c r="U760" s="12" t="str">
        <f aca="false">C760&amp;"|"&amp;E760</f>
        <v>F9_09|AUS</v>
      </c>
    </row>
    <row r="761" customFormat="false" ht="15" hidden="false" customHeight="false" outlineLevel="0" collapsed="false">
      <c r="A761" s="12" t="n">
        <v>9</v>
      </c>
      <c r="B761" s="12" t="s">
        <v>43</v>
      </c>
      <c r="C761" s="12" t="s">
        <v>193</v>
      </c>
      <c r="D761" s="12" t="s">
        <v>194</v>
      </c>
      <c r="E761" s="12" t="s">
        <v>281</v>
      </c>
      <c r="F761" s="12" t="s">
        <v>27</v>
      </c>
      <c r="G761" s="12" t="n">
        <v>30</v>
      </c>
      <c r="H761" s="12" t="n">
        <v>29.9</v>
      </c>
      <c r="I761" s="12" t="s">
        <v>293</v>
      </c>
      <c r="J761" s="12" t="n">
        <v>8</v>
      </c>
      <c r="K761" s="12" t="n">
        <v>6</v>
      </c>
      <c r="L761" s="28" t="n">
        <v>1</v>
      </c>
      <c r="M761" s="12" t="n">
        <f aca="false">IF(L761=1,COUNTIFS($C$2:$C$1090,C761,$L$2:$L$1090,1),"")</f>
        <v>11</v>
      </c>
      <c r="N761" s="12" t="n">
        <f aca="false">IF(L761=1,1+COUNTIFS($C$2:$C$1090,C761,$L$2:$L$1090,1,$G$2:$G$1090,"&gt;"&amp;G761),"")</f>
        <v>8</v>
      </c>
      <c r="O761" s="12" t="n">
        <f aca="false">IF(L761=1,1+COUNTIFS($C$2:$C$1090,C761,$L$2:$L$1090,1,$H$2:$H$1090,"&gt;"&amp;H761),"")</f>
        <v>6</v>
      </c>
      <c r="P761" s="12" t="n">
        <f aca="false">IF(L761=1,N761-O761,"")</f>
        <v>2</v>
      </c>
      <c r="Q761" s="12" t="n">
        <f aca="false">INDEX(Directions!$D$2:$D$100,MATCH(C761,Directions!$A$2:$A$100,0))</f>
        <v>0</v>
      </c>
      <c r="R761" s="12" t="n">
        <f aca="false">IF(L761=1,P761*Q761,"")</f>
        <v>0</v>
      </c>
      <c r="S761" s="12" t="str">
        <f aca="false">IF(L761&lt;&gt;1,"Excluded",IF(Q761=0,"No direction",IF(R761&gt;0,"Better",IF(R761&lt;0,"Worse","No change"))))</f>
        <v>No direction</v>
      </c>
      <c r="T761" s="12"/>
      <c r="U761" s="12" t="str">
        <f aca="false">C761&amp;"|"&amp;E761</f>
        <v>F9_10|USA</v>
      </c>
    </row>
    <row r="762" customFormat="false" ht="15" hidden="false" customHeight="false" outlineLevel="0" collapsed="false">
      <c r="A762" s="12" t="n">
        <v>9</v>
      </c>
      <c r="B762" s="12" t="s">
        <v>43</v>
      </c>
      <c r="C762" s="12" t="s">
        <v>193</v>
      </c>
      <c r="D762" s="12" t="s">
        <v>194</v>
      </c>
      <c r="E762" s="12" t="s">
        <v>283</v>
      </c>
      <c r="F762" s="12" t="s">
        <v>28</v>
      </c>
      <c r="G762" s="12" t="n">
        <v>36</v>
      </c>
      <c r="H762" s="12" t="n">
        <v>29.7</v>
      </c>
      <c r="I762" s="12" t="s">
        <v>293</v>
      </c>
      <c r="J762" s="12" t="n">
        <v>5</v>
      </c>
      <c r="K762" s="12" t="n">
        <v>7</v>
      </c>
      <c r="L762" s="28" t="n">
        <v>1</v>
      </c>
      <c r="M762" s="12" t="n">
        <f aca="false">IF(L762=1,COUNTIFS($C$2:$C$1090,C762,$L$2:$L$1090,1),"")</f>
        <v>11</v>
      </c>
      <c r="N762" s="12" t="n">
        <f aca="false">IF(L762=1,1+COUNTIFS($C$2:$C$1090,C762,$L$2:$L$1090,1,$G$2:$G$1090,"&gt;"&amp;G762),"")</f>
        <v>5</v>
      </c>
      <c r="O762" s="12" t="n">
        <f aca="false">IF(L762=1,1+COUNTIFS($C$2:$C$1090,C762,$L$2:$L$1090,1,$H$2:$H$1090,"&gt;"&amp;H762),"")</f>
        <v>7</v>
      </c>
      <c r="P762" s="12" t="n">
        <f aca="false">IF(L762=1,N762-O762,"")</f>
        <v>-2</v>
      </c>
      <c r="Q762" s="12" t="n">
        <f aca="false">INDEX(Directions!$D$2:$D$100,MATCH(C762,Directions!$A$2:$A$100,0))</f>
        <v>0</v>
      </c>
      <c r="R762" s="12" t="n">
        <f aca="false">IF(L762=1,P762*Q762,"")</f>
        <v>-0</v>
      </c>
      <c r="S762" s="12" t="str">
        <f aca="false">IF(L762&lt;&gt;1,"Excluded",IF(Q762=0,"No direction",IF(R762&gt;0,"Better",IF(R762&lt;0,"Worse","No change"))))</f>
        <v>No direction</v>
      </c>
      <c r="T762" s="12"/>
      <c r="U762" s="12" t="str">
        <f aca="false">C762&amp;"|"&amp;E762</f>
        <v>F9_10|GBR</v>
      </c>
    </row>
    <row r="763" customFormat="false" ht="15" hidden="false" customHeight="false" outlineLevel="0" collapsed="false">
      <c r="A763" s="12" t="n">
        <v>9</v>
      </c>
      <c r="B763" s="12" t="s">
        <v>43</v>
      </c>
      <c r="C763" s="12" t="s">
        <v>193</v>
      </c>
      <c r="D763" s="12" t="s">
        <v>194</v>
      </c>
      <c r="E763" s="12" t="s">
        <v>284</v>
      </c>
      <c r="F763" s="12" t="s">
        <v>29</v>
      </c>
      <c r="G763" s="12" t="n">
        <v>18</v>
      </c>
      <c r="H763" s="12" t="n">
        <v>16.4</v>
      </c>
      <c r="I763" s="12" t="s">
        <v>293</v>
      </c>
      <c r="J763" s="12" t="n">
        <v>11</v>
      </c>
      <c r="K763" s="12" t="n">
        <v>10</v>
      </c>
      <c r="L763" s="28" t="n">
        <v>1</v>
      </c>
      <c r="M763" s="12" t="n">
        <f aca="false">IF(L763=1,COUNTIFS($C$2:$C$1090,C763,$L$2:$L$1090,1),"")</f>
        <v>11</v>
      </c>
      <c r="N763" s="12" t="n">
        <f aca="false">IF(L763=1,1+COUNTIFS($C$2:$C$1090,C763,$L$2:$L$1090,1,$G$2:$G$1090,"&gt;"&amp;G763),"")</f>
        <v>11</v>
      </c>
      <c r="O763" s="12" t="n">
        <f aca="false">IF(L763=1,1+COUNTIFS($C$2:$C$1090,C763,$L$2:$L$1090,1,$H$2:$H$1090,"&gt;"&amp;H763),"")</f>
        <v>10</v>
      </c>
      <c r="P763" s="12" t="n">
        <f aca="false">IF(L763=1,N763-O763,"")</f>
        <v>1</v>
      </c>
      <c r="Q763" s="12" t="n">
        <f aca="false">INDEX(Directions!$D$2:$D$100,MATCH(C763,Directions!$A$2:$A$100,0))</f>
        <v>0</v>
      </c>
      <c r="R763" s="12" t="n">
        <f aca="false">IF(L763=1,P763*Q763,"")</f>
        <v>0</v>
      </c>
      <c r="S763" s="12" t="str">
        <f aca="false">IF(L763&lt;&gt;1,"Excluded",IF(Q763=0,"No direction",IF(R763&gt;0,"Better",IF(R763&lt;0,"Worse","No change"))))</f>
        <v>No direction</v>
      </c>
      <c r="T763" s="12"/>
      <c r="U763" s="12" t="str">
        <f aca="false">C763&amp;"|"&amp;E763</f>
        <v>F9_10|DEU</v>
      </c>
    </row>
    <row r="764" customFormat="false" ht="15" hidden="false" customHeight="false" outlineLevel="0" collapsed="false">
      <c r="A764" s="12" t="n">
        <v>9</v>
      </c>
      <c r="B764" s="12" t="s">
        <v>43</v>
      </c>
      <c r="C764" s="12" t="s">
        <v>193</v>
      </c>
      <c r="D764" s="12" t="s">
        <v>194</v>
      </c>
      <c r="E764" s="12" t="s">
        <v>285</v>
      </c>
      <c r="F764" s="12" t="s">
        <v>30</v>
      </c>
      <c r="G764" s="12" t="n">
        <v>48</v>
      </c>
      <c r="H764" s="12" t="n">
        <v>43.5</v>
      </c>
      <c r="I764" s="12" t="s">
        <v>293</v>
      </c>
      <c r="J764" s="12" t="n">
        <v>4</v>
      </c>
      <c r="K764" s="12" t="n">
        <v>3</v>
      </c>
      <c r="L764" s="28" t="n">
        <v>1</v>
      </c>
      <c r="M764" s="12" t="n">
        <f aca="false">IF(L764=1,COUNTIFS($C$2:$C$1090,C764,$L$2:$L$1090,1),"")</f>
        <v>11</v>
      </c>
      <c r="N764" s="12" t="n">
        <f aca="false">IF(L764=1,1+COUNTIFS($C$2:$C$1090,C764,$L$2:$L$1090,1,$G$2:$G$1090,"&gt;"&amp;G764),"")</f>
        <v>4</v>
      </c>
      <c r="O764" s="12" t="n">
        <f aca="false">IF(L764=1,1+COUNTIFS($C$2:$C$1090,C764,$L$2:$L$1090,1,$H$2:$H$1090,"&gt;"&amp;H764),"")</f>
        <v>3</v>
      </c>
      <c r="P764" s="12" t="n">
        <f aca="false">IF(L764=1,N764-O764,"")</f>
        <v>1</v>
      </c>
      <c r="Q764" s="12" t="n">
        <f aca="false">INDEX(Directions!$D$2:$D$100,MATCH(C764,Directions!$A$2:$A$100,0))</f>
        <v>0</v>
      </c>
      <c r="R764" s="12" t="n">
        <f aca="false">IF(L764=1,P764*Q764,"")</f>
        <v>0</v>
      </c>
      <c r="S764" s="12" t="str">
        <f aca="false">IF(L764&lt;&gt;1,"Excluded",IF(Q764=0,"No direction",IF(R764&gt;0,"Better",IF(R764&lt;0,"Worse","No change"))))</f>
        <v>No direction</v>
      </c>
      <c r="T764" s="12"/>
      <c r="U764" s="12" t="str">
        <f aca="false">C764&amp;"|"&amp;E764</f>
        <v>F9_10|SWE</v>
      </c>
    </row>
    <row r="765" customFormat="false" ht="15" hidden="false" customHeight="false" outlineLevel="0" collapsed="false">
      <c r="A765" s="12" t="n">
        <v>9</v>
      </c>
      <c r="B765" s="12" t="s">
        <v>43</v>
      </c>
      <c r="C765" s="12" t="s">
        <v>193</v>
      </c>
      <c r="D765" s="12" t="s">
        <v>194</v>
      </c>
      <c r="E765" s="12" t="s">
        <v>286</v>
      </c>
      <c r="F765" s="12" t="s">
        <v>31</v>
      </c>
      <c r="G765" s="12" t="n">
        <v>19</v>
      </c>
      <c r="H765" s="12" t="n">
        <v>12.5</v>
      </c>
      <c r="I765" s="12" t="s">
        <v>293</v>
      </c>
      <c r="J765" s="12" t="n">
        <v>10</v>
      </c>
      <c r="K765" s="12" t="n">
        <v>11</v>
      </c>
      <c r="L765" s="28" t="n">
        <v>1</v>
      </c>
      <c r="M765" s="12" t="n">
        <f aca="false">IF(L765=1,COUNTIFS($C$2:$C$1090,C765,$L$2:$L$1090,1),"")</f>
        <v>11</v>
      </c>
      <c r="N765" s="12" t="n">
        <f aca="false">IF(L765=1,1+COUNTIFS($C$2:$C$1090,C765,$L$2:$L$1090,1,$G$2:$G$1090,"&gt;"&amp;G765),"")</f>
        <v>10</v>
      </c>
      <c r="O765" s="12" t="n">
        <f aca="false">IF(L765=1,1+COUNTIFS($C$2:$C$1090,C765,$L$2:$L$1090,1,$H$2:$H$1090,"&gt;"&amp;H765),"")</f>
        <v>11</v>
      </c>
      <c r="P765" s="12" t="n">
        <f aca="false">IF(L765=1,N765-O765,"")</f>
        <v>-1</v>
      </c>
      <c r="Q765" s="12" t="n">
        <f aca="false">INDEX(Directions!$D$2:$D$100,MATCH(C765,Directions!$A$2:$A$100,0))</f>
        <v>0</v>
      </c>
      <c r="R765" s="12" t="n">
        <f aca="false">IF(L765=1,P765*Q765,"")</f>
        <v>-0</v>
      </c>
      <c r="S765" s="12" t="str">
        <f aca="false">IF(L765&lt;&gt;1,"Excluded",IF(Q765=0,"No direction",IF(R765&gt;0,"Better",IF(R765&lt;0,"Worse","No change"))))</f>
        <v>No direction</v>
      </c>
      <c r="T765" s="12"/>
      <c r="U765" s="12" t="str">
        <f aca="false">C765&amp;"|"&amp;E765</f>
        <v>F9_10|FRA</v>
      </c>
    </row>
    <row r="766" customFormat="false" ht="15" hidden="false" customHeight="false" outlineLevel="0" collapsed="false">
      <c r="A766" s="12" t="n">
        <v>9</v>
      </c>
      <c r="B766" s="12" t="s">
        <v>43</v>
      </c>
      <c r="C766" s="12" t="s">
        <v>193</v>
      </c>
      <c r="D766" s="12" t="s">
        <v>194</v>
      </c>
      <c r="E766" s="12" t="s">
        <v>32</v>
      </c>
      <c r="F766" s="12" t="s">
        <v>32</v>
      </c>
      <c r="G766" s="12" t="n">
        <v>33</v>
      </c>
      <c r="H766" s="12" t="n">
        <v>30.9</v>
      </c>
      <c r="I766" s="12" t="s">
        <v>282</v>
      </c>
      <c r="J766" s="12" t="n">
        <v>7</v>
      </c>
      <c r="K766" s="12" t="n">
        <v>4</v>
      </c>
      <c r="L766" s="28" t="n">
        <v>1</v>
      </c>
      <c r="M766" s="12" t="n">
        <f aca="false">IF(L766=1,COUNTIFS($C$2:$C$1090,C766,$L$2:$L$1090,1),"")</f>
        <v>11</v>
      </c>
      <c r="N766" s="12" t="n">
        <f aca="false">IF(L766=1,1+COUNTIFS($C$2:$C$1090,C766,$L$2:$L$1090,1,$G$2:$G$1090,"&gt;"&amp;G766),"")</f>
        <v>7</v>
      </c>
      <c r="O766" s="12" t="n">
        <f aca="false">IF(L766=1,1+COUNTIFS($C$2:$C$1090,C766,$L$2:$L$1090,1,$H$2:$H$1090,"&gt;"&amp;H766),"")</f>
        <v>4</v>
      </c>
      <c r="P766" s="12" t="n">
        <f aca="false">IF(L766=1,N766-O766,"")</f>
        <v>3</v>
      </c>
      <c r="Q766" s="12" t="n">
        <f aca="false">INDEX(Directions!$D$2:$D$100,MATCH(C766,Directions!$A$2:$A$100,0))</f>
        <v>0</v>
      </c>
      <c r="R766" s="12" t="n">
        <f aca="false">IF(L766=1,P766*Q766,"")</f>
        <v>0</v>
      </c>
      <c r="S766" s="12" t="str">
        <f aca="false">IF(L766&lt;&gt;1,"Excluded",IF(Q766=0,"No direction",IF(R766&gt;0,"Better",IF(R766&lt;0,"Worse","No change"))))</f>
        <v>No direction</v>
      </c>
      <c r="T766" s="12"/>
      <c r="U766" s="12" t="str">
        <f aca="false">C766&amp;"|"&amp;E766</f>
        <v>F9_10|NLD</v>
      </c>
    </row>
    <row r="767" customFormat="false" ht="15" hidden="false" customHeight="false" outlineLevel="0" collapsed="false">
      <c r="A767" s="12" t="n">
        <v>9</v>
      </c>
      <c r="B767" s="12" t="s">
        <v>43</v>
      </c>
      <c r="C767" s="12" t="s">
        <v>193</v>
      </c>
      <c r="D767" s="12" t="s">
        <v>194</v>
      </c>
      <c r="E767" s="12" t="s">
        <v>33</v>
      </c>
      <c r="F767" s="12" t="s">
        <v>33</v>
      </c>
      <c r="G767" s="12" t="n">
        <v>51</v>
      </c>
      <c r="H767" s="12" t="n">
        <v>23.5</v>
      </c>
      <c r="I767" s="12" t="s">
        <v>293</v>
      </c>
      <c r="J767" s="12" t="n">
        <v>1</v>
      </c>
      <c r="K767" s="12" t="n">
        <v>9</v>
      </c>
      <c r="L767" s="28" t="n">
        <v>1</v>
      </c>
      <c r="M767" s="12" t="n">
        <f aca="false">IF(L767=1,COUNTIFS($C$2:$C$1090,C767,$L$2:$L$1090,1),"")</f>
        <v>11</v>
      </c>
      <c r="N767" s="12" t="n">
        <f aca="false">IF(L767=1,1+COUNTIFS($C$2:$C$1090,C767,$L$2:$L$1090,1,$G$2:$G$1090,"&gt;"&amp;G767),"")</f>
        <v>1</v>
      </c>
      <c r="O767" s="12" t="n">
        <f aca="false">IF(L767=1,1+COUNTIFS($C$2:$C$1090,C767,$L$2:$L$1090,1,$H$2:$H$1090,"&gt;"&amp;H767),"")</f>
        <v>9</v>
      </c>
      <c r="P767" s="12" t="n">
        <f aca="false">IF(L767=1,N767-O767,"")</f>
        <v>-8</v>
      </c>
      <c r="Q767" s="12" t="n">
        <f aca="false">INDEX(Directions!$D$2:$D$100,MATCH(C767,Directions!$A$2:$A$100,0))</f>
        <v>0</v>
      </c>
      <c r="R767" s="12" t="n">
        <f aca="false">IF(L767=1,P767*Q767,"")</f>
        <v>-0</v>
      </c>
      <c r="S767" s="12" t="str">
        <f aca="false">IF(L767&lt;&gt;1,"Excluded",IF(Q767=0,"No direction",IF(R767&gt;0,"Better",IF(R767&lt;0,"Worse","No change"))))</f>
        <v>No direction</v>
      </c>
      <c r="T767" s="12"/>
      <c r="U767" s="12" t="str">
        <f aca="false">C767&amp;"|"&amp;E767</f>
        <v>F9_10|CHE</v>
      </c>
    </row>
    <row r="768" customFormat="false" ht="15" hidden="false" customHeight="false" outlineLevel="0" collapsed="false">
      <c r="A768" s="12" t="n">
        <v>9</v>
      </c>
      <c r="B768" s="12" t="s">
        <v>43</v>
      </c>
      <c r="C768" s="12" t="s">
        <v>193</v>
      </c>
      <c r="D768" s="12" t="s">
        <v>194</v>
      </c>
      <c r="E768" s="12" t="s">
        <v>287</v>
      </c>
      <c r="F768" s="12" t="s">
        <v>34</v>
      </c>
      <c r="G768" s="12" t="n">
        <v>51</v>
      </c>
      <c r="H768" s="12" t="n">
        <v>54.7</v>
      </c>
      <c r="I768" s="12" t="s">
        <v>282</v>
      </c>
      <c r="J768" s="12" t="n">
        <v>2</v>
      </c>
      <c r="K768" s="12" t="n">
        <v>1</v>
      </c>
      <c r="L768" s="28" t="n">
        <v>1</v>
      </c>
      <c r="M768" s="12" t="n">
        <f aca="false">IF(L768=1,COUNTIFS($C$2:$C$1090,C768,$L$2:$L$1090,1),"")</f>
        <v>11</v>
      </c>
      <c r="N768" s="12" t="n">
        <f aca="false">IF(L768=1,1+COUNTIFS($C$2:$C$1090,C768,$L$2:$L$1090,1,$G$2:$G$1090,"&gt;"&amp;G768),"")</f>
        <v>1</v>
      </c>
      <c r="O768" s="12" t="n">
        <f aca="false">IF(L768=1,1+COUNTIFS($C$2:$C$1090,C768,$L$2:$L$1090,1,$H$2:$H$1090,"&gt;"&amp;H768),"")</f>
        <v>1</v>
      </c>
      <c r="P768" s="12" t="n">
        <f aca="false">IF(L768=1,N768-O768,"")</f>
        <v>0</v>
      </c>
      <c r="Q768" s="12" t="n">
        <f aca="false">INDEX(Directions!$D$2:$D$100,MATCH(C768,Directions!$A$2:$A$100,0))</f>
        <v>0</v>
      </c>
      <c r="R768" s="12" t="n">
        <f aca="false">IF(L768=1,P768*Q768,"")</f>
        <v>0</v>
      </c>
      <c r="S768" s="12" t="str">
        <f aca="false">IF(L768&lt;&gt;1,"Excluded",IF(Q768=0,"No direction",IF(R768&gt;0,"Better",IF(R768&lt;0,"Worse","No change"))))</f>
        <v>No direction</v>
      </c>
      <c r="T768" s="12"/>
      <c r="U768" s="12" t="str">
        <f aca="false">C768&amp;"|"&amp;E768</f>
        <v>F9_10|DNK</v>
      </c>
    </row>
    <row r="769" customFormat="false" ht="15" hidden="false" customHeight="false" outlineLevel="0" collapsed="false">
      <c r="A769" s="12" t="n">
        <v>9</v>
      </c>
      <c r="B769" s="12" t="s">
        <v>43</v>
      </c>
      <c r="C769" s="12" t="s">
        <v>193</v>
      </c>
      <c r="D769" s="12" t="s">
        <v>194</v>
      </c>
      <c r="E769" s="12" t="s">
        <v>288</v>
      </c>
      <c r="F769" s="12" t="s">
        <v>35</v>
      </c>
      <c r="G769" s="12" t="n">
        <v>34</v>
      </c>
      <c r="H769" s="12" t="n">
        <v>30.2</v>
      </c>
      <c r="I769" s="12" t="s">
        <v>282</v>
      </c>
      <c r="J769" s="12" t="n">
        <v>6</v>
      </c>
      <c r="K769" s="12" t="n">
        <v>5</v>
      </c>
      <c r="L769" s="28" t="n">
        <v>1</v>
      </c>
      <c r="M769" s="12" t="n">
        <f aca="false">IF(L769=1,COUNTIFS($C$2:$C$1090,C769,$L$2:$L$1090,1),"")</f>
        <v>11</v>
      </c>
      <c r="N769" s="12" t="n">
        <f aca="false">IF(L769=1,1+COUNTIFS($C$2:$C$1090,C769,$L$2:$L$1090,1,$G$2:$G$1090,"&gt;"&amp;G769),"")</f>
        <v>6</v>
      </c>
      <c r="O769" s="12" t="n">
        <f aca="false">IF(L769=1,1+COUNTIFS($C$2:$C$1090,C769,$L$2:$L$1090,1,$H$2:$H$1090,"&gt;"&amp;H769),"")</f>
        <v>5</v>
      </c>
      <c r="P769" s="12" t="n">
        <f aca="false">IF(L769=1,N769-O769,"")</f>
        <v>1</v>
      </c>
      <c r="Q769" s="12" t="n">
        <f aca="false">INDEX(Directions!$D$2:$D$100,MATCH(C769,Directions!$A$2:$A$100,0))</f>
        <v>0</v>
      </c>
      <c r="R769" s="12" t="n">
        <f aca="false">IF(L769=1,P769*Q769,"")</f>
        <v>0</v>
      </c>
      <c r="S769" s="12" t="str">
        <f aca="false">IF(L769&lt;&gt;1,"Excluded",IF(Q769=0,"No direction",IF(R769&gt;0,"Better",IF(R769&lt;0,"Worse","No change"))))</f>
        <v>No direction</v>
      </c>
      <c r="T769" s="12"/>
      <c r="U769" s="12" t="str">
        <f aca="false">C769&amp;"|"&amp;E769</f>
        <v>F9_10|CAN</v>
      </c>
    </row>
    <row r="770" customFormat="false" ht="15" hidden="false" customHeight="false" outlineLevel="0" collapsed="false">
      <c r="A770" s="12" t="n">
        <v>9</v>
      </c>
      <c r="B770" s="12" t="s">
        <v>43</v>
      </c>
      <c r="C770" s="12" t="s">
        <v>193</v>
      </c>
      <c r="D770" s="12" t="s">
        <v>194</v>
      </c>
      <c r="E770" s="12" t="s">
        <v>289</v>
      </c>
      <c r="F770" s="12" t="s">
        <v>36</v>
      </c>
      <c r="G770" s="12" t="n">
        <v>28</v>
      </c>
      <c r="H770" s="12" t="n">
        <v>28</v>
      </c>
      <c r="I770" s="12" t="s">
        <v>291</v>
      </c>
      <c r="J770" s="12" t="n">
        <v>9</v>
      </c>
      <c r="K770" s="12" t="n">
        <v>8</v>
      </c>
      <c r="L770" s="28" t="n">
        <v>1</v>
      </c>
      <c r="M770" s="12" t="n">
        <f aca="false">IF(L770=1,COUNTIFS($C$2:$C$1090,C770,$L$2:$L$1090,1),"")</f>
        <v>11</v>
      </c>
      <c r="N770" s="12" t="n">
        <f aca="false">IF(L770=1,1+COUNTIFS($C$2:$C$1090,C770,$L$2:$L$1090,1,$G$2:$G$1090,"&gt;"&amp;G770),"")</f>
        <v>9</v>
      </c>
      <c r="O770" s="12" t="n">
        <f aca="false">IF(L770=1,1+COUNTIFS($C$2:$C$1090,C770,$L$2:$L$1090,1,$H$2:$H$1090,"&gt;"&amp;H770),"")</f>
        <v>8</v>
      </c>
      <c r="P770" s="12" t="n">
        <f aca="false">IF(L770=1,N770-O770,"")</f>
        <v>1</v>
      </c>
      <c r="Q770" s="12" t="n">
        <f aca="false">INDEX(Directions!$D$2:$D$100,MATCH(C770,Directions!$A$2:$A$100,0))</f>
        <v>0</v>
      </c>
      <c r="R770" s="12" t="n">
        <f aca="false">IF(L770=1,P770*Q770,"")</f>
        <v>0</v>
      </c>
      <c r="S770" s="12" t="str">
        <f aca="false">IF(L770&lt;&gt;1,"Excluded",IF(Q770=0,"No direction",IF(R770&gt;0,"Better",IF(R770&lt;0,"Worse","No change"))))</f>
        <v>No direction</v>
      </c>
      <c r="T770" s="12"/>
      <c r="U770" s="12" t="str">
        <f aca="false">C770&amp;"|"&amp;E770</f>
        <v>F9_10|JPN</v>
      </c>
    </row>
    <row r="771" customFormat="false" ht="15" hidden="false" customHeight="false" outlineLevel="0" collapsed="false">
      <c r="A771" s="12" t="n">
        <v>9</v>
      </c>
      <c r="B771" s="12" t="s">
        <v>43</v>
      </c>
      <c r="C771" s="12" t="s">
        <v>193</v>
      </c>
      <c r="D771" s="12" t="s">
        <v>194</v>
      </c>
      <c r="E771" s="12" t="s">
        <v>290</v>
      </c>
      <c r="F771" s="12" t="s">
        <v>37</v>
      </c>
      <c r="G771" s="12" t="n">
        <v>50</v>
      </c>
      <c r="H771" s="12" t="n">
        <v>50</v>
      </c>
      <c r="I771" s="12" t="s">
        <v>291</v>
      </c>
      <c r="J771" s="12" t="n">
        <v>3</v>
      </c>
      <c r="K771" s="12" t="n">
        <v>2</v>
      </c>
      <c r="L771" s="28" t="n">
        <v>1</v>
      </c>
      <c r="M771" s="12" t="n">
        <f aca="false">IF(L771=1,COUNTIFS($C$2:$C$1090,C771,$L$2:$L$1090,1),"")</f>
        <v>11</v>
      </c>
      <c r="N771" s="12" t="n">
        <f aca="false">IF(L771=1,1+COUNTIFS($C$2:$C$1090,C771,$L$2:$L$1090,1,$G$2:$G$1090,"&gt;"&amp;G771),"")</f>
        <v>3</v>
      </c>
      <c r="O771" s="12" t="n">
        <f aca="false">IF(L771=1,1+COUNTIFS($C$2:$C$1090,C771,$L$2:$L$1090,1,$H$2:$H$1090,"&gt;"&amp;H771),"")</f>
        <v>2</v>
      </c>
      <c r="P771" s="12" t="n">
        <f aca="false">IF(L771=1,N771-O771,"")</f>
        <v>1</v>
      </c>
      <c r="Q771" s="12" t="n">
        <f aca="false">INDEX(Directions!$D$2:$D$100,MATCH(C771,Directions!$A$2:$A$100,0))</f>
        <v>0</v>
      </c>
      <c r="R771" s="12" t="n">
        <f aca="false">IF(L771=1,P771*Q771,"")</f>
        <v>0</v>
      </c>
      <c r="S771" s="12" t="str">
        <f aca="false">IF(L771&lt;&gt;1,"Excluded",IF(Q771=0,"No direction",IF(R771&gt;0,"Better",IF(R771&lt;0,"Worse","No change"))))</f>
        <v>No direction</v>
      </c>
      <c r="T771" s="12"/>
      <c r="U771" s="12" t="str">
        <f aca="false">C771&amp;"|"&amp;E771</f>
        <v>F9_10|AUS</v>
      </c>
    </row>
    <row r="772" customFormat="false" ht="15" hidden="false" customHeight="false" outlineLevel="0" collapsed="false">
      <c r="A772" s="12" t="n">
        <v>9</v>
      </c>
      <c r="B772" s="12" t="s">
        <v>43</v>
      </c>
      <c r="C772" s="12" t="s">
        <v>195</v>
      </c>
      <c r="D772" s="12" t="s">
        <v>196</v>
      </c>
      <c r="E772" s="12" t="s">
        <v>281</v>
      </c>
      <c r="F772" s="12" t="s">
        <v>27</v>
      </c>
      <c r="G772" s="12" t="n">
        <v>84</v>
      </c>
      <c r="H772" s="12" t="s">
        <v>302</v>
      </c>
      <c r="I772" s="12"/>
      <c r="J772" s="12" t="n">
        <v>1</v>
      </c>
      <c r="K772" s="12" t="s">
        <v>302</v>
      </c>
      <c r="L772" s="28" t="n">
        <v>0</v>
      </c>
      <c r="M772" s="12" t="str">
        <f aca="false">IF(L772=1,COUNTIFS($C$2:$C$1090,C772,$L$2:$L$1090,1),"")</f>
        <v/>
      </c>
      <c r="N772" s="12" t="str">
        <f aca="false">IF(L772=1,1+COUNTIFS($C$2:$C$1090,C772,$L$2:$L$1090,1,$G$2:$G$1090,"&gt;"&amp;G772),"")</f>
        <v/>
      </c>
      <c r="O772" s="12" t="str">
        <f aca="false">IF(L772=1,1+COUNTIFS($C$2:$C$1090,C772,$L$2:$L$1090,1,$H$2:$H$1090,"&gt;"&amp;H772),"")</f>
        <v/>
      </c>
      <c r="P772" s="12" t="str">
        <f aca="false">IF(L772=1,N772-O772,"")</f>
        <v/>
      </c>
      <c r="Q772" s="12" t="n">
        <f aca="false">INDEX(Directions!$D$2:$D$100,MATCH(C772,Directions!$A$2:$A$100,0))</f>
        <v>0</v>
      </c>
      <c r="R772" s="12" t="str">
        <f aca="false">IF(L772=1,P772*Q772,"")</f>
        <v/>
      </c>
      <c r="S772" s="12" t="str">
        <f aca="false">IF(L772&lt;&gt;1,"Excluded",IF(Q772=0,"No direction",IF(R772&gt;0,"Better",IF(R772&lt;0,"Worse","No change"))))</f>
        <v>Excluded</v>
      </c>
      <c r="T772" s="12" t="s">
        <v>303</v>
      </c>
      <c r="U772" s="12" t="str">
        <f aca="false">C772&amp;"|"&amp;E772</f>
        <v>F9_11|USA</v>
      </c>
    </row>
    <row r="773" customFormat="false" ht="15" hidden="false" customHeight="false" outlineLevel="0" collapsed="false">
      <c r="A773" s="12" t="n">
        <v>9</v>
      </c>
      <c r="B773" s="12" t="s">
        <v>43</v>
      </c>
      <c r="C773" s="12" t="s">
        <v>195</v>
      </c>
      <c r="D773" s="12" t="s">
        <v>196</v>
      </c>
      <c r="E773" s="12" t="s">
        <v>283</v>
      </c>
      <c r="F773" s="12" t="s">
        <v>28</v>
      </c>
      <c r="G773" s="12" t="n">
        <v>83</v>
      </c>
      <c r="H773" s="12" t="n">
        <v>73.2</v>
      </c>
      <c r="I773" s="12" t="s">
        <v>282</v>
      </c>
      <c r="J773" s="12" t="n">
        <v>2</v>
      </c>
      <c r="K773" s="12" t="n">
        <v>4</v>
      </c>
      <c r="L773" s="28" t="n">
        <v>1</v>
      </c>
      <c r="M773" s="12" t="n">
        <f aca="false">IF(L773=1,COUNTIFS($C$2:$C$1090,C773,$L$2:$L$1090,1),"")</f>
        <v>10</v>
      </c>
      <c r="N773" s="12" t="n">
        <f aca="false">IF(L773=1,1+COUNTIFS($C$2:$C$1090,C773,$L$2:$L$1090,1,$G$2:$G$1090,"&gt;"&amp;G773),"")</f>
        <v>1</v>
      </c>
      <c r="O773" s="12" t="n">
        <f aca="false">IF(L773=1,1+COUNTIFS($C$2:$C$1090,C773,$L$2:$L$1090,1,$H$2:$H$1090,"&gt;"&amp;H773),"")</f>
        <v>4</v>
      </c>
      <c r="P773" s="12" t="n">
        <f aca="false">IF(L773=1,N773-O773,"")</f>
        <v>-3</v>
      </c>
      <c r="Q773" s="12" t="n">
        <f aca="false">INDEX(Directions!$D$2:$D$100,MATCH(C773,Directions!$A$2:$A$100,0))</f>
        <v>0</v>
      </c>
      <c r="R773" s="12" t="n">
        <f aca="false">IF(L773=1,P773*Q773,"")</f>
        <v>-0</v>
      </c>
      <c r="S773" s="12" t="str">
        <f aca="false">IF(L773&lt;&gt;1,"Excluded",IF(Q773=0,"No direction",IF(R773&gt;0,"Better",IF(R773&lt;0,"Worse","No change"))))</f>
        <v>No direction</v>
      </c>
      <c r="T773" s="12" t="s">
        <v>327</v>
      </c>
      <c r="U773" s="12" t="str">
        <f aca="false">C773&amp;"|"&amp;E773</f>
        <v>F9_11|GBR</v>
      </c>
    </row>
    <row r="774" customFormat="false" ht="15" hidden="false" customHeight="false" outlineLevel="0" collapsed="false">
      <c r="A774" s="12" t="n">
        <v>9</v>
      </c>
      <c r="B774" s="12" t="s">
        <v>43</v>
      </c>
      <c r="C774" s="12" t="s">
        <v>195</v>
      </c>
      <c r="D774" s="12" t="s">
        <v>196</v>
      </c>
      <c r="E774" s="12" t="s">
        <v>284</v>
      </c>
      <c r="F774" s="12" t="s">
        <v>29</v>
      </c>
      <c r="G774" s="12" t="n">
        <v>80</v>
      </c>
      <c r="H774" s="12" t="n">
        <v>84</v>
      </c>
      <c r="I774" s="12" t="s">
        <v>293</v>
      </c>
      <c r="J774" s="12" t="n">
        <v>3</v>
      </c>
      <c r="K774" s="12" t="n">
        <v>1</v>
      </c>
      <c r="L774" s="28" t="n">
        <v>1</v>
      </c>
      <c r="M774" s="12" t="n">
        <f aca="false">IF(L774=1,COUNTIFS($C$2:$C$1090,C774,$L$2:$L$1090,1),"")</f>
        <v>10</v>
      </c>
      <c r="N774" s="12" t="n">
        <f aca="false">IF(L774=1,1+COUNTIFS($C$2:$C$1090,C774,$L$2:$L$1090,1,$G$2:$G$1090,"&gt;"&amp;G774),"")</f>
        <v>2</v>
      </c>
      <c r="O774" s="12" t="n">
        <f aca="false">IF(L774=1,1+COUNTIFS($C$2:$C$1090,C774,$L$2:$L$1090,1,$H$2:$H$1090,"&gt;"&amp;H774),"")</f>
        <v>1</v>
      </c>
      <c r="P774" s="12" t="n">
        <f aca="false">IF(L774=1,N774-O774,"")</f>
        <v>1</v>
      </c>
      <c r="Q774" s="12" t="n">
        <f aca="false">INDEX(Directions!$D$2:$D$100,MATCH(C774,Directions!$A$2:$A$100,0))</f>
        <v>0</v>
      </c>
      <c r="R774" s="12" t="n">
        <f aca="false">IF(L774=1,P774*Q774,"")</f>
        <v>0</v>
      </c>
      <c r="S774" s="12" t="str">
        <f aca="false">IF(L774&lt;&gt;1,"Excluded",IF(Q774=0,"No direction",IF(R774&gt;0,"Better",IF(R774&lt;0,"Worse","No change"))))</f>
        <v>No direction</v>
      </c>
      <c r="T774" s="12" t="s">
        <v>327</v>
      </c>
      <c r="U774" s="12" t="str">
        <f aca="false">C774&amp;"|"&amp;E774</f>
        <v>F9_11|DEU</v>
      </c>
    </row>
    <row r="775" customFormat="false" ht="15" hidden="false" customHeight="false" outlineLevel="0" collapsed="false">
      <c r="A775" s="12" t="n">
        <v>9</v>
      </c>
      <c r="B775" s="12" t="s">
        <v>43</v>
      </c>
      <c r="C775" s="12" t="s">
        <v>195</v>
      </c>
      <c r="D775" s="12" t="s">
        <v>196</v>
      </c>
      <c r="E775" s="12" t="s">
        <v>285</v>
      </c>
      <c r="F775" s="12" t="s">
        <v>30</v>
      </c>
      <c r="G775" s="12" t="n">
        <v>44</v>
      </c>
      <c r="H775" s="12" t="n">
        <v>34.3</v>
      </c>
      <c r="I775" s="12" t="s">
        <v>282</v>
      </c>
      <c r="J775" s="12" t="n">
        <v>9</v>
      </c>
      <c r="K775" s="12" t="n">
        <v>9</v>
      </c>
      <c r="L775" s="28" t="n">
        <v>1</v>
      </c>
      <c r="M775" s="12" t="n">
        <f aca="false">IF(L775=1,COUNTIFS($C$2:$C$1090,C775,$L$2:$L$1090,1),"")</f>
        <v>10</v>
      </c>
      <c r="N775" s="12" t="n">
        <f aca="false">IF(L775=1,1+COUNTIFS($C$2:$C$1090,C775,$L$2:$L$1090,1,$G$2:$G$1090,"&gt;"&amp;G775),"")</f>
        <v>8</v>
      </c>
      <c r="O775" s="12" t="n">
        <f aca="false">IF(L775=1,1+COUNTIFS($C$2:$C$1090,C775,$L$2:$L$1090,1,$H$2:$H$1090,"&gt;"&amp;H775),"")</f>
        <v>9</v>
      </c>
      <c r="P775" s="12" t="n">
        <f aca="false">IF(L775=1,N775-O775,"")</f>
        <v>-1</v>
      </c>
      <c r="Q775" s="12" t="n">
        <f aca="false">INDEX(Directions!$D$2:$D$100,MATCH(C775,Directions!$A$2:$A$100,0))</f>
        <v>0</v>
      </c>
      <c r="R775" s="12" t="n">
        <f aca="false">IF(L775=1,P775*Q775,"")</f>
        <v>-0</v>
      </c>
      <c r="S775" s="12" t="str">
        <f aca="false">IF(L775&lt;&gt;1,"Excluded",IF(Q775=0,"No direction",IF(R775&gt;0,"Better",IF(R775&lt;0,"Worse","No change"))))</f>
        <v>No direction</v>
      </c>
      <c r="T775" s="12" t="s">
        <v>327</v>
      </c>
      <c r="U775" s="12" t="str">
        <f aca="false">C775&amp;"|"&amp;E775</f>
        <v>F9_11|SWE</v>
      </c>
    </row>
    <row r="776" customFormat="false" ht="15" hidden="false" customHeight="false" outlineLevel="0" collapsed="false">
      <c r="A776" s="12" t="n">
        <v>9</v>
      </c>
      <c r="B776" s="12" t="s">
        <v>43</v>
      </c>
      <c r="C776" s="12" t="s">
        <v>195</v>
      </c>
      <c r="D776" s="12" t="s">
        <v>196</v>
      </c>
      <c r="E776" s="12" t="s">
        <v>286</v>
      </c>
      <c r="F776" s="12" t="s">
        <v>31</v>
      </c>
      <c r="G776" s="12" t="n">
        <v>70</v>
      </c>
      <c r="H776" s="12" t="n">
        <v>43.1</v>
      </c>
      <c r="I776" s="12" t="s">
        <v>293</v>
      </c>
      <c r="J776" s="12" t="n">
        <v>4</v>
      </c>
      <c r="K776" s="12" t="n">
        <v>8</v>
      </c>
      <c r="L776" s="28" t="n">
        <v>1</v>
      </c>
      <c r="M776" s="12" t="n">
        <f aca="false">IF(L776=1,COUNTIFS($C$2:$C$1090,C776,$L$2:$L$1090,1),"")</f>
        <v>10</v>
      </c>
      <c r="N776" s="12" t="n">
        <f aca="false">IF(L776=1,1+COUNTIFS($C$2:$C$1090,C776,$L$2:$L$1090,1,$G$2:$G$1090,"&gt;"&amp;G776),"")</f>
        <v>3</v>
      </c>
      <c r="O776" s="12" t="n">
        <f aca="false">IF(L776=1,1+COUNTIFS($C$2:$C$1090,C776,$L$2:$L$1090,1,$H$2:$H$1090,"&gt;"&amp;H776),"")</f>
        <v>8</v>
      </c>
      <c r="P776" s="12" t="n">
        <f aca="false">IF(L776=1,N776-O776,"")</f>
        <v>-5</v>
      </c>
      <c r="Q776" s="12" t="n">
        <f aca="false">INDEX(Directions!$D$2:$D$100,MATCH(C776,Directions!$A$2:$A$100,0))</f>
        <v>0</v>
      </c>
      <c r="R776" s="12" t="n">
        <f aca="false">IF(L776=1,P776*Q776,"")</f>
        <v>-0</v>
      </c>
      <c r="S776" s="12" t="str">
        <f aca="false">IF(L776&lt;&gt;1,"Excluded",IF(Q776=0,"No direction",IF(R776&gt;0,"Better",IF(R776&lt;0,"Worse","No change"))))</f>
        <v>No direction</v>
      </c>
      <c r="T776" s="12" t="s">
        <v>327</v>
      </c>
      <c r="U776" s="12" t="str">
        <f aca="false">C776&amp;"|"&amp;E776</f>
        <v>F9_11|FRA</v>
      </c>
    </row>
    <row r="777" customFormat="false" ht="15" hidden="false" customHeight="false" outlineLevel="0" collapsed="false">
      <c r="A777" s="12" t="n">
        <v>9</v>
      </c>
      <c r="B777" s="12" t="s">
        <v>43</v>
      </c>
      <c r="C777" s="12" t="s">
        <v>195</v>
      </c>
      <c r="D777" s="12" t="s">
        <v>196</v>
      </c>
      <c r="E777" s="12" t="s">
        <v>32</v>
      </c>
      <c r="F777" s="12" t="s">
        <v>32</v>
      </c>
      <c r="G777" s="12" t="n">
        <v>17</v>
      </c>
      <c r="H777" s="12" t="n">
        <v>78.7</v>
      </c>
      <c r="I777" s="12" t="s">
        <v>293</v>
      </c>
      <c r="J777" s="12" t="n">
        <v>11</v>
      </c>
      <c r="K777" s="12" t="n">
        <v>3</v>
      </c>
      <c r="L777" s="28" t="n">
        <v>1</v>
      </c>
      <c r="M777" s="12" t="n">
        <f aca="false">IF(L777=1,COUNTIFS($C$2:$C$1090,C777,$L$2:$L$1090,1),"")</f>
        <v>10</v>
      </c>
      <c r="N777" s="12" t="n">
        <f aca="false">IF(L777=1,1+COUNTIFS($C$2:$C$1090,C777,$L$2:$L$1090,1,$G$2:$G$1090,"&gt;"&amp;G777),"")</f>
        <v>10</v>
      </c>
      <c r="O777" s="12" t="n">
        <f aca="false">IF(L777=1,1+COUNTIFS($C$2:$C$1090,C777,$L$2:$L$1090,1,$H$2:$H$1090,"&gt;"&amp;H777),"")</f>
        <v>3</v>
      </c>
      <c r="P777" s="12" t="n">
        <f aca="false">IF(L777=1,N777-O777,"")</f>
        <v>7</v>
      </c>
      <c r="Q777" s="12" t="n">
        <f aca="false">INDEX(Directions!$D$2:$D$100,MATCH(C777,Directions!$A$2:$A$100,0))</f>
        <v>0</v>
      </c>
      <c r="R777" s="12" t="n">
        <f aca="false">IF(L777=1,P777*Q777,"")</f>
        <v>0</v>
      </c>
      <c r="S777" s="12" t="str">
        <f aca="false">IF(L777&lt;&gt;1,"Excluded",IF(Q777=0,"No direction",IF(R777&gt;0,"Better",IF(R777&lt;0,"Worse","No change"))))</f>
        <v>No direction</v>
      </c>
      <c r="T777" s="12" t="s">
        <v>327</v>
      </c>
      <c r="U777" s="12" t="str">
        <f aca="false">C777&amp;"|"&amp;E777</f>
        <v>F9_11|NLD</v>
      </c>
    </row>
    <row r="778" customFormat="false" ht="15" hidden="false" customHeight="false" outlineLevel="0" collapsed="false">
      <c r="A778" s="12" t="n">
        <v>9</v>
      </c>
      <c r="B778" s="12" t="s">
        <v>43</v>
      </c>
      <c r="C778" s="12" t="s">
        <v>195</v>
      </c>
      <c r="D778" s="12" t="s">
        <v>196</v>
      </c>
      <c r="E778" s="12" t="s">
        <v>33</v>
      </c>
      <c r="F778" s="12" t="s">
        <v>33</v>
      </c>
      <c r="G778" s="12" t="n">
        <v>54</v>
      </c>
      <c r="H778" s="12" t="n">
        <v>27.3</v>
      </c>
      <c r="I778" s="12" t="s">
        <v>282</v>
      </c>
      <c r="J778" s="12" t="n">
        <v>7</v>
      </c>
      <c r="K778" s="12" t="n">
        <v>10</v>
      </c>
      <c r="L778" s="28" t="n">
        <v>1</v>
      </c>
      <c r="M778" s="12" t="n">
        <f aca="false">IF(L778=1,COUNTIFS($C$2:$C$1090,C778,$L$2:$L$1090,1),"")</f>
        <v>10</v>
      </c>
      <c r="N778" s="12" t="n">
        <f aca="false">IF(L778=1,1+COUNTIFS($C$2:$C$1090,C778,$L$2:$L$1090,1,$G$2:$G$1090,"&gt;"&amp;G778),"")</f>
        <v>6</v>
      </c>
      <c r="O778" s="12" t="n">
        <f aca="false">IF(L778=1,1+COUNTIFS($C$2:$C$1090,C778,$L$2:$L$1090,1,$H$2:$H$1090,"&gt;"&amp;H778),"")</f>
        <v>10</v>
      </c>
      <c r="P778" s="12" t="n">
        <f aca="false">IF(L778=1,N778-O778,"")</f>
        <v>-4</v>
      </c>
      <c r="Q778" s="12" t="n">
        <f aca="false">INDEX(Directions!$D$2:$D$100,MATCH(C778,Directions!$A$2:$A$100,0))</f>
        <v>0</v>
      </c>
      <c r="R778" s="12" t="n">
        <f aca="false">IF(L778=1,P778*Q778,"")</f>
        <v>-0</v>
      </c>
      <c r="S778" s="12" t="str">
        <f aca="false">IF(L778&lt;&gt;1,"Excluded",IF(Q778=0,"No direction",IF(R778&gt;0,"Better",IF(R778&lt;0,"Worse","No change"))))</f>
        <v>No direction</v>
      </c>
      <c r="T778" s="12" t="s">
        <v>327</v>
      </c>
      <c r="U778" s="12" t="str">
        <f aca="false">C778&amp;"|"&amp;E778</f>
        <v>F9_11|CHE</v>
      </c>
    </row>
    <row r="779" customFormat="false" ht="15" hidden="false" customHeight="false" outlineLevel="0" collapsed="false">
      <c r="A779" s="12" t="n">
        <v>9</v>
      </c>
      <c r="B779" s="12" t="s">
        <v>43</v>
      </c>
      <c r="C779" s="12" t="s">
        <v>195</v>
      </c>
      <c r="D779" s="12" t="s">
        <v>196</v>
      </c>
      <c r="E779" s="12" t="s">
        <v>287</v>
      </c>
      <c r="F779" s="12" t="s">
        <v>34</v>
      </c>
      <c r="G779" s="12" t="n">
        <v>54</v>
      </c>
      <c r="H779" s="12" t="n">
        <v>70</v>
      </c>
      <c r="I779" s="12" t="s">
        <v>293</v>
      </c>
      <c r="J779" s="12" t="n">
        <v>8</v>
      </c>
      <c r="K779" s="12" t="n">
        <v>6</v>
      </c>
      <c r="L779" s="28" t="n">
        <v>1</v>
      </c>
      <c r="M779" s="12" t="n">
        <f aca="false">IF(L779=1,COUNTIFS($C$2:$C$1090,C779,$L$2:$L$1090,1),"")</f>
        <v>10</v>
      </c>
      <c r="N779" s="12" t="n">
        <f aca="false">IF(L779=1,1+COUNTIFS($C$2:$C$1090,C779,$L$2:$L$1090,1,$G$2:$G$1090,"&gt;"&amp;G779),"")</f>
        <v>6</v>
      </c>
      <c r="O779" s="12" t="n">
        <f aca="false">IF(L779=1,1+COUNTIFS($C$2:$C$1090,C779,$L$2:$L$1090,1,$H$2:$H$1090,"&gt;"&amp;H779),"")</f>
        <v>6</v>
      </c>
      <c r="P779" s="12" t="n">
        <f aca="false">IF(L779=1,N779-O779,"")</f>
        <v>0</v>
      </c>
      <c r="Q779" s="12" t="n">
        <f aca="false">INDEX(Directions!$D$2:$D$100,MATCH(C779,Directions!$A$2:$A$100,0))</f>
        <v>0</v>
      </c>
      <c r="R779" s="12" t="n">
        <f aca="false">IF(L779=1,P779*Q779,"")</f>
        <v>0</v>
      </c>
      <c r="S779" s="12" t="str">
        <f aca="false">IF(L779&lt;&gt;1,"Excluded",IF(Q779=0,"No direction",IF(R779&gt;0,"Better",IF(R779&lt;0,"Worse","No change"))))</f>
        <v>No direction</v>
      </c>
      <c r="T779" s="12" t="s">
        <v>327</v>
      </c>
      <c r="U779" s="12" t="str">
        <f aca="false">C779&amp;"|"&amp;E779</f>
        <v>F9_11|DNK</v>
      </c>
    </row>
    <row r="780" customFormat="false" ht="15" hidden="false" customHeight="false" outlineLevel="0" collapsed="false">
      <c r="A780" s="12" t="n">
        <v>9</v>
      </c>
      <c r="B780" s="12" t="s">
        <v>43</v>
      </c>
      <c r="C780" s="12" t="s">
        <v>195</v>
      </c>
      <c r="D780" s="12" t="s">
        <v>196</v>
      </c>
      <c r="E780" s="12" t="s">
        <v>288</v>
      </c>
      <c r="F780" s="12" t="s">
        <v>35</v>
      </c>
      <c r="G780" s="12" t="n">
        <v>70</v>
      </c>
      <c r="H780" s="12" t="n">
        <v>79</v>
      </c>
      <c r="I780" s="12" t="s">
        <v>294</v>
      </c>
      <c r="J780" s="12" t="n">
        <v>5</v>
      </c>
      <c r="K780" s="12" t="n">
        <v>2</v>
      </c>
      <c r="L780" s="28" t="n">
        <v>1</v>
      </c>
      <c r="M780" s="12" t="n">
        <f aca="false">IF(L780=1,COUNTIFS($C$2:$C$1090,C780,$L$2:$L$1090,1),"")</f>
        <v>10</v>
      </c>
      <c r="N780" s="12" t="n">
        <f aca="false">IF(L780=1,1+COUNTIFS($C$2:$C$1090,C780,$L$2:$L$1090,1,$G$2:$G$1090,"&gt;"&amp;G780),"")</f>
        <v>3</v>
      </c>
      <c r="O780" s="12" t="n">
        <f aca="false">IF(L780=1,1+COUNTIFS($C$2:$C$1090,C780,$L$2:$L$1090,1,$H$2:$H$1090,"&gt;"&amp;H780),"")</f>
        <v>2</v>
      </c>
      <c r="P780" s="12" t="n">
        <f aca="false">IF(L780=1,N780-O780,"")</f>
        <v>1</v>
      </c>
      <c r="Q780" s="12" t="n">
        <f aca="false">INDEX(Directions!$D$2:$D$100,MATCH(C780,Directions!$A$2:$A$100,0))</f>
        <v>0</v>
      </c>
      <c r="R780" s="12" t="n">
        <f aca="false">IF(L780=1,P780*Q780,"")</f>
        <v>0</v>
      </c>
      <c r="S780" s="12" t="str">
        <f aca="false">IF(L780&lt;&gt;1,"Excluded",IF(Q780=0,"No direction",IF(R780&gt;0,"Better",IF(R780&lt;0,"Worse","No change"))))</f>
        <v>No direction</v>
      </c>
      <c r="T780" s="12" t="s">
        <v>327</v>
      </c>
      <c r="U780" s="12" t="str">
        <f aca="false">C780&amp;"|"&amp;E780</f>
        <v>F9_11|CAN</v>
      </c>
    </row>
    <row r="781" customFormat="false" ht="15" hidden="false" customHeight="false" outlineLevel="0" collapsed="false">
      <c r="A781" s="12" t="n">
        <v>9</v>
      </c>
      <c r="B781" s="12" t="s">
        <v>43</v>
      </c>
      <c r="C781" s="12" t="s">
        <v>195</v>
      </c>
      <c r="D781" s="12" t="s">
        <v>196</v>
      </c>
      <c r="E781" s="12" t="s">
        <v>289</v>
      </c>
      <c r="F781" s="12" t="s">
        <v>36</v>
      </c>
      <c r="G781" s="12" t="n">
        <v>56</v>
      </c>
      <c r="H781" s="12" t="n">
        <v>54.4</v>
      </c>
      <c r="I781" s="12" t="s">
        <v>293</v>
      </c>
      <c r="J781" s="12" t="n">
        <v>6</v>
      </c>
      <c r="K781" s="12" t="n">
        <v>7</v>
      </c>
      <c r="L781" s="28" t="n">
        <v>1</v>
      </c>
      <c r="M781" s="12" t="n">
        <f aca="false">IF(L781=1,COUNTIFS($C$2:$C$1090,C781,$L$2:$L$1090,1),"")</f>
        <v>10</v>
      </c>
      <c r="N781" s="12" t="n">
        <f aca="false">IF(L781=1,1+COUNTIFS($C$2:$C$1090,C781,$L$2:$L$1090,1,$G$2:$G$1090,"&gt;"&amp;G781),"")</f>
        <v>5</v>
      </c>
      <c r="O781" s="12" t="n">
        <f aca="false">IF(L781=1,1+COUNTIFS($C$2:$C$1090,C781,$L$2:$L$1090,1,$H$2:$H$1090,"&gt;"&amp;H781),"")</f>
        <v>7</v>
      </c>
      <c r="P781" s="12" t="n">
        <f aca="false">IF(L781=1,N781-O781,"")</f>
        <v>-2</v>
      </c>
      <c r="Q781" s="12" t="n">
        <f aca="false">INDEX(Directions!$D$2:$D$100,MATCH(C781,Directions!$A$2:$A$100,0))</f>
        <v>0</v>
      </c>
      <c r="R781" s="12" t="n">
        <f aca="false">IF(L781=1,P781*Q781,"")</f>
        <v>-0</v>
      </c>
      <c r="S781" s="12" t="str">
        <f aca="false">IF(L781&lt;&gt;1,"Excluded",IF(Q781=0,"No direction",IF(R781&gt;0,"Better",IF(R781&lt;0,"Worse","No change"))))</f>
        <v>No direction</v>
      </c>
      <c r="T781" s="12" t="s">
        <v>327</v>
      </c>
      <c r="U781" s="12" t="str">
        <f aca="false">C781&amp;"|"&amp;E781</f>
        <v>F9_11|JPN</v>
      </c>
    </row>
    <row r="782" customFormat="false" ht="15" hidden="false" customHeight="false" outlineLevel="0" collapsed="false">
      <c r="A782" s="12" t="n">
        <v>9</v>
      </c>
      <c r="B782" s="12" t="s">
        <v>43</v>
      </c>
      <c r="C782" s="12" t="s">
        <v>195</v>
      </c>
      <c r="D782" s="12" t="s">
        <v>196</v>
      </c>
      <c r="E782" s="12" t="s">
        <v>290</v>
      </c>
      <c r="F782" s="12" t="s">
        <v>37</v>
      </c>
      <c r="G782" s="12" t="n">
        <v>30</v>
      </c>
      <c r="H782" s="12" t="n">
        <v>71</v>
      </c>
      <c r="I782" s="12" t="s">
        <v>282</v>
      </c>
      <c r="J782" s="12" t="n">
        <v>10</v>
      </c>
      <c r="K782" s="12" t="n">
        <v>5</v>
      </c>
      <c r="L782" s="28" t="n">
        <v>1</v>
      </c>
      <c r="M782" s="12" t="n">
        <f aca="false">IF(L782=1,COUNTIFS($C$2:$C$1090,C782,$L$2:$L$1090,1),"")</f>
        <v>10</v>
      </c>
      <c r="N782" s="12" t="n">
        <f aca="false">IF(L782=1,1+COUNTIFS($C$2:$C$1090,C782,$L$2:$L$1090,1,$G$2:$G$1090,"&gt;"&amp;G782),"")</f>
        <v>9</v>
      </c>
      <c r="O782" s="12" t="n">
        <f aca="false">IF(L782=1,1+COUNTIFS($C$2:$C$1090,C782,$L$2:$L$1090,1,$H$2:$H$1090,"&gt;"&amp;H782),"")</f>
        <v>5</v>
      </c>
      <c r="P782" s="12" t="n">
        <f aca="false">IF(L782=1,N782-O782,"")</f>
        <v>4</v>
      </c>
      <c r="Q782" s="12" t="n">
        <f aca="false">INDEX(Directions!$D$2:$D$100,MATCH(C782,Directions!$A$2:$A$100,0))</f>
        <v>0</v>
      </c>
      <c r="R782" s="12" t="n">
        <f aca="false">IF(L782=1,P782*Q782,"")</f>
        <v>0</v>
      </c>
      <c r="S782" s="12" t="str">
        <f aca="false">IF(L782&lt;&gt;1,"Excluded",IF(Q782=0,"No direction",IF(R782&gt;0,"Better",IF(R782&lt;0,"Worse","No change"))))</f>
        <v>No direction</v>
      </c>
      <c r="T782" s="12" t="s">
        <v>327</v>
      </c>
      <c r="U782" s="12" t="str">
        <f aca="false">C782&amp;"|"&amp;E782</f>
        <v>F9_11|AUS</v>
      </c>
    </row>
    <row r="783" customFormat="false" ht="15" hidden="false" customHeight="false" outlineLevel="0" collapsed="false">
      <c r="A783" s="12" t="n">
        <v>9</v>
      </c>
      <c r="B783" s="12" t="s">
        <v>43</v>
      </c>
      <c r="C783" s="12" t="s">
        <v>197</v>
      </c>
      <c r="D783" s="12" t="s">
        <v>198</v>
      </c>
      <c r="E783" s="12" t="s">
        <v>281</v>
      </c>
      <c r="F783" s="12" t="s">
        <v>27</v>
      </c>
      <c r="G783" s="12" t="n">
        <v>28</v>
      </c>
      <c r="H783" s="12" t="s">
        <v>302</v>
      </c>
      <c r="I783" s="12"/>
      <c r="J783" s="12" t="n">
        <v>5</v>
      </c>
      <c r="K783" s="12" t="s">
        <v>302</v>
      </c>
      <c r="L783" s="28" t="n">
        <v>0</v>
      </c>
      <c r="M783" s="12" t="str">
        <f aca="false">IF(L783=1,COUNTIFS($C$2:$C$1090,C783,$L$2:$L$1090,1),"")</f>
        <v/>
      </c>
      <c r="N783" s="12" t="str">
        <f aca="false">IF(L783=1,1+COUNTIFS($C$2:$C$1090,C783,$L$2:$L$1090,1,$G$2:$G$1090,"&gt;"&amp;G783),"")</f>
        <v/>
      </c>
      <c r="O783" s="12" t="str">
        <f aca="false">IF(L783=1,1+COUNTIFS($C$2:$C$1090,C783,$L$2:$L$1090,1,$H$2:$H$1090,"&gt;"&amp;H783),"")</f>
        <v/>
      </c>
      <c r="P783" s="12" t="str">
        <f aca="false">IF(L783=1,N783-O783,"")</f>
        <v/>
      </c>
      <c r="Q783" s="12" t="n">
        <f aca="false">INDEX(Directions!$D$2:$D$100,MATCH(C783,Directions!$A$2:$A$100,0))</f>
        <v>0</v>
      </c>
      <c r="R783" s="12" t="str">
        <f aca="false">IF(L783=1,P783*Q783,"")</f>
        <v/>
      </c>
      <c r="S783" s="12" t="str">
        <f aca="false">IF(L783&lt;&gt;1,"Excluded",IF(Q783=0,"No direction",IF(R783&gt;0,"Better",IF(R783&lt;0,"Worse","No change"))))</f>
        <v>Excluded</v>
      </c>
      <c r="T783" s="12" t="s">
        <v>303</v>
      </c>
      <c r="U783" s="12" t="str">
        <f aca="false">C783&amp;"|"&amp;E783</f>
        <v>F9_12|USA</v>
      </c>
    </row>
    <row r="784" customFormat="false" ht="15" hidden="false" customHeight="false" outlineLevel="0" collapsed="false">
      <c r="A784" s="12" t="n">
        <v>9</v>
      </c>
      <c r="B784" s="12" t="s">
        <v>43</v>
      </c>
      <c r="C784" s="12" t="s">
        <v>197</v>
      </c>
      <c r="D784" s="12" t="s">
        <v>198</v>
      </c>
      <c r="E784" s="12" t="s">
        <v>283</v>
      </c>
      <c r="F784" s="12" t="s">
        <v>28</v>
      </c>
      <c r="G784" s="12" t="n">
        <v>33</v>
      </c>
      <c r="H784" s="12" t="n">
        <v>26.6</v>
      </c>
      <c r="I784" s="12" t="s">
        <v>282</v>
      </c>
      <c r="J784" s="12" t="n">
        <v>2</v>
      </c>
      <c r="K784" s="12" t="n">
        <v>3</v>
      </c>
      <c r="L784" s="28" t="n">
        <v>1</v>
      </c>
      <c r="M784" s="12" t="n">
        <f aca="false">IF(L784=1,COUNTIFS($C$2:$C$1090,C784,$L$2:$L$1090,1),"")</f>
        <v>10</v>
      </c>
      <c r="N784" s="12" t="n">
        <f aca="false">IF(L784=1,1+COUNTIFS($C$2:$C$1090,C784,$L$2:$L$1090,1,$G$2:$G$1090,"&gt;"&amp;G784),"")</f>
        <v>2</v>
      </c>
      <c r="O784" s="12" t="n">
        <f aca="false">IF(L784=1,1+COUNTIFS($C$2:$C$1090,C784,$L$2:$L$1090,1,$H$2:$H$1090,"&gt;"&amp;H784),"")</f>
        <v>3</v>
      </c>
      <c r="P784" s="12" t="n">
        <f aca="false">IF(L784=1,N784-O784,"")</f>
        <v>-1</v>
      </c>
      <c r="Q784" s="12" t="n">
        <f aca="false">INDEX(Directions!$D$2:$D$100,MATCH(C784,Directions!$A$2:$A$100,0))</f>
        <v>0</v>
      </c>
      <c r="R784" s="12" t="n">
        <f aca="false">IF(L784=1,P784*Q784,"")</f>
        <v>-0</v>
      </c>
      <c r="S784" s="12" t="str">
        <f aca="false">IF(L784&lt;&gt;1,"Excluded",IF(Q784=0,"No direction",IF(R784&gt;0,"Better",IF(R784&lt;0,"Worse","No change"))))</f>
        <v>No direction</v>
      </c>
      <c r="T784" s="12" t="s">
        <v>328</v>
      </c>
      <c r="U784" s="12" t="str">
        <f aca="false">C784&amp;"|"&amp;E784</f>
        <v>F9_12|GBR</v>
      </c>
    </row>
    <row r="785" customFormat="false" ht="15" hidden="false" customHeight="false" outlineLevel="0" collapsed="false">
      <c r="A785" s="12" t="n">
        <v>9</v>
      </c>
      <c r="B785" s="12" t="s">
        <v>43</v>
      </c>
      <c r="C785" s="12" t="s">
        <v>197</v>
      </c>
      <c r="D785" s="12" t="s">
        <v>198</v>
      </c>
      <c r="E785" s="12" t="s">
        <v>284</v>
      </c>
      <c r="F785" s="12" t="s">
        <v>29</v>
      </c>
      <c r="G785" s="12" t="n">
        <v>37</v>
      </c>
      <c r="H785" s="12" t="n">
        <v>27.5</v>
      </c>
      <c r="I785" s="12" t="s">
        <v>293</v>
      </c>
      <c r="J785" s="12" t="n">
        <v>1</v>
      </c>
      <c r="K785" s="12" t="n">
        <v>1</v>
      </c>
      <c r="L785" s="28" t="n">
        <v>1</v>
      </c>
      <c r="M785" s="12" t="n">
        <f aca="false">IF(L785=1,COUNTIFS($C$2:$C$1090,C785,$L$2:$L$1090,1),"")</f>
        <v>10</v>
      </c>
      <c r="N785" s="12" t="n">
        <f aca="false">IF(L785=1,1+COUNTIFS($C$2:$C$1090,C785,$L$2:$L$1090,1,$G$2:$G$1090,"&gt;"&amp;G785),"")</f>
        <v>1</v>
      </c>
      <c r="O785" s="12" t="n">
        <f aca="false">IF(L785=1,1+COUNTIFS($C$2:$C$1090,C785,$L$2:$L$1090,1,$H$2:$H$1090,"&gt;"&amp;H785),"")</f>
        <v>1</v>
      </c>
      <c r="P785" s="12" t="n">
        <f aca="false">IF(L785=1,N785-O785,"")</f>
        <v>0</v>
      </c>
      <c r="Q785" s="12" t="n">
        <f aca="false">INDEX(Directions!$D$2:$D$100,MATCH(C785,Directions!$A$2:$A$100,0))</f>
        <v>0</v>
      </c>
      <c r="R785" s="12" t="n">
        <f aca="false">IF(L785=1,P785*Q785,"")</f>
        <v>0</v>
      </c>
      <c r="S785" s="12" t="str">
        <f aca="false">IF(L785&lt;&gt;1,"Excluded",IF(Q785=0,"No direction",IF(R785&gt;0,"Better",IF(R785&lt;0,"Worse","No change"))))</f>
        <v>No direction</v>
      </c>
      <c r="T785" s="12" t="s">
        <v>328</v>
      </c>
      <c r="U785" s="12" t="str">
        <f aca="false">C785&amp;"|"&amp;E785</f>
        <v>F9_12|DEU</v>
      </c>
    </row>
    <row r="786" customFormat="false" ht="15" hidden="false" customHeight="false" outlineLevel="0" collapsed="false">
      <c r="A786" s="12" t="n">
        <v>9</v>
      </c>
      <c r="B786" s="12" t="s">
        <v>43</v>
      </c>
      <c r="C786" s="12" t="s">
        <v>197</v>
      </c>
      <c r="D786" s="12" t="s">
        <v>198</v>
      </c>
      <c r="E786" s="12" t="s">
        <v>285</v>
      </c>
      <c r="F786" s="12" t="s">
        <v>30</v>
      </c>
      <c r="G786" s="12" t="n">
        <v>15</v>
      </c>
      <c r="H786" s="12" t="n">
        <v>17.1</v>
      </c>
      <c r="I786" s="12" t="s">
        <v>282</v>
      </c>
      <c r="J786" s="12" t="n">
        <v>8</v>
      </c>
      <c r="K786" s="12" t="n">
        <v>8</v>
      </c>
      <c r="L786" s="28" t="n">
        <v>1</v>
      </c>
      <c r="M786" s="12" t="n">
        <f aca="false">IF(L786=1,COUNTIFS($C$2:$C$1090,C786,$L$2:$L$1090,1),"")</f>
        <v>10</v>
      </c>
      <c r="N786" s="12" t="n">
        <f aca="false">IF(L786=1,1+COUNTIFS($C$2:$C$1090,C786,$L$2:$L$1090,1,$G$2:$G$1090,"&gt;"&amp;G786),"")</f>
        <v>7</v>
      </c>
      <c r="O786" s="12" t="n">
        <f aca="false">IF(L786=1,1+COUNTIFS($C$2:$C$1090,C786,$L$2:$L$1090,1,$H$2:$H$1090,"&gt;"&amp;H786),"")</f>
        <v>8</v>
      </c>
      <c r="P786" s="12" t="n">
        <f aca="false">IF(L786=1,N786-O786,"")</f>
        <v>-1</v>
      </c>
      <c r="Q786" s="12" t="n">
        <f aca="false">INDEX(Directions!$D$2:$D$100,MATCH(C786,Directions!$A$2:$A$100,0))</f>
        <v>0</v>
      </c>
      <c r="R786" s="12" t="n">
        <f aca="false">IF(L786=1,P786*Q786,"")</f>
        <v>-0</v>
      </c>
      <c r="S786" s="12" t="str">
        <f aca="false">IF(L786&lt;&gt;1,"Excluded",IF(Q786=0,"No direction",IF(R786&gt;0,"Better",IF(R786&lt;0,"Worse","No change"))))</f>
        <v>No direction</v>
      </c>
      <c r="T786" s="12" t="s">
        <v>328</v>
      </c>
      <c r="U786" s="12" t="str">
        <f aca="false">C786&amp;"|"&amp;E786</f>
        <v>F9_12|SWE</v>
      </c>
    </row>
    <row r="787" customFormat="false" ht="15" hidden="false" customHeight="false" outlineLevel="0" collapsed="false">
      <c r="A787" s="12" t="n">
        <v>9</v>
      </c>
      <c r="B787" s="12" t="s">
        <v>43</v>
      </c>
      <c r="C787" s="12" t="s">
        <v>197</v>
      </c>
      <c r="D787" s="12" t="s">
        <v>198</v>
      </c>
      <c r="E787" s="12" t="s">
        <v>286</v>
      </c>
      <c r="F787" s="12" t="s">
        <v>31</v>
      </c>
      <c r="G787" s="12" t="n">
        <v>16</v>
      </c>
      <c r="H787" s="12" t="n">
        <v>17.7</v>
      </c>
      <c r="I787" s="12" t="s">
        <v>293</v>
      </c>
      <c r="J787" s="12" t="n">
        <v>6</v>
      </c>
      <c r="K787" s="12" t="n">
        <v>7</v>
      </c>
      <c r="L787" s="28" t="n">
        <v>1</v>
      </c>
      <c r="M787" s="12" t="n">
        <f aca="false">IF(L787=1,COUNTIFS($C$2:$C$1090,C787,$L$2:$L$1090,1),"")</f>
        <v>10</v>
      </c>
      <c r="N787" s="12" t="n">
        <f aca="false">IF(L787=1,1+COUNTIFS($C$2:$C$1090,C787,$L$2:$L$1090,1,$G$2:$G$1090,"&gt;"&amp;G787),"")</f>
        <v>5</v>
      </c>
      <c r="O787" s="12" t="n">
        <f aca="false">IF(L787=1,1+COUNTIFS($C$2:$C$1090,C787,$L$2:$L$1090,1,$H$2:$H$1090,"&gt;"&amp;H787),"")</f>
        <v>7</v>
      </c>
      <c r="P787" s="12" t="n">
        <f aca="false">IF(L787=1,N787-O787,"")</f>
        <v>-2</v>
      </c>
      <c r="Q787" s="12" t="n">
        <f aca="false">INDEX(Directions!$D$2:$D$100,MATCH(C787,Directions!$A$2:$A$100,0))</f>
        <v>0</v>
      </c>
      <c r="R787" s="12" t="n">
        <f aca="false">IF(L787=1,P787*Q787,"")</f>
        <v>-0</v>
      </c>
      <c r="S787" s="12" t="str">
        <f aca="false">IF(L787&lt;&gt;1,"Excluded",IF(Q787=0,"No direction",IF(R787&gt;0,"Better",IF(R787&lt;0,"Worse","No change"))))</f>
        <v>No direction</v>
      </c>
      <c r="T787" s="12" t="s">
        <v>328</v>
      </c>
      <c r="U787" s="12" t="str">
        <f aca="false">C787&amp;"|"&amp;E787</f>
        <v>F9_12|FRA</v>
      </c>
    </row>
    <row r="788" customFormat="false" ht="15" hidden="false" customHeight="false" outlineLevel="0" collapsed="false">
      <c r="A788" s="12" t="n">
        <v>9</v>
      </c>
      <c r="B788" s="12" t="s">
        <v>43</v>
      </c>
      <c r="C788" s="12" t="s">
        <v>197</v>
      </c>
      <c r="D788" s="12" t="s">
        <v>198</v>
      </c>
      <c r="E788" s="12" t="s">
        <v>32</v>
      </c>
      <c r="F788" s="12" t="s">
        <v>32</v>
      </c>
      <c r="G788" s="12" t="n">
        <v>16</v>
      </c>
      <c r="H788" s="12" t="n">
        <v>26.8</v>
      </c>
      <c r="I788" s="12" t="s">
        <v>293</v>
      </c>
      <c r="J788" s="12" t="n">
        <v>7</v>
      </c>
      <c r="K788" s="12" t="n">
        <v>2</v>
      </c>
      <c r="L788" s="28" t="n">
        <v>1</v>
      </c>
      <c r="M788" s="12" t="n">
        <f aca="false">IF(L788=1,COUNTIFS($C$2:$C$1090,C788,$L$2:$L$1090,1),"")</f>
        <v>10</v>
      </c>
      <c r="N788" s="12" t="n">
        <f aca="false">IF(L788=1,1+COUNTIFS($C$2:$C$1090,C788,$L$2:$L$1090,1,$G$2:$G$1090,"&gt;"&amp;G788),"")</f>
        <v>5</v>
      </c>
      <c r="O788" s="12" t="n">
        <f aca="false">IF(L788=1,1+COUNTIFS($C$2:$C$1090,C788,$L$2:$L$1090,1,$H$2:$H$1090,"&gt;"&amp;H788),"")</f>
        <v>2</v>
      </c>
      <c r="P788" s="12" t="n">
        <f aca="false">IF(L788=1,N788-O788,"")</f>
        <v>3</v>
      </c>
      <c r="Q788" s="12" t="n">
        <f aca="false">INDEX(Directions!$D$2:$D$100,MATCH(C788,Directions!$A$2:$A$100,0))</f>
        <v>0</v>
      </c>
      <c r="R788" s="12" t="n">
        <f aca="false">IF(L788=1,P788*Q788,"")</f>
        <v>0</v>
      </c>
      <c r="S788" s="12" t="str">
        <f aca="false">IF(L788&lt;&gt;1,"Excluded",IF(Q788=0,"No direction",IF(R788&gt;0,"Better",IF(R788&lt;0,"Worse","No change"))))</f>
        <v>No direction</v>
      </c>
      <c r="T788" s="12" t="s">
        <v>328</v>
      </c>
      <c r="U788" s="12" t="str">
        <f aca="false">C788&amp;"|"&amp;E788</f>
        <v>F9_12|NLD</v>
      </c>
    </row>
    <row r="789" customFormat="false" ht="15" hidden="false" customHeight="false" outlineLevel="0" collapsed="false">
      <c r="A789" s="12" t="n">
        <v>9</v>
      </c>
      <c r="B789" s="12" t="s">
        <v>43</v>
      </c>
      <c r="C789" s="12" t="s">
        <v>197</v>
      </c>
      <c r="D789" s="12" t="s">
        <v>198</v>
      </c>
      <c r="E789" s="12" t="s">
        <v>33</v>
      </c>
      <c r="F789" s="12" t="s">
        <v>33</v>
      </c>
      <c r="G789" s="12" t="n">
        <v>14</v>
      </c>
      <c r="H789" s="12" t="n">
        <v>21</v>
      </c>
      <c r="I789" s="12" t="s">
        <v>282</v>
      </c>
      <c r="J789" s="12" t="n">
        <v>10</v>
      </c>
      <c r="K789" s="12" t="n">
        <v>6</v>
      </c>
      <c r="L789" s="28" t="n">
        <v>1</v>
      </c>
      <c r="M789" s="12" t="n">
        <f aca="false">IF(L789=1,COUNTIFS($C$2:$C$1090,C789,$L$2:$L$1090,1),"")</f>
        <v>10</v>
      </c>
      <c r="N789" s="12" t="n">
        <f aca="false">IF(L789=1,1+COUNTIFS($C$2:$C$1090,C789,$L$2:$L$1090,1,$G$2:$G$1090,"&gt;"&amp;G789),"")</f>
        <v>9</v>
      </c>
      <c r="O789" s="12" t="n">
        <f aca="false">IF(L789=1,1+COUNTIFS($C$2:$C$1090,C789,$L$2:$L$1090,1,$H$2:$H$1090,"&gt;"&amp;H789),"")</f>
        <v>6</v>
      </c>
      <c r="P789" s="12" t="n">
        <f aca="false">IF(L789=1,N789-O789,"")</f>
        <v>3</v>
      </c>
      <c r="Q789" s="12" t="n">
        <f aca="false">INDEX(Directions!$D$2:$D$100,MATCH(C789,Directions!$A$2:$A$100,0))</f>
        <v>0</v>
      </c>
      <c r="R789" s="12" t="n">
        <f aca="false">IF(L789=1,P789*Q789,"")</f>
        <v>0</v>
      </c>
      <c r="S789" s="12" t="str">
        <f aca="false">IF(L789&lt;&gt;1,"Excluded",IF(Q789=0,"No direction",IF(R789&gt;0,"Better",IF(R789&lt;0,"Worse","No change"))))</f>
        <v>No direction</v>
      </c>
      <c r="T789" s="12" t="s">
        <v>328</v>
      </c>
      <c r="U789" s="12" t="str">
        <f aca="false">C789&amp;"|"&amp;E789</f>
        <v>F9_12|CHE</v>
      </c>
    </row>
    <row r="790" customFormat="false" ht="15" hidden="false" customHeight="false" outlineLevel="0" collapsed="false">
      <c r="A790" s="12" t="n">
        <v>9</v>
      </c>
      <c r="B790" s="12" t="s">
        <v>43</v>
      </c>
      <c r="C790" s="12" t="s">
        <v>197</v>
      </c>
      <c r="D790" s="12" t="s">
        <v>198</v>
      </c>
      <c r="E790" s="12" t="s">
        <v>287</v>
      </c>
      <c r="F790" s="12" t="s">
        <v>34</v>
      </c>
      <c r="G790" s="12" t="n">
        <v>14</v>
      </c>
      <c r="H790" s="12" t="n">
        <v>24.1</v>
      </c>
      <c r="I790" s="12" t="s">
        <v>293</v>
      </c>
      <c r="J790" s="12" t="n">
        <v>11</v>
      </c>
      <c r="K790" s="12" t="n">
        <v>4</v>
      </c>
      <c r="L790" s="28" t="n">
        <v>1</v>
      </c>
      <c r="M790" s="12" t="n">
        <f aca="false">IF(L790=1,COUNTIFS($C$2:$C$1090,C790,$L$2:$L$1090,1),"")</f>
        <v>10</v>
      </c>
      <c r="N790" s="12" t="n">
        <f aca="false">IF(L790=1,1+COUNTIFS($C$2:$C$1090,C790,$L$2:$L$1090,1,$G$2:$G$1090,"&gt;"&amp;G790),"")</f>
        <v>9</v>
      </c>
      <c r="O790" s="12" t="n">
        <f aca="false">IF(L790=1,1+COUNTIFS($C$2:$C$1090,C790,$L$2:$L$1090,1,$H$2:$H$1090,"&gt;"&amp;H790),"")</f>
        <v>4</v>
      </c>
      <c r="P790" s="12" t="n">
        <f aca="false">IF(L790=1,N790-O790,"")</f>
        <v>5</v>
      </c>
      <c r="Q790" s="12" t="n">
        <f aca="false">INDEX(Directions!$D$2:$D$100,MATCH(C790,Directions!$A$2:$A$100,0))</f>
        <v>0</v>
      </c>
      <c r="R790" s="12" t="n">
        <f aca="false">IF(L790=1,P790*Q790,"")</f>
        <v>0</v>
      </c>
      <c r="S790" s="12" t="str">
        <f aca="false">IF(L790&lt;&gt;1,"Excluded",IF(Q790=0,"No direction",IF(R790&gt;0,"Better",IF(R790&lt;0,"Worse","No change"))))</f>
        <v>No direction</v>
      </c>
      <c r="T790" s="12" t="s">
        <v>328</v>
      </c>
      <c r="U790" s="12" t="str">
        <f aca="false">C790&amp;"|"&amp;E790</f>
        <v>F9_12|DNK</v>
      </c>
    </row>
    <row r="791" customFormat="false" ht="15" hidden="false" customHeight="false" outlineLevel="0" collapsed="false">
      <c r="A791" s="12" t="n">
        <v>9</v>
      </c>
      <c r="B791" s="12" t="s">
        <v>43</v>
      </c>
      <c r="C791" s="12" t="s">
        <v>197</v>
      </c>
      <c r="D791" s="12" t="s">
        <v>198</v>
      </c>
      <c r="E791" s="12" t="s">
        <v>288</v>
      </c>
      <c r="F791" s="12" t="s">
        <v>35</v>
      </c>
      <c r="G791" s="12" t="n">
        <v>29</v>
      </c>
      <c r="H791" s="12" t="n">
        <v>23</v>
      </c>
      <c r="I791" s="12" t="s">
        <v>294</v>
      </c>
      <c r="J791" s="12" t="n">
        <v>4</v>
      </c>
      <c r="K791" s="12" t="n">
        <v>5</v>
      </c>
      <c r="L791" s="28" t="n">
        <v>1</v>
      </c>
      <c r="M791" s="12" t="n">
        <f aca="false">IF(L791=1,COUNTIFS($C$2:$C$1090,C791,$L$2:$L$1090,1),"")</f>
        <v>10</v>
      </c>
      <c r="N791" s="12" t="n">
        <f aca="false">IF(L791=1,1+COUNTIFS($C$2:$C$1090,C791,$L$2:$L$1090,1,$G$2:$G$1090,"&gt;"&amp;G791),"")</f>
        <v>4</v>
      </c>
      <c r="O791" s="12" t="n">
        <f aca="false">IF(L791=1,1+COUNTIFS($C$2:$C$1090,C791,$L$2:$L$1090,1,$H$2:$H$1090,"&gt;"&amp;H791),"")</f>
        <v>5</v>
      </c>
      <c r="P791" s="12" t="n">
        <f aca="false">IF(L791=1,N791-O791,"")</f>
        <v>-1</v>
      </c>
      <c r="Q791" s="12" t="n">
        <f aca="false">INDEX(Directions!$D$2:$D$100,MATCH(C791,Directions!$A$2:$A$100,0))</f>
        <v>0</v>
      </c>
      <c r="R791" s="12" t="n">
        <f aca="false">IF(L791=1,P791*Q791,"")</f>
        <v>-0</v>
      </c>
      <c r="S791" s="12" t="str">
        <f aca="false">IF(L791&lt;&gt;1,"Excluded",IF(Q791=0,"No direction",IF(R791&gt;0,"Better",IF(R791&lt;0,"Worse","No change"))))</f>
        <v>No direction</v>
      </c>
      <c r="T791" s="12" t="s">
        <v>328</v>
      </c>
      <c r="U791" s="12" t="str">
        <f aca="false">C791&amp;"|"&amp;E791</f>
        <v>F9_12|CAN</v>
      </c>
    </row>
    <row r="792" customFormat="false" ht="15" hidden="false" customHeight="false" outlineLevel="0" collapsed="false">
      <c r="A792" s="12" t="n">
        <v>9</v>
      </c>
      <c r="B792" s="12" t="s">
        <v>43</v>
      </c>
      <c r="C792" s="12" t="s">
        <v>197</v>
      </c>
      <c r="D792" s="12" t="s">
        <v>198</v>
      </c>
      <c r="E792" s="12" t="s">
        <v>289</v>
      </c>
      <c r="F792" s="12" t="s">
        <v>36</v>
      </c>
      <c r="G792" s="12" t="n">
        <v>33</v>
      </c>
      <c r="H792" s="12" t="n">
        <v>16.9</v>
      </c>
      <c r="I792" s="12" t="s">
        <v>293</v>
      </c>
      <c r="J792" s="12" t="n">
        <v>3</v>
      </c>
      <c r="K792" s="12" t="n">
        <v>9</v>
      </c>
      <c r="L792" s="28" t="n">
        <v>1</v>
      </c>
      <c r="M792" s="12" t="n">
        <f aca="false">IF(L792=1,COUNTIFS($C$2:$C$1090,C792,$L$2:$L$1090,1),"")</f>
        <v>10</v>
      </c>
      <c r="N792" s="12" t="n">
        <f aca="false">IF(L792=1,1+COUNTIFS($C$2:$C$1090,C792,$L$2:$L$1090,1,$G$2:$G$1090,"&gt;"&amp;G792),"")</f>
        <v>2</v>
      </c>
      <c r="O792" s="12" t="n">
        <f aca="false">IF(L792=1,1+COUNTIFS($C$2:$C$1090,C792,$L$2:$L$1090,1,$H$2:$H$1090,"&gt;"&amp;H792),"")</f>
        <v>9</v>
      </c>
      <c r="P792" s="12" t="n">
        <f aca="false">IF(L792=1,N792-O792,"")</f>
        <v>-7</v>
      </c>
      <c r="Q792" s="12" t="n">
        <f aca="false">INDEX(Directions!$D$2:$D$100,MATCH(C792,Directions!$A$2:$A$100,0))</f>
        <v>0</v>
      </c>
      <c r="R792" s="12" t="n">
        <f aca="false">IF(L792=1,P792*Q792,"")</f>
        <v>-0</v>
      </c>
      <c r="S792" s="12" t="str">
        <f aca="false">IF(L792&lt;&gt;1,"Excluded",IF(Q792=0,"No direction",IF(R792&gt;0,"Better",IF(R792&lt;0,"Worse","No change"))))</f>
        <v>No direction</v>
      </c>
      <c r="T792" s="12" t="s">
        <v>328</v>
      </c>
      <c r="U792" s="12" t="str">
        <f aca="false">C792&amp;"|"&amp;E792</f>
        <v>F9_12|JPN</v>
      </c>
    </row>
    <row r="793" customFormat="false" ht="15" hidden="false" customHeight="false" outlineLevel="0" collapsed="false">
      <c r="A793" s="12" t="n">
        <v>9</v>
      </c>
      <c r="B793" s="12" t="s">
        <v>43</v>
      </c>
      <c r="C793" s="12" t="s">
        <v>197</v>
      </c>
      <c r="D793" s="12" t="s">
        <v>198</v>
      </c>
      <c r="E793" s="12" t="s">
        <v>290</v>
      </c>
      <c r="F793" s="12" t="s">
        <v>37</v>
      </c>
      <c r="G793" s="12" t="n">
        <v>15</v>
      </c>
      <c r="H793" s="12" t="n">
        <v>15.5</v>
      </c>
      <c r="I793" s="12" t="s">
        <v>282</v>
      </c>
      <c r="J793" s="12" t="n">
        <v>9</v>
      </c>
      <c r="K793" s="12" t="n">
        <v>10</v>
      </c>
      <c r="L793" s="28" t="n">
        <v>1</v>
      </c>
      <c r="M793" s="12" t="n">
        <f aca="false">IF(L793=1,COUNTIFS($C$2:$C$1090,C793,$L$2:$L$1090,1),"")</f>
        <v>10</v>
      </c>
      <c r="N793" s="12" t="n">
        <f aca="false">IF(L793=1,1+COUNTIFS($C$2:$C$1090,C793,$L$2:$L$1090,1,$G$2:$G$1090,"&gt;"&amp;G793),"")</f>
        <v>7</v>
      </c>
      <c r="O793" s="12" t="n">
        <f aca="false">IF(L793=1,1+COUNTIFS($C$2:$C$1090,C793,$L$2:$L$1090,1,$H$2:$H$1090,"&gt;"&amp;H793),"")</f>
        <v>10</v>
      </c>
      <c r="P793" s="12" t="n">
        <f aca="false">IF(L793=1,N793-O793,"")</f>
        <v>-3</v>
      </c>
      <c r="Q793" s="12" t="n">
        <f aca="false">INDEX(Directions!$D$2:$D$100,MATCH(C793,Directions!$A$2:$A$100,0))</f>
        <v>0</v>
      </c>
      <c r="R793" s="12" t="n">
        <f aca="false">IF(L793=1,P793*Q793,"")</f>
        <v>-0</v>
      </c>
      <c r="S793" s="12" t="str">
        <f aca="false">IF(L793&lt;&gt;1,"Excluded",IF(Q793=0,"No direction",IF(R793&gt;0,"Better",IF(R793&lt;0,"Worse","No change"))))</f>
        <v>No direction</v>
      </c>
      <c r="T793" s="12" t="s">
        <v>328</v>
      </c>
      <c r="U793" s="12" t="str">
        <f aca="false">C793&amp;"|"&amp;E793</f>
        <v>F9_12|AUS</v>
      </c>
    </row>
    <row r="794" customFormat="false" ht="15" hidden="false" customHeight="false" outlineLevel="0" collapsed="false">
      <c r="A794" s="12" t="n">
        <v>9</v>
      </c>
      <c r="B794" s="12" t="s">
        <v>43</v>
      </c>
      <c r="C794" s="12" t="s">
        <v>199</v>
      </c>
      <c r="D794" s="12" t="s">
        <v>200</v>
      </c>
      <c r="E794" s="12" t="s">
        <v>281</v>
      </c>
      <c r="F794" s="12" t="s">
        <v>27</v>
      </c>
      <c r="G794" s="12" t="n">
        <v>24</v>
      </c>
      <c r="H794" s="12" t="s">
        <v>302</v>
      </c>
      <c r="I794" s="12"/>
      <c r="J794" s="12" t="n">
        <v>4</v>
      </c>
      <c r="K794" s="12" t="s">
        <v>302</v>
      </c>
      <c r="L794" s="28" t="n">
        <v>0</v>
      </c>
      <c r="M794" s="12" t="str">
        <f aca="false">IF(L794=1,COUNTIFS($C$2:$C$1090,C794,$L$2:$L$1090,1),"")</f>
        <v/>
      </c>
      <c r="N794" s="12" t="str">
        <f aca="false">IF(L794=1,1+COUNTIFS($C$2:$C$1090,C794,$L$2:$L$1090,1,$G$2:$G$1090,"&gt;"&amp;G794),"")</f>
        <v/>
      </c>
      <c r="O794" s="12" t="str">
        <f aca="false">IF(L794=1,1+COUNTIFS($C$2:$C$1090,C794,$L$2:$L$1090,1,$H$2:$H$1090,"&gt;"&amp;H794),"")</f>
        <v/>
      </c>
      <c r="P794" s="12" t="str">
        <f aca="false">IF(L794=1,N794-O794,"")</f>
        <v/>
      </c>
      <c r="Q794" s="12" t="n">
        <f aca="false">INDEX(Directions!$D$2:$D$100,MATCH(C794,Directions!$A$2:$A$100,0))</f>
        <v>-1</v>
      </c>
      <c r="R794" s="12" t="str">
        <f aca="false">IF(L794=1,P794*Q794,"")</f>
        <v/>
      </c>
      <c r="S794" s="12" t="str">
        <f aca="false">IF(L794&lt;&gt;1,"Excluded",IF(Q794=0,"No direction",IF(R794&gt;0,"Better",IF(R794&lt;0,"Worse","No change"))))</f>
        <v>Excluded</v>
      </c>
      <c r="T794" s="12" t="s">
        <v>303</v>
      </c>
      <c r="U794" s="12" t="str">
        <f aca="false">C794&amp;"|"&amp;E794</f>
        <v>F9_13|USA</v>
      </c>
    </row>
    <row r="795" customFormat="false" ht="15" hidden="false" customHeight="false" outlineLevel="0" collapsed="false">
      <c r="A795" s="12" t="n">
        <v>9</v>
      </c>
      <c r="B795" s="12" t="s">
        <v>43</v>
      </c>
      <c r="C795" s="12" t="s">
        <v>199</v>
      </c>
      <c r="D795" s="12" t="s">
        <v>200</v>
      </c>
      <c r="E795" s="12" t="s">
        <v>283</v>
      </c>
      <c r="F795" s="12" t="s">
        <v>28</v>
      </c>
      <c r="G795" s="12" t="n">
        <v>20.1</v>
      </c>
      <c r="H795" s="12" t="n">
        <v>15.6</v>
      </c>
      <c r="I795" s="12" t="s">
        <v>305</v>
      </c>
      <c r="J795" s="12" t="n">
        <v>5</v>
      </c>
      <c r="K795" s="12" t="n">
        <v>3</v>
      </c>
      <c r="L795" s="28" t="n">
        <v>1</v>
      </c>
      <c r="M795" s="12" t="n">
        <f aca="false">IF(L795=1,COUNTIFS($C$2:$C$1090,C795,$L$2:$L$1090,1),"")</f>
        <v>8</v>
      </c>
      <c r="N795" s="12" t="n">
        <f aca="false">IF(L795=1,1+COUNTIFS($C$2:$C$1090,C795,$L$2:$L$1090,1,$G$2:$G$1090,"&gt;"&amp;G795),"")</f>
        <v>4</v>
      </c>
      <c r="O795" s="12" t="n">
        <f aca="false">IF(L795=1,1+COUNTIFS($C$2:$C$1090,C795,$L$2:$L$1090,1,$H$2:$H$1090,"&gt;"&amp;H795),"")</f>
        <v>3</v>
      </c>
      <c r="P795" s="12" t="n">
        <f aca="false">IF(L795=1,N795-O795,"")</f>
        <v>1</v>
      </c>
      <c r="Q795" s="12" t="n">
        <f aca="false">INDEX(Directions!$D$2:$D$100,MATCH(C795,Directions!$A$2:$A$100,0))</f>
        <v>-1</v>
      </c>
      <c r="R795" s="12" t="n">
        <f aca="false">IF(L795=1,P795*Q795,"")</f>
        <v>-1</v>
      </c>
      <c r="S795" s="12" t="str">
        <f aca="false">IF(L795&lt;&gt;1,"Excluded",IF(Q795=0,"No direction",IF(R795&gt;0,"Better",IF(R795&lt;0,"Worse","No change"))))</f>
        <v>Worse</v>
      </c>
      <c r="T795" s="12" t="s">
        <v>329</v>
      </c>
      <c r="U795" s="12" t="str">
        <f aca="false">C795&amp;"|"&amp;E795</f>
        <v>F9_13|GBR</v>
      </c>
    </row>
    <row r="796" customFormat="false" ht="15" hidden="false" customHeight="false" outlineLevel="0" collapsed="false">
      <c r="A796" s="12" t="n">
        <v>9</v>
      </c>
      <c r="B796" s="12" t="s">
        <v>43</v>
      </c>
      <c r="C796" s="12" t="s">
        <v>199</v>
      </c>
      <c r="D796" s="12" t="s">
        <v>200</v>
      </c>
      <c r="E796" s="12" t="s">
        <v>284</v>
      </c>
      <c r="F796" s="12" t="s">
        <v>29</v>
      </c>
      <c r="G796" s="12" t="n">
        <v>14.4</v>
      </c>
      <c r="H796" s="12" t="n">
        <v>12.1</v>
      </c>
      <c r="I796" s="12" t="s">
        <v>293</v>
      </c>
      <c r="J796" s="12" t="n">
        <v>7</v>
      </c>
      <c r="K796" s="12" t="n">
        <v>5</v>
      </c>
      <c r="L796" s="28" t="n">
        <v>1</v>
      </c>
      <c r="M796" s="12" t="n">
        <f aca="false">IF(L796=1,COUNTIFS($C$2:$C$1090,C796,$L$2:$L$1090,1),"")</f>
        <v>8</v>
      </c>
      <c r="N796" s="12" t="n">
        <f aca="false">IF(L796=1,1+COUNTIFS($C$2:$C$1090,C796,$L$2:$L$1090,1,$G$2:$G$1090,"&gt;"&amp;G796),"")</f>
        <v>6</v>
      </c>
      <c r="O796" s="12" t="n">
        <f aca="false">IF(L796=1,1+COUNTIFS($C$2:$C$1090,C796,$L$2:$L$1090,1,$H$2:$H$1090,"&gt;"&amp;H796),"")</f>
        <v>5</v>
      </c>
      <c r="P796" s="12" t="n">
        <f aca="false">IF(L796=1,N796-O796,"")</f>
        <v>1</v>
      </c>
      <c r="Q796" s="12" t="n">
        <f aca="false">INDEX(Directions!$D$2:$D$100,MATCH(C796,Directions!$A$2:$A$100,0))</f>
        <v>-1</v>
      </c>
      <c r="R796" s="12" t="n">
        <f aca="false">IF(L796=1,P796*Q796,"")</f>
        <v>-1</v>
      </c>
      <c r="S796" s="12" t="str">
        <f aca="false">IF(L796&lt;&gt;1,"Excluded",IF(Q796=0,"No direction",IF(R796&gt;0,"Better",IF(R796&lt;0,"Worse","No change"))))</f>
        <v>Worse</v>
      </c>
      <c r="T796" s="12" t="s">
        <v>329</v>
      </c>
      <c r="U796" s="12" t="str">
        <f aca="false">C796&amp;"|"&amp;E796</f>
        <v>F9_13|DEU</v>
      </c>
    </row>
    <row r="797" customFormat="false" ht="15" hidden="false" customHeight="false" outlineLevel="0" collapsed="false">
      <c r="A797" s="12" t="n">
        <v>9</v>
      </c>
      <c r="B797" s="12" t="s">
        <v>43</v>
      </c>
      <c r="C797" s="12" t="s">
        <v>199</v>
      </c>
      <c r="D797" s="12" t="s">
        <v>200</v>
      </c>
      <c r="E797" s="12" t="s">
        <v>285</v>
      </c>
      <c r="F797" s="12" t="s">
        <v>30</v>
      </c>
      <c r="G797" s="12" t="n">
        <v>12.9</v>
      </c>
      <c r="H797" s="12" t="n">
        <v>9.6</v>
      </c>
      <c r="I797" s="12" t="s">
        <v>294</v>
      </c>
      <c r="J797" s="12" t="n">
        <v>8</v>
      </c>
      <c r="K797" s="12" t="n">
        <v>8</v>
      </c>
      <c r="L797" s="28" t="n">
        <v>1</v>
      </c>
      <c r="M797" s="12" t="n">
        <f aca="false">IF(L797=1,COUNTIFS($C$2:$C$1090,C797,$L$2:$L$1090,1),"")</f>
        <v>8</v>
      </c>
      <c r="N797" s="12" t="n">
        <f aca="false">IF(L797=1,1+COUNTIFS($C$2:$C$1090,C797,$L$2:$L$1090,1,$G$2:$G$1090,"&gt;"&amp;G797),"")</f>
        <v>7</v>
      </c>
      <c r="O797" s="12" t="n">
        <f aca="false">IF(L797=1,1+COUNTIFS($C$2:$C$1090,C797,$L$2:$L$1090,1,$H$2:$H$1090,"&gt;"&amp;H797),"")</f>
        <v>7</v>
      </c>
      <c r="P797" s="12" t="n">
        <f aca="false">IF(L797=1,N797-O797,"")</f>
        <v>0</v>
      </c>
      <c r="Q797" s="12" t="n">
        <f aca="false">INDEX(Directions!$D$2:$D$100,MATCH(C797,Directions!$A$2:$A$100,0))</f>
        <v>-1</v>
      </c>
      <c r="R797" s="12" t="n">
        <f aca="false">IF(L797=1,P797*Q797,"")</f>
        <v>-0</v>
      </c>
      <c r="S797" s="12" t="str">
        <f aca="false">IF(L797&lt;&gt;1,"Excluded",IF(Q797=0,"No direction",IF(R797&gt;0,"Better",IF(R797&lt;0,"Worse","No change"))))</f>
        <v>No change</v>
      </c>
      <c r="T797" s="12" t="s">
        <v>329</v>
      </c>
      <c r="U797" s="12" t="str">
        <f aca="false">C797&amp;"|"&amp;E797</f>
        <v>F9_13|SWE</v>
      </c>
    </row>
    <row r="798" customFormat="false" ht="15" hidden="false" customHeight="false" outlineLevel="0" collapsed="false">
      <c r="A798" s="12" t="n">
        <v>9</v>
      </c>
      <c r="B798" s="12" t="s">
        <v>43</v>
      </c>
      <c r="C798" s="12" t="s">
        <v>199</v>
      </c>
      <c r="D798" s="12" t="s">
        <v>200</v>
      </c>
      <c r="E798" s="12" t="s">
        <v>286</v>
      </c>
      <c r="F798" s="12" t="s">
        <v>31</v>
      </c>
      <c r="G798" s="12" t="n">
        <v>29.9</v>
      </c>
      <c r="H798" s="12" t="n">
        <v>24.7</v>
      </c>
      <c r="I798" s="12" t="s">
        <v>293</v>
      </c>
      <c r="J798" s="12" t="n">
        <v>1</v>
      </c>
      <c r="K798" s="12" t="n">
        <v>1</v>
      </c>
      <c r="L798" s="28" t="n">
        <v>1</v>
      </c>
      <c r="M798" s="12" t="n">
        <f aca="false">IF(L798=1,COUNTIFS($C$2:$C$1090,C798,$L$2:$L$1090,1),"")</f>
        <v>8</v>
      </c>
      <c r="N798" s="12" t="n">
        <f aca="false">IF(L798=1,1+COUNTIFS($C$2:$C$1090,C798,$L$2:$L$1090,1,$G$2:$G$1090,"&gt;"&amp;G798),"")</f>
        <v>1</v>
      </c>
      <c r="O798" s="12" t="n">
        <f aca="false">IF(L798=1,1+COUNTIFS($C$2:$C$1090,C798,$L$2:$L$1090,1,$H$2:$H$1090,"&gt;"&amp;H798),"")</f>
        <v>1</v>
      </c>
      <c r="P798" s="12" t="n">
        <f aca="false">IF(L798=1,N798-O798,"")</f>
        <v>0</v>
      </c>
      <c r="Q798" s="12" t="n">
        <f aca="false">INDEX(Directions!$D$2:$D$100,MATCH(C798,Directions!$A$2:$A$100,0))</f>
        <v>-1</v>
      </c>
      <c r="R798" s="12" t="n">
        <f aca="false">IF(L798=1,P798*Q798,"")</f>
        <v>-0</v>
      </c>
      <c r="S798" s="12" t="str">
        <f aca="false">IF(L798&lt;&gt;1,"Excluded",IF(Q798=0,"No direction",IF(R798&gt;0,"Better",IF(R798&lt;0,"Worse","No change"))))</f>
        <v>No change</v>
      </c>
      <c r="T798" s="12" t="s">
        <v>329</v>
      </c>
      <c r="U798" s="12" t="str">
        <f aca="false">C798&amp;"|"&amp;E798</f>
        <v>F9_13|FRA</v>
      </c>
    </row>
    <row r="799" customFormat="false" ht="15" hidden="false" customHeight="false" outlineLevel="0" collapsed="false">
      <c r="A799" s="12" t="n">
        <v>9</v>
      </c>
      <c r="B799" s="12" t="s">
        <v>43</v>
      </c>
      <c r="C799" s="12" t="s">
        <v>199</v>
      </c>
      <c r="D799" s="12" t="s">
        <v>200</v>
      </c>
      <c r="E799" s="12" t="s">
        <v>32</v>
      </c>
      <c r="F799" s="12" t="s">
        <v>32</v>
      </c>
      <c r="G799" s="12" t="n">
        <v>10.7</v>
      </c>
      <c r="H799" s="12" t="n">
        <v>9</v>
      </c>
      <c r="I799" s="12" t="s">
        <v>293</v>
      </c>
      <c r="J799" s="12" t="n">
        <v>9</v>
      </c>
      <c r="K799" s="12" t="n">
        <v>9</v>
      </c>
      <c r="L799" s="28" t="n">
        <v>1</v>
      </c>
      <c r="M799" s="12" t="n">
        <f aca="false">IF(L799=1,COUNTIFS($C$2:$C$1090,C799,$L$2:$L$1090,1),"")</f>
        <v>8</v>
      </c>
      <c r="N799" s="12" t="n">
        <f aca="false">IF(L799=1,1+COUNTIFS($C$2:$C$1090,C799,$L$2:$L$1090,1,$G$2:$G$1090,"&gt;"&amp;G799),"")</f>
        <v>8</v>
      </c>
      <c r="O799" s="12" t="n">
        <f aca="false">IF(L799=1,1+COUNTIFS($C$2:$C$1090,C799,$L$2:$L$1090,1,$H$2:$H$1090,"&gt;"&amp;H799),"")</f>
        <v>8</v>
      </c>
      <c r="P799" s="12" t="n">
        <f aca="false">IF(L799=1,N799-O799,"")</f>
        <v>0</v>
      </c>
      <c r="Q799" s="12" t="n">
        <f aca="false">INDEX(Directions!$D$2:$D$100,MATCH(C799,Directions!$A$2:$A$100,0))</f>
        <v>-1</v>
      </c>
      <c r="R799" s="12" t="n">
        <f aca="false">IF(L799=1,P799*Q799,"")</f>
        <v>-0</v>
      </c>
      <c r="S799" s="12" t="str">
        <f aca="false">IF(L799&lt;&gt;1,"Excluded",IF(Q799=0,"No direction",IF(R799&gt;0,"Better",IF(R799&lt;0,"Worse","No change"))))</f>
        <v>No change</v>
      </c>
      <c r="T799" s="12" t="s">
        <v>329</v>
      </c>
      <c r="U799" s="12" t="str">
        <f aca="false">C799&amp;"|"&amp;E799</f>
        <v>F9_13|NLD</v>
      </c>
    </row>
    <row r="800" customFormat="false" ht="15" hidden="false" customHeight="false" outlineLevel="0" collapsed="false">
      <c r="A800" s="12" t="n">
        <v>9</v>
      </c>
      <c r="B800" s="12" t="s">
        <v>43</v>
      </c>
      <c r="C800" s="12" t="s">
        <v>199</v>
      </c>
      <c r="D800" s="12" t="s">
        <v>200</v>
      </c>
      <c r="E800" s="12" t="s">
        <v>33</v>
      </c>
      <c r="F800" s="12" t="s">
        <v>33</v>
      </c>
      <c r="G800" s="12" t="s">
        <v>302</v>
      </c>
      <c r="H800" s="12" t="s">
        <v>302</v>
      </c>
      <c r="I800" s="12"/>
      <c r="J800" s="12" t="s">
        <v>302</v>
      </c>
      <c r="K800" s="12" t="s">
        <v>302</v>
      </c>
      <c r="L800" s="28" t="n">
        <v>0</v>
      </c>
      <c r="M800" s="12" t="str">
        <f aca="false">IF(L800=1,COUNTIFS($C$2:$C$1090,C800,$L$2:$L$1090,1),"")</f>
        <v/>
      </c>
      <c r="N800" s="12" t="str">
        <f aca="false">IF(L800=1,1+COUNTIFS($C$2:$C$1090,C800,$L$2:$L$1090,1,$G$2:$G$1090,"&gt;"&amp;G800),"")</f>
        <v/>
      </c>
      <c r="O800" s="12" t="str">
        <f aca="false">IF(L800=1,1+COUNTIFS($C$2:$C$1090,C800,$L$2:$L$1090,1,$H$2:$H$1090,"&gt;"&amp;H800),"")</f>
        <v/>
      </c>
      <c r="P800" s="12" t="str">
        <f aca="false">IF(L800=1,N800-O800,"")</f>
        <v/>
      </c>
      <c r="Q800" s="12" t="n">
        <f aca="false">INDEX(Directions!$D$2:$D$100,MATCH(C800,Directions!$A$2:$A$100,0))</f>
        <v>-1</v>
      </c>
      <c r="R800" s="12" t="str">
        <f aca="false">IF(L800=1,P800*Q800,"")</f>
        <v/>
      </c>
      <c r="S800" s="12" t="str">
        <f aca="false">IF(L800&lt;&gt;1,"Excluded",IF(Q800=0,"No direction",IF(R800&gt;0,"Better",IF(R800&lt;0,"Worse","No change"))))</f>
        <v>Excluded</v>
      </c>
      <c r="T800" s="12" t="s">
        <v>304</v>
      </c>
      <c r="U800" s="12" t="str">
        <f aca="false">C800&amp;"|"&amp;E800</f>
        <v>F9_13|CHE</v>
      </c>
    </row>
    <row r="801" customFormat="false" ht="15" hidden="false" customHeight="false" outlineLevel="0" collapsed="false">
      <c r="A801" s="12" t="n">
        <v>9</v>
      </c>
      <c r="B801" s="12" t="s">
        <v>43</v>
      </c>
      <c r="C801" s="12" t="s">
        <v>199</v>
      </c>
      <c r="D801" s="12" t="s">
        <v>200</v>
      </c>
      <c r="E801" s="12" t="s">
        <v>287</v>
      </c>
      <c r="F801" s="12" t="s">
        <v>34</v>
      </c>
      <c r="G801" s="12" t="n">
        <v>16.6</v>
      </c>
      <c r="H801" s="12" t="n">
        <v>14.4</v>
      </c>
      <c r="I801" s="12" t="s">
        <v>293</v>
      </c>
      <c r="J801" s="12" t="n">
        <v>6</v>
      </c>
      <c r="K801" s="12" t="n">
        <v>4</v>
      </c>
      <c r="L801" s="28" t="n">
        <v>1</v>
      </c>
      <c r="M801" s="12" t="n">
        <f aca="false">IF(L801=1,COUNTIFS($C$2:$C$1090,C801,$L$2:$L$1090,1),"")</f>
        <v>8</v>
      </c>
      <c r="N801" s="12" t="n">
        <f aca="false">IF(L801=1,1+COUNTIFS($C$2:$C$1090,C801,$L$2:$L$1090,1,$G$2:$G$1090,"&gt;"&amp;G801),"")</f>
        <v>5</v>
      </c>
      <c r="O801" s="12" t="n">
        <f aca="false">IF(L801=1,1+COUNTIFS($C$2:$C$1090,C801,$L$2:$L$1090,1,$H$2:$H$1090,"&gt;"&amp;H801),"")</f>
        <v>4</v>
      </c>
      <c r="P801" s="12" t="n">
        <f aca="false">IF(L801=1,N801-O801,"")</f>
        <v>1</v>
      </c>
      <c r="Q801" s="12" t="n">
        <f aca="false">INDEX(Directions!$D$2:$D$100,MATCH(C801,Directions!$A$2:$A$100,0))</f>
        <v>-1</v>
      </c>
      <c r="R801" s="12" t="n">
        <f aca="false">IF(L801=1,P801*Q801,"")</f>
        <v>-1</v>
      </c>
      <c r="S801" s="12" t="str">
        <f aca="false">IF(L801&lt;&gt;1,"Excluded",IF(Q801=0,"No direction",IF(R801&gt;0,"Better",IF(R801&lt;0,"Worse","No change"))))</f>
        <v>Worse</v>
      </c>
      <c r="T801" s="12" t="s">
        <v>329</v>
      </c>
      <c r="U801" s="12" t="str">
        <f aca="false">C801&amp;"|"&amp;E801</f>
        <v>F9_13|DNK</v>
      </c>
    </row>
    <row r="802" customFormat="false" ht="15" hidden="false" customHeight="false" outlineLevel="0" collapsed="false">
      <c r="A802" s="12" t="n">
        <v>9</v>
      </c>
      <c r="B802" s="12" t="s">
        <v>43</v>
      </c>
      <c r="C802" s="12" t="s">
        <v>199</v>
      </c>
      <c r="D802" s="12" t="s">
        <v>200</v>
      </c>
      <c r="E802" s="12" t="s">
        <v>288</v>
      </c>
      <c r="F802" s="12" t="s">
        <v>35</v>
      </c>
      <c r="G802" s="12" t="n">
        <v>25</v>
      </c>
      <c r="H802" s="12" t="n">
        <v>10.5</v>
      </c>
      <c r="I802" s="12" t="s">
        <v>291</v>
      </c>
      <c r="J802" s="12" t="n">
        <v>3</v>
      </c>
      <c r="K802" s="12" t="n">
        <v>6</v>
      </c>
      <c r="L802" s="28" t="n">
        <v>1</v>
      </c>
      <c r="M802" s="12" t="n">
        <f aca="false">IF(L802=1,COUNTIFS($C$2:$C$1090,C802,$L$2:$L$1090,1),"")</f>
        <v>8</v>
      </c>
      <c r="N802" s="12" t="n">
        <f aca="false">IF(L802=1,1+COUNTIFS($C$2:$C$1090,C802,$L$2:$L$1090,1,$G$2:$G$1090,"&gt;"&amp;G802),"")</f>
        <v>3</v>
      </c>
      <c r="O802" s="12" t="n">
        <f aca="false">IF(L802=1,1+COUNTIFS($C$2:$C$1090,C802,$L$2:$L$1090,1,$H$2:$H$1090,"&gt;"&amp;H802),"")</f>
        <v>6</v>
      </c>
      <c r="P802" s="12" t="n">
        <f aca="false">IF(L802=1,N802-O802,"")</f>
        <v>-3</v>
      </c>
      <c r="Q802" s="12" t="n">
        <f aca="false">INDEX(Directions!$D$2:$D$100,MATCH(C802,Directions!$A$2:$A$100,0))</f>
        <v>-1</v>
      </c>
      <c r="R802" s="12" t="n">
        <f aca="false">IF(L802=1,P802*Q802,"")</f>
        <v>3</v>
      </c>
      <c r="S802" s="12" t="str">
        <f aca="false">IF(L802&lt;&gt;1,"Excluded",IF(Q802=0,"No direction",IF(R802&gt;0,"Better",IF(R802&lt;0,"Worse","No change"))))</f>
        <v>Better</v>
      </c>
      <c r="T802" s="12" t="s">
        <v>329</v>
      </c>
      <c r="U802" s="12" t="str">
        <f aca="false">C802&amp;"|"&amp;E802</f>
        <v>F9_13|CAN</v>
      </c>
    </row>
    <row r="803" customFormat="false" ht="15" hidden="false" customHeight="false" outlineLevel="0" collapsed="false">
      <c r="A803" s="12" t="n">
        <v>9</v>
      </c>
      <c r="B803" s="12" t="s">
        <v>43</v>
      </c>
      <c r="C803" s="12" t="s">
        <v>199</v>
      </c>
      <c r="D803" s="12" t="s">
        <v>200</v>
      </c>
      <c r="E803" s="12" t="s">
        <v>289</v>
      </c>
      <c r="F803" s="12" t="s">
        <v>36</v>
      </c>
      <c r="G803" s="12" t="s">
        <v>302</v>
      </c>
      <c r="H803" s="12" t="n">
        <v>9.9</v>
      </c>
      <c r="I803" s="12" t="s">
        <v>295</v>
      </c>
      <c r="J803" s="12" t="s">
        <v>302</v>
      </c>
      <c r="K803" s="12" t="n">
        <v>7</v>
      </c>
      <c r="L803" s="28" t="n">
        <v>0</v>
      </c>
      <c r="M803" s="12" t="str">
        <f aca="false">IF(L803=1,COUNTIFS($C$2:$C$1090,C803,$L$2:$L$1090,1),"")</f>
        <v/>
      </c>
      <c r="N803" s="12" t="str">
        <f aca="false">IF(L803=1,1+COUNTIFS($C$2:$C$1090,C803,$L$2:$L$1090,1,$G$2:$G$1090,"&gt;"&amp;G803),"")</f>
        <v/>
      </c>
      <c r="O803" s="12" t="str">
        <f aca="false">IF(L803=1,1+COUNTIFS($C$2:$C$1090,C803,$L$2:$L$1090,1,$H$2:$H$1090,"&gt;"&amp;H803),"")</f>
        <v/>
      </c>
      <c r="P803" s="12" t="str">
        <f aca="false">IF(L803=1,N803-O803,"")</f>
        <v/>
      </c>
      <c r="Q803" s="12" t="n">
        <f aca="false">INDEX(Directions!$D$2:$D$100,MATCH(C803,Directions!$A$2:$A$100,0))</f>
        <v>-1</v>
      </c>
      <c r="R803" s="12" t="str">
        <f aca="false">IF(L803=1,P803*Q803,"")</f>
        <v/>
      </c>
      <c r="S803" s="12" t="str">
        <f aca="false">IF(L803&lt;&gt;1,"Excluded",IF(Q803=0,"No direction",IF(R803&gt;0,"Better",IF(R803&lt;0,"Worse","No change"))))</f>
        <v>Excluded</v>
      </c>
      <c r="T803" s="12" t="s">
        <v>311</v>
      </c>
      <c r="U803" s="12" t="str">
        <f aca="false">C803&amp;"|"&amp;E803</f>
        <v>F9_13|JPN</v>
      </c>
    </row>
    <row r="804" customFormat="false" ht="15" hidden="false" customHeight="false" outlineLevel="0" collapsed="false">
      <c r="A804" s="12" t="n">
        <v>9</v>
      </c>
      <c r="B804" s="12" t="s">
        <v>43</v>
      </c>
      <c r="C804" s="12" t="s">
        <v>199</v>
      </c>
      <c r="D804" s="12" t="s">
        <v>200</v>
      </c>
      <c r="E804" s="12" t="s">
        <v>290</v>
      </c>
      <c r="F804" s="12" t="s">
        <v>37</v>
      </c>
      <c r="G804" s="12" t="n">
        <v>28.3</v>
      </c>
      <c r="H804" s="12" t="n">
        <v>19.3</v>
      </c>
      <c r="I804" s="12" t="s">
        <v>293</v>
      </c>
      <c r="J804" s="12" t="n">
        <v>2</v>
      </c>
      <c r="K804" s="12" t="n">
        <v>2</v>
      </c>
      <c r="L804" s="28" t="n">
        <v>1</v>
      </c>
      <c r="M804" s="12" t="n">
        <f aca="false">IF(L804=1,COUNTIFS($C$2:$C$1090,C804,$L$2:$L$1090,1),"")</f>
        <v>8</v>
      </c>
      <c r="N804" s="12" t="n">
        <f aca="false">IF(L804=1,1+COUNTIFS($C$2:$C$1090,C804,$L$2:$L$1090,1,$G$2:$G$1090,"&gt;"&amp;G804),"")</f>
        <v>2</v>
      </c>
      <c r="O804" s="12" t="n">
        <f aca="false">IF(L804=1,1+COUNTIFS($C$2:$C$1090,C804,$L$2:$L$1090,1,$H$2:$H$1090,"&gt;"&amp;H804),"")</f>
        <v>2</v>
      </c>
      <c r="P804" s="12" t="n">
        <f aca="false">IF(L804=1,N804-O804,"")</f>
        <v>0</v>
      </c>
      <c r="Q804" s="12" t="n">
        <f aca="false">INDEX(Directions!$D$2:$D$100,MATCH(C804,Directions!$A$2:$A$100,0))</f>
        <v>-1</v>
      </c>
      <c r="R804" s="12" t="n">
        <f aca="false">IF(L804=1,P804*Q804,"")</f>
        <v>-0</v>
      </c>
      <c r="S804" s="12" t="str">
        <f aca="false">IF(L804&lt;&gt;1,"Excluded",IF(Q804=0,"No direction",IF(R804&gt;0,"Better",IF(R804&lt;0,"Worse","No change"))))</f>
        <v>No change</v>
      </c>
      <c r="T804" s="12" t="s">
        <v>329</v>
      </c>
      <c r="U804" s="12" t="str">
        <f aca="false">C804&amp;"|"&amp;E804</f>
        <v>F9_13|AUS</v>
      </c>
    </row>
    <row r="805" customFormat="false" ht="15" hidden="false" customHeight="false" outlineLevel="0" collapsed="false">
      <c r="A805" s="12" t="n">
        <v>10</v>
      </c>
      <c r="B805" s="12" t="s">
        <v>40</v>
      </c>
      <c r="C805" s="12" t="s">
        <v>202</v>
      </c>
      <c r="D805" s="12" t="s">
        <v>203</v>
      </c>
      <c r="E805" s="12" t="s">
        <v>281</v>
      </c>
      <c r="F805" s="12" t="s">
        <v>27</v>
      </c>
      <c r="G805" s="12" t="n">
        <v>51</v>
      </c>
      <c r="H805" s="12" t="n">
        <v>36.5</v>
      </c>
      <c r="I805" s="12" t="s">
        <v>291</v>
      </c>
      <c r="J805" s="12" t="n">
        <v>6</v>
      </c>
      <c r="K805" s="12" t="n">
        <v>6</v>
      </c>
      <c r="L805" s="28" t="n">
        <v>1</v>
      </c>
      <c r="M805" s="12" t="n">
        <f aca="false">IF(L805=1,COUNTIFS($C$2:$C$1090,C805,$L$2:$L$1090,1),"")</f>
        <v>8</v>
      </c>
      <c r="N805" s="12" t="n">
        <f aca="false">IF(L805=1,1+COUNTIFS($C$2:$C$1090,C805,$L$2:$L$1090,1,$G$2:$G$1090,"&gt;"&amp;G805),"")</f>
        <v>6</v>
      </c>
      <c r="O805" s="12" t="n">
        <f aca="false">IF(L805=1,1+COUNTIFS($C$2:$C$1090,C805,$L$2:$L$1090,1,$H$2:$H$1090,"&gt;"&amp;H805),"")</f>
        <v>5</v>
      </c>
      <c r="P805" s="12" t="n">
        <f aca="false">IF(L805=1,N805-O805,"")</f>
        <v>1</v>
      </c>
      <c r="Q805" s="12" t="n">
        <f aca="false">INDEX(Directions!$D$2:$D$100,MATCH(C805,Directions!$A$2:$A$100,0))</f>
        <v>1</v>
      </c>
      <c r="R805" s="12" t="n">
        <f aca="false">IF(L805=1,P805*Q805,"")</f>
        <v>1</v>
      </c>
      <c r="S805" s="12" t="str">
        <f aca="false">IF(L805&lt;&gt;1,"Excluded",IF(Q805=0,"No direction",IF(R805&gt;0,"Better",IF(R805&lt;0,"Worse","No change"))))</f>
        <v>Better</v>
      </c>
      <c r="T805" s="12" t="s">
        <v>330</v>
      </c>
      <c r="U805" s="12" t="str">
        <f aca="false">C805&amp;"|"&amp;E805</f>
        <v>F10_01|USA</v>
      </c>
    </row>
    <row r="806" customFormat="false" ht="15" hidden="false" customHeight="false" outlineLevel="0" collapsed="false">
      <c r="A806" s="12" t="n">
        <v>10</v>
      </c>
      <c r="B806" s="12" t="s">
        <v>40</v>
      </c>
      <c r="C806" s="12" t="s">
        <v>202</v>
      </c>
      <c r="D806" s="12" t="s">
        <v>203</v>
      </c>
      <c r="E806" s="12" t="s">
        <v>283</v>
      </c>
      <c r="F806" s="12" t="s">
        <v>28</v>
      </c>
      <c r="G806" s="12" t="n">
        <v>57</v>
      </c>
      <c r="H806" s="12" t="n">
        <v>42.3</v>
      </c>
      <c r="I806" s="12" t="s">
        <v>291</v>
      </c>
      <c r="J806" s="12" t="n">
        <v>3</v>
      </c>
      <c r="K806" s="12" t="n">
        <v>4</v>
      </c>
      <c r="L806" s="28" t="n">
        <v>1</v>
      </c>
      <c r="M806" s="12" t="n">
        <f aca="false">IF(L806=1,COUNTIFS($C$2:$C$1090,C806,$L$2:$L$1090,1),"")</f>
        <v>8</v>
      </c>
      <c r="N806" s="12" t="n">
        <f aca="false">IF(L806=1,1+COUNTIFS($C$2:$C$1090,C806,$L$2:$L$1090,1,$G$2:$G$1090,"&gt;"&amp;G806),"")</f>
        <v>3</v>
      </c>
      <c r="O806" s="12" t="n">
        <f aca="false">IF(L806=1,1+COUNTIFS($C$2:$C$1090,C806,$L$2:$L$1090,1,$H$2:$H$1090,"&gt;"&amp;H806),"")</f>
        <v>3</v>
      </c>
      <c r="P806" s="12" t="n">
        <f aca="false">IF(L806=1,N806-O806,"")</f>
        <v>0</v>
      </c>
      <c r="Q806" s="12" t="n">
        <f aca="false">INDEX(Directions!$D$2:$D$100,MATCH(C806,Directions!$A$2:$A$100,0))</f>
        <v>1</v>
      </c>
      <c r="R806" s="12" t="n">
        <f aca="false">IF(L806=1,P806*Q806,"")</f>
        <v>0</v>
      </c>
      <c r="S806" s="12" t="str">
        <f aca="false">IF(L806&lt;&gt;1,"Excluded",IF(Q806=0,"No direction",IF(R806&gt;0,"Better",IF(R806&lt;0,"Worse","No change"))))</f>
        <v>No change</v>
      </c>
      <c r="T806" s="12" t="s">
        <v>330</v>
      </c>
      <c r="U806" s="12" t="str">
        <f aca="false">C806&amp;"|"&amp;E806</f>
        <v>F10_01|GBR</v>
      </c>
    </row>
    <row r="807" customFormat="false" ht="15" hidden="false" customHeight="false" outlineLevel="0" collapsed="false">
      <c r="A807" s="12" t="n">
        <v>10</v>
      </c>
      <c r="B807" s="12" t="s">
        <v>40</v>
      </c>
      <c r="C807" s="12" t="s">
        <v>202</v>
      </c>
      <c r="D807" s="12" t="s">
        <v>203</v>
      </c>
      <c r="E807" s="12" t="s">
        <v>284</v>
      </c>
      <c r="F807" s="12" t="s">
        <v>29</v>
      </c>
      <c r="G807" s="12" t="n">
        <v>53</v>
      </c>
      <c r="H807" s="12" t="n">
        <v>49.3</v>
      </c>
      <c r="I807" s="12" t="s">
        <v>291</v>
      </c>
      <c r="J807" s="12" t="n">
        <v>5</v>
      </c>
      <c r="K807" s="12" t="n">
        <v>2</v>
      </c>
      <c r="L807" s="28" t="n">
        <v>1</v>
      </c>
      <c r="M807" s="12" t="n">
        <f aca="false">IF(L807=1,COUNTIFS($C$2:$C$1090,C807,$L$2:$L$1090,1),"")</f>
        <v>8</v>
      </c>
      <c r="N807" s="12" t="n">
        <f aca="false">IF(L807=1,1+COUNTIFS($C$2:$C$1090,C807,$L$2:$L$1090,1,$G$2:$G$1090,"&gt;"&amp;G807),"")</f>
        <v>5</v>
      </c>
      <c r="O807" s="12" t="n">
        <f aca="false">IF(L807=1,1+COUNTIFS($C$2:$C$1090,C807,$L$2:$L$1090,1,$H$2:$H$1090,"&gt;"&amp;H807),"")</f>
        <v>2</v>
      </c>
      <c r="P807" s="12" t="n">
        <f aca="false">IF(L807=1,N807-O807,"")</f>
        <v>3</v>
      </c>
      <c r="Q807" s="12" t="n">
        <f aca="false">INDEX(Directions!$D$2:$D$100,MATCH(C807,Directions!$A$2:$A$100,0))</f>
        <v>1</v>
      </c>
      <c r="R807" s="12" t="n">
        <f aca="false">IF(L807=1,P807*Q807,"")</f>
        <v>3</v>
      </c>
      <c r="S807" s="12" t="str">
        <f aca="false">IF(L807&lt;&gt;1,"Excluded",IF(Q807=0,"No direction",IF(R807&gt;0,"Better",IF(R807&lt;0,"Worse","No change"))))</f>
        <v>Better</v>
      </c>
      <c r="T807" s="12" t="s">
        <v>330</v>
      </c>
      <c r="U807" s="12" t="str">
        <f aca="false">C807&amp;"|"&amp;E807</f>
        <v>F10_01|DEU</v>
      </c>
    </row>
    <row r="808" customFormat="false" ht="15" hidden="false" customHeight="false" outlineLevel="0" collapsed="false">
      <c r="A808" s="12" t="n">
        <v>10</v>
      </c>
      <c r="B808" s="12" t="s">
        <v>40</v>
      </c>
      <c r="C808" s="12" t="s">
        <v>202</v>
      </c>
      <c r="D808" s="12" t="s">
        <v>203</v>
      </c>
      <c r="E808" s="12" t="s">
        <v>285</v>
      </c>
      <c r="F808" s="12" t="s">
        <v>30</v>
      </c>
      <c r="G808" s="12" t="n">
        <v>49</v>
      </c>
      <c r="H808" s="12" t="n">
        <v>29.6</v>
      </c>
      <c r="I808" s="12" t="s">
        <v>291</v>
      </c>
      <c r="J808" s="12" t="n">
        <v>7</v>
      </c>
      <c r="K808" s="12" t="n">
        <v>8</v>
      </c>
      <c r="L808" s="28" t="n">
        <v>1</v>
      </c>
      <c r="M808" s="12" t="n">
        <f aca="false">IF(L808=1,COUNTIFS($C$2:$C$1090,C808,$L$2:$L$1090,1),"")</f>
        <v>8</v>
      </c>
      <c r="N808" s="12" t="n">
        <f aca="false">IF(L808=1,1+COUNTIFS($C$2:$C$1090,C808,$L$2:$L$1090,1,$G$2:$G$1090,"&gt;"&amp;G808),"")</f>
        <v>7</v>
      </c>
      <c r="O808" s="12" t="n">
        <f aca="false">IF(L808=1,1+COUNTIFS($C$2:$C$1090,C808,$L$2:$L$1090,1,$H$2:$H$1090,"&gt;"&amp;H808),"")</f>
        <v>7</v>
      </c>
      <c r="P808" s="12" t="n">
        <f aca="false">IF(L808=1,N808-O808,"")</f>
        <v>0</v>
      </c>
      <c r="Q808" s="12" t="n">
        <f aca="false">INDEX(Directions!$D$2:$D$100,MATCH(C808,Directions!$A$2:$A$100,0))</f>
        <v>1</v>
      </c>
      <c r="R808" s="12" t="n">
        <f aca="false">IF(L808=1,P808*Q808,"")</f>
        <v>0</v>
      </c>
      <c r="S808" s="12" t="str">
        <f aca="false">IF(L808&lt;&gt;1,"Excluded",IF(Q808=0,"No direction",IF(R808&gt;0,"Better",IF(R808&lt;0,"Worse","No change"))))</f>
        <v>No change</v>
      </c>
      <c r="T808" s="12" t="s">
        <v>330</v>
      </c>
      <c r="U808" s="12" t="str">
        <f aca="false">C808&amp;"|"&amp;E808</f>
        <v>F10_01|SWE</v>
      </c>
    </row>
    <row r="809" customFormat="false" ht="15" hidden="false" customHeight="false" outlineLevel="0" collapsed="false">
      <c r="A809" s="12" t="n">
        <v>10</v>
      </c>
      <c r="B809" s="12" t="s">
        <v>40</v>
      </c>
      <c r="C809" s="12" t="s">
        <v>202</v>
      </c>
      <c r="D809" s="12" t="s">
        <v>203</v>
      </c>
      <c r="E809" s="12" t="s">
        <v>286</v>
      </c>
      <c r="F809" s="12" t="s">
        <v>31</v>
      </c>
      <c r="G809" s="12" t="n">
        <v>56</v>
      </c>
      <c r="H809" s="12" t="n">
        <v>34.8</v>
      </c>
      <c r="I809" s="12" t="s">
        <v>291</v>
      </c>
      <c r="J809" s="12" t="n">
        <v>4</v>
      </c>
      <c r="K809" s="12" t="n">
        <v>7</v>
      </c>
      <c r="L809" s="28" t="n">
        <v>1</v>
      </c>
      <c r="M809" s="12" t="n">
        <f aca="false">IF(L809=1,COUNTIFS($C$2:$C$1090,C809,$L$2:$L$1090,1),"")</f>
        <v>8</v>
      </c>
      <c r="N809" s="12" t="n">
        <f aca="false">IF(L809=1,1+COUNTIFS($C$2:$C$1090,C809,$L$2:$L$1090,1,$G$2:$G$1090,"&gt;"&amp;G809),"")</f>
        <v>4</v>
      </c>
      <c r="O809" s="12" t="n">
        <f aca="false">IF(L809=1,1+COUNTIFS($C$2:$C$1090,C809,$L$2:$L$1090,1,$H$2:$H$1090,"&gt;"&amp;H809),"")</f>
        <v>6</v>
      </c>
      <c r="P809" s="12" t="n">
        <f aca="false">IF(L809=1,N809-O809,"")</f>
        <v>-2</v>
      </c>
      <c r="Q809" s="12" t="n">
        <f aca="false">INDEX(Directions!$D$2:$D$100,MATCH(C809,Directions!$A$2:$A$100,0))</f>
        <v>1</v>
      </c>
      <c r="R809" s="12" t="n">
        <f aca="false">IF(L809=1,P809*Q809,"")</f>
        <v>-2</v>
      </c>
      <c r="S809" s="12" t="str">
        <f aca="false">IF(L809&lt;&gt;1,"Excluded",IF(Q809=0,"No direction",IF(R809&gt;0,"Better",IF(R809&lt;0,"Worse","No change"))))</f>
        <v>Worse</v>
      </c>
      <c r="T809" s="12" t="s">
        <v>330</v>
      </c>
      <c r="U809" s="12" t="str">
        <f aca="false">C809&amp;"|"&amp;E809</f>
        <v>F10_01|FRA</v>
      </c>
    </row>
    <row r="810" customFormat="false" ht="15" hidden="false" customHeight="false" outlineLevel="0" collapsed="false">
      <c r="A810" s="12" t="n">
        <v>10</v>
      </c>
      <c r="B810" s="12" t="s">
        <v>40</v>
      </c>
      <c r="C810" s="12" t="s">
        <v>202</v>
      </c>
      <c r="D810" s="12" t="s">
        <v>203</v>
      </c>
      <c r="E810" s="12" t="s">
        <v>32</v>
      </c>
      <c r="F810" s="12" t="s">
        <v>32</v>
      </c>
      <c r="G810" s="12" t="n">
        <v>77</v>
      </c>
      <c r="H810" s="12" t="n">
        <v>50.2</v>
      </c>
      <c r="I810" s="12" t="s">
        <v>291</v>
      </c>
      <c r="J810" s="12" t="n">
        <v>1</v>
      </c>
      <c r="K810" s="12" t="n">
        <v>1</v>
      </c>
      <c r="L810" s="28" t="n">
        <v>1</v>
      </c>
      <c r="M810" s="12" t="n">
        <f aca="false">IF(L810=1,COUNTIFS($C$2:$C$1090,C810,$L$2:$L$1090,1),"")</f>
        <v>8</v>
      </c>
      <c r="N810" s="12" t="n">
        <f aca="false">IF(L810=1,1+COUNTIFS($C$2:$C$1090,C810,$L$2:$L$1090,1,$G$2:$G$1090,"&gt;"&amp;G810),"")</f>
        <v>1</v>
      </c>
      <c r="O810" s="12" t="n">
        <f aca="false">IF(L810=1,1+COUNTIFS($C$2:$C$1090,C810,$L$2:$L$1090,1,$H$2:$H$1090,"&gt;"&amp;H810),"")</f>
        <v>1</v>
      </c>
      <c r="P810" s="12" t="n">
        <f aca="false">IF(L810=1,N810-O810,"")</f>
        <v>0</v>
      </c>
      <c r="Q810" s="12" t="n">
        <f aca="false">INDEX(Directions!$D$2:$D$100,MATCH(C810,Directions!$A$2:$A$100,0))</f>
        <v>1</v>
      </c>
      <c r="R810" s="12" t="n">
        <f aca="false">IF(L810=1,P810*Q810,"")</f>
        <v>0</v>
      </c>
      <c r="S810" s="12" t="str">
        <f aca="false">IF(L810&lt;&gt;1,"Excluded",IF(Q810=0,"No direction",IF(R810&gt;0,"Better",IF(R810&lt;0,"Worse","No change"))))</f>
        <v>No change</v>
      </c>
      <c r="T810" s="12" t="s">
        <v>330</v>
      </c>
      <c r="U810" s="12" t="str">
        <f aca="false">C810&amp;"|"&amp;E810</f>
        <v>F10_01|NLD</v>
      </c>
    </row>
    <row r="811" customFormat="false" ht="15" hidden="false" customHeight="false" outlineLevel="0" collapsed="false">
      <c r="A811" s="12" t="n">
        <v>10</v>
      </c>
      <c r="B811" s="12" t="s">
        <v>40</v>
      </c>
      <c r="C811" s="12" t="s">
        <v>202</v>
      </c>
      <c r="D811" s="12" t="s">
        <v>203</v>
      </c>
      <c r="E811" s="12" t="s">
        <v>33</v>
      </c>
      <c r="F811" s="12" t="s">
        <v>33</v>
      </c>
      <c r="G811" s="12" t="s">
        <v>302</v>
      </c>
      <c r="H811" s="12" t="n">
        <v>42.9</v>
      </c>
      <c r="I811" s="12" t="s">
        <v>291</v>
      </c>
      <c r="J811" s="12" t="s">
        <v>302</v>
      </c>
      <c r="K811" s="12" t="n">
        <v>3</v>
      </c>
      <c r="L811" s="28" t="n">
        <v>0</v>
      </c>
      <c r="M811" s="12" t="str">
        <f aca="false">IF(L811=1,COUNTIFS($C$2:$C$1090,C811,$L$2:$L$1090,1),"")</f>
        <v/>
      </c>
      <c r="N811" s="12" t="str">
        <f aca="false">IF(L811=1,1+COUNTIFS($C$2:$C$1090,C811,$L$2:$L$1090,1,$G$2:$G$1090,"&gt;"&amp;G811),"")</f>
        <v/>
      </c>
      <c r="O811" s="12" t="str">
        <f aca="false">IF(L811=1,1+COUNTIFS($C$2:$C$1090,C811,$L$2:$L$1090,1,$H$2:$H$1090,"&gt;"&amp;H811),"")</f>
        <v/>
      </c>
      <c r="P811" s="12" t="str">
        <f aca="false">IF(L811=1,N811-O811,"")</f>
        <v/>
      </c>
      <c r="Q811" s="12" t="n">
        <f aca="false">INDEX(Directions!$D$2:$D$100,MATCH(C811,Directions!$A$2:$A$100,0))</f>
        <v>1</v>
      </c>
      <c r="R811" s="12" t="str">
        <f aca="false">IF(L811=1,P811*Q811,"")</f>
        <v/>
      </c>
      <c r="S811" s="12" t="str">
        <f aca="false">IF(L811&lt;&gt;1,"Excluded",IF(Q811=0,"No direction",IF(R811&gt;0,"Better",IF(R811&lt;0,"Worse","No change"))))</f>
        <v>Excluded</v>
      </c>
      <c r="T811" s="12" t="s">
        <v>311</v>
      </c>
      <c r="U811" s="12" t="str">
        <f aca="false">C811&amp;"|"&amp;E811</f>
        <v>F10_01|CHE</v>
      </c>
    </row>
    <row r="812" customFormat="false" ht="15" hidden="false" customHeight="false" outlineLevel="0" collapsed="false">
      <c r="A812" s="12" t="n">
        <v>10</v>
      </c>
      <c r="B812" s="12" t="s">
        <v>40</v>
      </c>
      <c r="C812" s="12" t="s">
        <v>202</v>
      </c>
      <c r="D812" s="12" t="s">
        <v>203</v>
      </c>
      <c r="E812" s="12" t="s">
        <v>287</v>
      </c>
      <c r="F812" s="12" t="s">
        <v>34</v>
      </c>
      <c r="G812" s="12" t="s">
        <v>302</v>
      </c>
      <c r="H812" s="12" t="s">
        <v>302</v>
      </c>
      <c r="I812" s="12"/>
      <c r="J812" s="12" t="s">
        <v>302</v>
      </c>
      <c r="K812" s="12" t="s">
        <v>302</v>
      </c>
      <c r="L812" s="28" t="n">
        <v>0</v>
      </c>
      <c r="M812" s="12" t="str">
        <f aca="false">IF(L812=1,COUNTIFS($C$2:$C$1090,C812,$L$2:$L$1090,1),"")</f>
        <v/>
      </c>
      <c r="N812" s="12" t="str">
        <f aca="false">IF(L812=1,1+COUNTIFS($C$2:$C$1090,C812,$L$2:$L$1090,1,$G$2:$G$1090,"&gt;"&amp;G812),"")</f>
        <v/>
      </c>
      <c r="O812" s="12" t="str">
        <f aca="false">IF(L812=1,1+COUNTIFS($C$2:$C$1090,C812,$L$2:$L$1090,1,$H$2:$H$1090,"&gt;"&amp;H812),"")</f>
        <v/>
      </c>
      <c r="P812" s="12" t="str">
        <f aca="false">IF(L812=1,N812-O812,"")</f>
        <v/>
      </c>
      <c r="Q812" s="12" t="n">
        <f aca="false">INDEX(Directions!$D$2:$D$100,MATCH(C812,Directions!$A$2:$A$100,0))</f>
        <v>1</v>
      </c>
      <c r="R812" s="12" t="str">
        <f aca="false">IF(L812=1,P812*Q812,"")</f>
        <v/>
      </c>
      <c r="S812" s="12" t="str">
        <f aca="false">IF(L812&lt;&gt;1,"Excluded",IF(Q812=0,"No direction",IF(R812&gt;0,"Better",IF(R812&lt;0,"Worse","No change"))))</f>
        <v>Excluded</v>
      </c>
      <c r="T812" s="12" t="s">
        <v>304</v>
      </c>
      <c r="U812" s="12" t="str">
        <f aca="false">C812&amp;"|"&amp;E812</f>
        <v>F10_01|DNK</v>
      </c>
    </row>
    <row r="813" customFormat="false" ht="15" hidden="false" customHeight="false" outlineLevel="0" collapsed="false">
      <c r="A813" s="12" t="n">
        <v>10</v>
      </c>
      <c r="B813" s="12" t="s">
        <v>40</v>
      </c>
      <c r="C813" s="12" t="s">
        <v>202</v>
      </c>
      <c r="D813" s="12" t="s">
        <v>203</v>
      </c>
      <c r="E813" s="12" t="s">
        <v>288</v>
      </c>
      <c r="F813" s="12" t="s">
        <v>35</v>
      </c>
      <c r="G813" s="12" t="n">
        <v>43</v>
      </c>
      <c r="H813" s="12" t="n">
        <v>23.9</v>
      </c>
      <c r="I813" s="12" t="s">
        <v>291</v>
      </c>
      <c r="J813" s="12" t="n">
        <v>8</v>
      </c>
      <c r="K813" s="12" t="n">
        <v>9</v>
      </c>
      <c r="L813" s="28" t="n">
        <v>1</v>
      </c>
      <c r="M813" s="12" t="n">
        <f aca="false">IF(L813=1,COUNTIFS($C$2:$C$1090,C813,$L$2:$L$1090,1),"")</f>
        <v>8</v>
      </c>
      <c r="N813" s="12" t="n">
        <f aca="false">IF(L813=1,1+COUNTIFS($C$2:$C$1090,C813,$L$2:$L$1090,1,$G$2:$G$1090,"&gt;"&amp;G813),"")</f>
        <v>8</v>
      </c>
      <c r="O813" s="12" t="n">
        <f aca="false">IF(L813=1,1+COUNTIFS($C$2:$C$1090,C813,$L$2:$L$1090,1,$H$2:$H$1090,"&gt;"&amp;H813),"")</f>
        <v>8</v>
      </c>
      <c r="P813" s="12" t="n">
        <f aca="false">IF(L813=1,N813-O813,"")</f>
        <v>0</v>
      </c>
      <c r="Q813" s="12" t="n">
        <f aca="false">INDEX(Directions!$D$2:$D$100,MATCH(C813,Directions!$A$2:$A$100,0))</f>
        <v>1</v>
      </c>
      <c r="R813" s="12" t="n">
        <f aca="false">IF(L813=1,P813*Q813,"")</f>
        <v>0</v>
      </c>
      <c r="S813" s="12" t="str">
        <f aca="false">IF(L813&lt;&gt;1,"Excluded",IF(Q813=0,"No direction",IF(R813&gt;0,"Better",IF(R813&lt;0,"Worse","No change"))))</f>
        <v>No change</v>
      </c>
      <c r="T813" s="12" t="s">
        <v>330</v>
      </c>
      <c r="U813" s="12" t="str">
        <f aca="false">C813&amp;"|"&amp;E813</f>
        <v>F10_01|CAN</v>
      </c>
    </row>
    <row r="814" customFormat="false" ht="15" hidden="false" customHeight="false" outlineLevel="0" collapsed="false">
      <c r="A814" s="12" t="n">
        <v>10</v>
      </c>
      <c r="B814" s="12" t="s">
        <v>40</v>
      </c>
      <c r="C814" s="12" t="s">
        <v>202</v>
      </c>
      <c r="D814" s="12" t="s">
        <v>203</v>
      </c>
      <c r="E814" s="12" t="s">
        <v>289</v>
      </c>
      <c r="F814" s="12" t="s">
        <v>36</v>
      </c>
      <c r="G814" s="12" t="s">
        <v>302</v>
      </c>
      <c r="H814" s="12" t="s">
        <v>302</v>
      </c>
      <c r="I814" s="12"/>
      <c r="J814" s="12" t="s">
        <v>302</v>
      </c>
      <c r="K814" s="12" t="s">
        <v>302</v>
      </c>
      <c r="L814" s="28" t="n">
        <v>0</v>
      </c>
      <c r="M814" s="12" t="str">
        <f aca="false">IF(L814=1,COUNTIFS($C$2:$C$1090,C814,$L$2:$L$1090,1),"")</f>
        <v/>
      </c>
      <c r="N814" s="12" t="str">
        <f aca="false">IF(L814=1,1+COUNTIFS($C$2:$C$1090,C814,$L$2:$L$1090,1,$G$2:$G$1090,"&gt;"&amp;G814),"")</f>
        <v/>
      </c>
      <c r="O814" s="12" t="str">
        <f aca="false">IF(L814=1,1+COUNTIFS($C$2:$C$1090,C814,$L$2:$L$1090,1,$H$2:$H$1090,"&gt;"&amp;H814),"")</f>
        <v/>
      </c>
      <c r="P814" s="12" t="str">
        <f aca="false">IF(L814=1,N814-O814,"")</f>
        <v/>
      </c>
      <c r="Q814" s="12" t="n">
        <f aca="false">INDEX(Directions!$D$2:$D$100,MATCH(C814,Directions!$A$2:$A$100,0))</f>
        <v>1</v>
      </c>
      <c r="R814" s="12" t="str">
        <f aca="false">IF(L814=1,P814*Q814,"")</f>
        <v/>
      </c>
      <c r="S814" s="12" t="str">
        <f aca="false">IF(L814&lt;&gt;1,"Excluded",IF(Q814=0,"No direction",IF(R814&gt;0,"Better",IF(R814&lt;0,"Worse","No change"))))</f>
        <v>Excluded</v>
      </c>
      <c r="T814" s="12" t="s">
        <v>304</v>
      </c>
      <c r="U814" s="12" t="str">
        <f aca="false">C814&amp;"|"&amp;E814</f>
        <v>F10_01|JPN</v>
      </c>
    </row>
    <row r="815" customFormat="false" ht="15" hidden="false" customHeight="false" outlineLevel="0" collapsed="false">
      <c r="A815" s="12" t="n">
        <v>10</v>
      </c>
      <c r="B815" s="12" t="s">
        <v>40</v>
      </c>
      <c r="C815" s="12" t="s">
        <v>202</v>
      </c>
      <c r="D815" s="12" t="s">
        <v>203</v>
      </c>
      <c r="E815" s="12" t="s">
        <v>290</v>
      </c>
      <c r="F815" s="12" t="s">
        <v>37</v>
      </c>
      <c r="G815" s="12" t="n">
        <v>67</v>
      </c>
      <c r="H815" s="12" t="n">
        <v>41</v>
      </c>
      <c r="I815" s="12" t="s">
        <v>291</v>
      </c>
      <c r="J815" s="12" t="n">
        <v>2</v>
      </c>
      <c r="K815" s="12" t="n">
        <v>5</v>
      </c>
      <c r="L815" s="28" t="n">
        <v>1</v>
      </c>
      <c r="M815" s="12" t="n">
        <f aca="false">IF(L815=1,COUNTIFS($C$2:$C$1090,C815,$L$2:$L$1090,1),"")</f>
        <v>8</v>
      </c>
      <c r="N815" s="12" t="n">
        <f aca="false">IF(L815=1,1+COUNTIFS($C$2:$C$1090,C815,$L$2:$L$1090,1,$G$2:$G$1090,"&gt;"&amp;G815),"")</f>
        <v>2</v>
      </c>
      <c r="O815" s="12" t="n">
        <f aca="false">IF(L815=1,1+COUNTIFS($C$2:$C$1090,C815,$L$2:$L$1090,1,$H$2:$H$1090,"&gt;"&amp;H815),"")</f>
        <v>4</v>
      </c>
      <c r="P815" s="12" t="n">
        <f aca="false">IF(L815=1,N815-O815,"")</f>
        <v>-2</v>
      </c>
      <c r="Q815" s="12" t="n">
        <f aca="false">INDEX(Directions!$D$2:$D$100,MATCH(C815,Directions!$A$2:$A$100,0))</f>
        <v>1</v>
      </c>
      <c r="R815" s="12" t="n">
        <f aca="false">IF(L815=1,P815*Q815,"")</f>
        <v>-2</v>
      </c>
      <c r="S815" s="12" t="str">
        <f aca="false">IF(L815&lt;&gt;1,"Excluded",IF(Q815=0,"No direction",IF(R815&gt;0,"Better",IF(R815&lt;0,"Worse","No change"))))</f>
        <v>Worse</v>
      </c>
      <c r="T815" s="12" t="s">
        <v>330</v>
      </c>
      <c r="U815" s="12" t="str">
        <f aca="false">C815&amp;"|"&amp;E815</f>
        <v>F10_01|AUS</v>
      </c>
    </row>
    <row r="816" customFormat="false" ht="15" hidden="false" customHeight="false" outlineLevel="0" collapsed="false">
      <c r="A816" s="12" t="n">
        <v>10</v>
      </c>
      <c r="B816" s="12" t="s">
        <v>40</v>
      </c>
      <c r="C816" s="12" t="s">
        <v>205</v>
      </c>
      <c r="D816" s="12" t="s">
        <v>206</v>
      </c>
      <c r="E816" s="12" t="s">
        <v>281</v>
      </c>
      <c r="F816" s="12" t="s">
        <v>27</v>
      </c>
      <c r="G816" s="12" t="n">
        <v>6</v>
      </c>
      <c r="H816" s="12" t="n">
        <v>16</v>
      </c>
      <c r="I816" s="12" t="s">
        <v>291</v>
      </c>
      <c r="J816" s="12" t="n">
        <v>7</v>
      </c>
      <c r="K816" s="12" t="n">
        <v>7</v>
      </c>
      <c r="L816" s="28" t="n">
        <v>1</v>
      </c>
      <c r="M816" s="12" t="n">
        <f aca="false">IF(L816=1,COUNTIFS($C$2:$C$1090,C816,$L$2:$L$1090,1),"")</f>
        <v>9</v>
      </c>
      <c r="N816" s="12" t="n">
        <f aca="false">IF(L816=1,1+COUNTIFS($C$2:$C$1090,C816,$L$2:$L$1090,1,$G$2:$G$1090,"&gt;"&amp;G816),"")</f>
        <v>7</v>
      </c>
      <c r="O816" s="12" t="n">
        <f aca="false">IF(L816=1,1+COUNTIFS($C$2:$C$1090,C816,$L$2:$L$1090,1,$H$2:$H$1090,"&gt;"&amp;H816),"")</f>
        <v>7</v>
      </c>
      <c r="P816" s="12" t="n">
        <f aca="false">IF(L816=1,N816-O816,"")</f>
        <v>0</v>
      </c>
      <c r="Q816" s="12" t="n">
        <f aca="false">INDEX(Directions!$D$2:$D$100,MATCH(C816,Directions!$A$2:$A$100,0))</f>
        <v>-1</v>
      </c>
      <c r="R816" s="12" t="n">
        <f aca="false">IF(L816=1,P816*Q816,"")</f>
        <v>-0</v>
      </c>
      <c r="S816" s="12" t="str">
        <f aca="false">IF(L816&lt;&gt;1,"Excluded",IF(Q816=0,"No direction",IF(R816&gt;0,"Better",IF(R816&lt;0,"Worse","No change"))))</f>
        <v>No change</v>
      </c>
      <c r="T816" s="12" t="s">
        <v>330</v>
      </c>
      <c r="U816" s="12" t="str">
        <f aca="false">C816&amp;"|"&amp;E816</f>
        <v>F10_02|USA</v>
      </c>
    </row>
    <row r="817" customFormat="false" ht="15" hidden="false" customHeight="false" outlineLevel="0" collapsed="false">
      <c r="A817" s="12" t="n">
        <v>10</v>
      </c>
      <c r="B817" s="12" t="s">
        <v>40</v>
      </c>
      <c r="C817" s="12" t="s">
        <v>205</v>
      </c>
      <c r="D817" s="12" t="s">
        <v>206</v>
      </c>
      <c r="E817" s="12" t="s">
        <v>283</v>
      </c>
      <c r="F817" s="12" t="s">
        <v>28</v>
      </c>
      <c r="G817" s="12" t="n">
        <v>19</v>
      </c>
      <c r="H817" s="12" t="n">
        <v>41.7</v>
      </c>
      <c r="I817" s="12" t="s">
        <v>291</v>
      </c>
      <c r="J817" s="12" t="n">
        <v>2</v>
      </c>
      <c r="K817" s="12" t="n">
        <v>3</v>
      </c>
      <c r="L817" s="28" t="n">
        <v>1</v>
      </c>
      <c r="M817" s="12" t="n">
        <f aca="false">IF(L817=1,COUNTIFS($C$2:$C$1090,C817,$L$2:$L$1090,1),"")</f>
        <v>9</v>
      </c>
      <c r="N817" s="12" t="n">
        <f aca="false">IF(L817=1,1+COUNTIFS($C$2:$C$1090,C817,$L$2:$L$1090,1,$G$2:$G$1090,"&gt;"&amp;G817),"")</f>
        <v>2</v>
      </c>
      <c r="O817" s="12" t="n">
        <f aca="false">IF(L817=1,1+COUNTIFS($C$2:$C$1090,C817,$L$2:$L$1090,1,$H$2:$H$1090,"&gt;"&amp;H817),"")</f>
        <v>3</v>
      </c>
      <c r="P817" s="12" t="n">
        <f aca="false">IF(L817=1,N817-O817,"")</f>
        <v>-1</v>
      </c>
      <c r="Q817" s="12" t="n">
        <f aca="false">INDEX(Directions!$D$2:$D$100,MATCH(C817,Directions!$A$2:$A$100,0))</f>
        <v>-1</v>
      </c>
      <c r="R817" s="12" t="n">
        <f aca="false">IF(L817=1,P817*Q817,"")</f>
        <v>1</v>
      </c>
      <c r="S817" s="12" t="str">
        <f aca="false">IF(L817&lt;&gt;1,"Excluded",IF(Q817=0,"No direction",IF(R817&gt;0,"Better",IF(R817&lt;0,"Worse","No change"))))</f>
        <v>Better</v>
      </c>
      <c r="T817" s="12" t="s">
        <v>330</v>
      </c>
      <c r="U817" s="12" t="str">
        <f aca="false">C817&amp;"|"&amp;E817</f>
        <v>F10_02|GBR</v>
      </c>
    </row>
    <row r="818" customFormat="false" ht="15" hidden="false" customHeight="false" outlineLevel="0" collapsed="false">
      <c r="A818" s="12" t="n">
        <v>10</v>
      </c>
      <c r="B818" s="12" t="s">
        <v>40</v>
      </c>
      <c r="C818" s="12" t="s">
        <v>205</v>
      </c>
      <c r="D818" s="12" t="s">
        <v>206</v>
      </c>
      <c r="E818" s="12" t="s">
        <v>284</v>
      </c>
      <c r="F818" s="12" t="s">
        <v>29</v>
      </c>
      <c r="G818" s="12" t="n">
        <v>3</v>
      </c>
      <c r="H818" s="12" t="n">
        <v>23.4</v>
      </c>
      <c r="I818" s="12" t="s">
        <v>291</v>
      </c>
      <c r="J818" s="12" t="n">
        <v>9</v>
      </c>
      <c r="K818" s="12" t="n">
        <v>6</v>
      </c>
      <c r="L818" s="28" t="n">
        <v>1</v>
      </c>
      <c r="M818" s="12" t="n">
        <f aca="false">IF(L818=1,COUNTIFS($C$2:$C$1090,C818,$L$2:$L$1090,1),"")</f>
        <v>9</v>
      </c>
      <c r="N818" s="12" t="n">
        <f aca="false">IF(L818=1,1+COUNTIFS($C$2:$C$1090,C818,$L$2:$L$1090,1,$G$2:$G$1090,"&gt;"&amp;G818),"")</f>
        <v>9</v>
      </c>
      <c r="O818" s="12" t="n">
        <f aca="false">IF(L818=1,1+COUNTIFS($C$2:$C$1090,C818,$L$2:$L$1090,1,$H$2:$H$1090,"&gt;"&amp;H818),"")</f>
        <v>6</v>
      </c>
      <c r="P818" s="12" t="n">
        <f aca="false">IF(L818=1,N818-O818,"")</f>
        <v>3</v>
      </c>
      <c r="Q818" s="12" t="n">
        <f aca="false">INDEX(Directions!$D$2:$D$100,MATCH(C818,Directions!$A$2:$A$100,0))</f>
        <v>-1</v>
      </c>
      <c r="R818" s="12" t="n">
        <f aca="false">IF(L818=1,P818*Q818,"")</f>
        <v>-3</v>
      </c>
      <c r="S818" s="12" t="str">
        <f aca="false">IF(L818&lt;&gt;1,"Excluded",IF(Q818=0,"No direction",IF(R818&gt;0,"Better",IF(R818&lt;0,"Worse","No change"))))</f>
        <v>Worse</v>
      </c>
      <c r="T818" s="12" t="s">
        <v>330</v>
      </c>
      <c r="U818" s="12" t="str">
        <f aca="false">C818&amp;"|"&amp;E818</f>
        <v>F10_02|DEU</v>
      </c>
    </row>
    <row r="819" customFormat="false" ht="15" hidden="false" customHeight="false" outlineLevel="0" collapsed="false">
      <c r="A819" s="12" t="n">
        <v>10</v>
      </c>
      <c r="B819" s="12" t="s">
        <v>40</v>
      </c>
      <c r="C819" s="12" t="s">
        <v>205</v>
      </c>
      <c r="D819" s="12" t="s">
        <v>206</v>
      </c>
      <c r="E819" s="12" t="s">
        <v>285</v>
      </c>
      <c r="F819" s="12" t="s">
        <v>30</v>
      </c>
      <c r="G819" s="12" t="n">
        <v>19</v>
      </c>
      <c r="H819" s="12" t="n">
        <v>32.7</v>
      </c>
      <c r="I819" s="12" t="s">
        <v>291</v>
      </c>
      <c r="J819" s="12" t="n">
        <v>3</v>
      </c>
      <c r="K819" s="12" t="n">
        <v>4</v>
      </c>
      <c r="L819" s="28" t="n">
        <v>1</v>
      </c>
      <c r="M819" s="12" t="n">
        <f aca="false">IF(L819=1,COUNTIFS($C$2:$C$1090,C819,$L$2:$L$1090,1),"")</f>
        <v>9</v>
      </c>
      <c r="N819" s="12" t="n">
        <f aca="false">IF(L819=1,1+COUNTIFS($C$2:$C$1090,C819,$L$2:$L$1090,1,$G$2:$G$1090,"&gt;"&amp;G819),"")</f>
        <v>2</v>
      </c>
      <c r="O819" s="12" t="n">
        <f aca="false">IF(L819=1,1+COUNTIFS($C$2:$C$1090,C819,$L$2:$L$1090,1,$H$2:$H$1090,"&gt;"&amp;H819),"")</f>
        <v>4</v>
      </c>
      <c r="P819" s="12" t="n">
        <f aca="false">IF(L819=1,N819-O819,"")</f>
        <v>-2</v>
      </c>
      <c r="Q819" s="12" t="n">
        <f aca="false">INDEX(Directions!$D$2:$D$100,MATCH(C819,Directions!$A$2:$A$100,0))</f>
        <v>-1</v>
      </c>
      <c r="R819" s="12" t="n">
        <f aca="false">IF(L819=1,P819*Q819,"")</f>
        <v>2</v>
      </c>
      <c r="S819" s="12" t="str">
        <f aca="false">IF(L819&lt;&gt;1,"Excluded",IF(Q819=0,"No direction",IF(R819&gt;0,"Better",IF(R819&lt;0,"Worse","No change"))))</f>
        <v>Better</v>
      </c>
      <c r="T819" s="12" t="s">
        <v>330</v>
      </c>
      <c r="U819" s="12" t="str">
        <f aca="false">C819&amp;"|"&amp;E819</f>
        <v>F10_02|SWE</v>
      </c>
    </row>
    <row r="820" customFormat="false" ht="15" hidden="false" customHeight="false" outlineLevel="0" collapsed="false">
      <c r="A820" s="12" t="n">
        <v>10</v>
      </c>
      <c r="B820" s="12" t="s">
        <v>40</v>
      </c>
      <c r="C820" s="12" t="s">
        <v>205</v>
      </c>
      <c r="D820" s="12" t="s">
        <v>206</v>
      </c>
      <c r="E820" s="12" t="s">
        <v>286</v>
      </c>
      <c r="F820" s="12" t="s">
        <v>31</v>
      </c>
      <c r="G820" s="12" t="n">
        <v>4</v>
      </c>
      <c r="H820" s="12" t="n">
        <v>45.5</v>
      </c>
      <c r="I820" s="12" t="s">
        <v>291</v>
      </c>
      <c r="J820" s="12" t="n">
        <v>8</v>
      </c>
      <c r="K820" s="12" t="n">
        <v>2</v>
      </c>
      <c r="L820" s="28" t="n">
        <v>1</v>
      </c>
      <c r="M820" s="12" t="n">
        <f aca="false">IF(L820=1,COUNTIFS($C$2:$C$1090,C820,$L$2:$L$1090,1),"")</f>
        <v>9</v>
      </c>
      <c r="N820" s="12" t="n">
        <f aca="false">IF(L820=1,1+COUNTIFS($C$2:$C$1090,C820,$L$2:$L$1090,1,$G$2:$G$1090,"&gt;"&amp;G820),"")</f>
        <v>8</v>
      </c>
      <c r="O820" s="12" t="n">
        <f aca="false">IF(L820=1,1+COUNTIFS($C$2:$C$1090,C820,$L$2:$L$1090,1,$H$2:$H$1090,"&gt;"&amp;H820),"")</f>
        <v>2</v>
      </c>
      <c r="P820" s="12" t="n">
        <f aca="false">IF(L820=1,N820-O820,"")</f>
        <v>6</v>
      </c>
      <c r="Q820" s="12" t="n">
        <f aca="false">INDEX(Directions!$D$2:$D$100,MATCH(C820,Directions!$A$2:$A$100,0))</f>
        <v>-1</v>
      </c>
      <c r="R820" s="12" t="n">
        <f aca="false">IF(L820=1,P820*Q820,"")</f>
        <v>-6</v>
      </c>
      <c r="S820" s="12" t="str">
        <f aca="false">IF(L820&lt;&gt;1,"Excluded",IF(Q820=0,"No direction",IF(R820&gt;0,"Better",IF(R820&lt;0,"Worse","No change"))))</f>
        <v>Worse</v>
      </c>
      <c r="T820" s="12" t="s">
        <v>330</v>
      </c>
      <c r="U820" s="12" t="str">
        <f aca="false">C820&amp;"|"&amp;E820</f>
        <v>F10_02|FRA</v>
      </c>
    </row>
    <row r="821" customFormat="false" ht="15" hidden="false" customHeight="false" outlineLevel="0" collapsed="false">
      <c r="A821" s="12" t="n">
        <v>10</v>
      </c>
      <c r="B821" s="12" t="s">
        <v>40</v>
      </c>
      <c r="C821" s="12" t="s">
        <v>205</v>
      </c>
      <c r="D821" s="12" t="s">
        <v>206</v>
      </c>
      <c r="E821" s="12" t="s">
        <v>32</v>
      </c>
      <c r="F821" s="12" t="s">
        <v>32</v>
      </c>
      <c r="G821" s="12" t="n">
        <v>7</v>
      </c>
      <c r="H821" s="12" t="n">
        <v>15.1</v>
      </c>
      <c r="I821" s="12" t="s">
        <v>291</v>
      </c>
      <c r="J821" s="12" t="n">
        <v>6</v>
      </c>
      <c r="K821" s="12" t="n">
        <v>8</v>
      </c>
      <c r="L821" s="28" t="n">
        <v>1</v>
      </c>
      <c r="M821" s="12" t="n">
        <f aca="false">IF(L821=1,COUNTIFS($C$2:$C$1090,C821,$L$2:$L$1090,1),"")</f>
        <v>9</v>
      </c>
      <c r="N821" s="12" t="n">
        <f aca="false">IF(L821=1,1+COUNTIFS($C$2:$C$1090,C821,$L$2:$L$1090,1,$G$2:$G$1090,"&gt;"&amp;G821),"")</f>
        <v>6</v>
      </c>
      <c r="O821" s="12" t="n">
        <f aca="false">IF(L821=1,1+COUNTIFS($C$2:$C$1090,C821,$L$2:$L$1090,1,$H$2:$H$1090,"&gt;"&amp;H821),"")</f>
        <v>8</v>
      </c>
      <c r="P821" s="12" t="n">
        <f aca="false">IF(L821=1,N821-O821,"")</f>
        <v>-2</v>
      </c>
      <c r="Q821" s="12" t="n">
        <f aca="false">INDEX(Directions!$D$2:$D$100,MATCH(C821,Directions!$A$2:$A$100,0))</f>
        <v>-1</v>
      </c>
      <c r="R821" s="12" t="n">
        <f aca="false">IF(L821=1,P821*Q821,"")</f>
        <v>2</v>
      </c>
      <c r="S821" s="12" t="str">
        <f aca="false">IF(L821&lt;&gt;1,"Excluded",IF(Q821=0,"No direction",IF(R821&gt;0,"Better",IF(R821&lt;0,"Worse","No change"))))</f>
        <v>Better</v>
      </c>
      <c r="T821" s="12" t="s">
        <v>330</v>
      </c>
      <c r="U821" s="12" t="str">
        <f aca="false">C821&amp;"|"&amp;E821</f>
        <v>F10_02|NLD</v>
      </c>
    </row>
    <row r="822" customFormat="false" ht="15" hidden="false" customHeight="false" outlineLevel="0" collapsed="false">
      <c r="A822" s="12" t="n">
        <v>10</v>
      </c>
      <c r="B822" s="12" t="s">
        <v>40</v>
      </c>
      <c r="C822" s="12" t="s">
        <v>205</v>
      </c>
      <c r="D822" s="12" t="s">
        <v>206</v>
      </c>
      <c r="E822" s="12" t="s">
        <v>33</v>
      </c>
      <c r="F822" s="12" t="s">
        <v>33</v>
      </c>
      <c r="G822" s="12" t="n">
        <v>9</v>
      </c>
      <c r="H822" s="12" t="n">
        <v>13.2</v>
      </c>
      <c r="I822" s="12" t="s">
        <v>291</v>
      </c>
      <c r="J822" s="12" t="n">
        <v>5</v>
      </c>
      <c r="K822" s="12" t="n">
        <v>9</v>
      </c>
      <c r="L822" s="28" t="n">
        <v>1</v>
      </c>
      <c r="M822" s="12" t="n">
        <f aca="false">IF(L822=1,COUNTIFS($C$2:$C$1090,C822,$L$2:$L$1090,1),"")</f>
        <v>9</v>
      </c>
      <c r="N822" s="12" t="n">
        <f aca="false">IF(L822=1,1+COUNTIFS($C$2:$C$1090,C822,$L$2:$L$1090,1,$G$2:$G$1090,"&gt;"&amp;G822),"")</f>
        <v>5</v>
      </c>
      <c r="O822" s="12" t="n">
        <f aca="false">IF(L822=1,1+COUNTIFS($C$2:$C$1090,C822,$L$2:$L$1090,1,$H$2:$H$1090,"&gt;"&amp;H822),"")</f>
        <v>9</v>
      </c>
      <c r="P822" s="12" t="n">
        <f aca="false">IF(L822=1,N822-O822,"")</f>
        <v>-4</v>
      </c>
      <c r="Q822" s="12" t="n">
        <f aca="false">INDEX(Directions!$D$2:$D$100,MATCH(C822,Directions!$A$2:$A$100,0))</f>
        <v>-1</v>
      </c>
      <c r="R822" s="12" t="n">
        <f aca="false">IF(L822=1,P822*Q822,"")</f>
        <v>4</v>
      </c>
      <c r="S822" s="12" t="str">
        <f aca="false">IF(L822&lt;&gt;1,"Excluded",IF(Q822=0,"No direction",IF(R822&gt;0,"Better",IF(R822&lt;0,"Worse","No change"))))</f>
        <v>Better</v>
      </c>
      <c r="T822" s="12" t="s">
        <v>330</v>
      </c>
      <c r="U822" s="12" t="str">
        <f aca="false">C822&amp;"|"&amp;E822</f>
        <v>F10_02|CHE</v>
      </c>
    </row>
    <row r="823" customFormat="false" ht="15" hidden="false" customHeight="false" outlineLevel="0" collapsed="false">
      <c r="A823" s="12" t="n">
        <v>10</v>
      </c>
      <c r="B823" s="12" t="s">
        <v>40</v>
      </c>
      <c r="C823" s="12" t="s">
        <v>205</v>
      </c>
      <c r="D823" s="12" t="s">
        <v>206</v>
      </c>
      <c r="E823" s="12" t="s">
        <v>287</v>
      </c>
      <c r="F823" s="12" t="s">
        <v>34</v>
      </c>
      <c r="G823" s="12" t="s">
        <v>302</v>
      </c>
      <c r="H823" s="12" t="s">
        <v>302</v>
      </c>
      <c r="I823" s="12"/>
      <c r="J823" s="12" t="s">
        <v>302</v>
      </c>
      <c r="K823" s="12" t="s">
        <v>302</v>
      </c>
      <c r="L823" s="28" t="n">
        <v>0</v>
      </c>
      <c r="M823" s="12" t="str">
        <f aca="false">IF(L823=1,COUNTIFS($C$2:$C$1090,C823,$L$2:$L$1090,1),"")</f>
        <v/>
      </c>
      <c r="N823" s="12" t="str">
        <f aca="false">IF(L823=1,1+COUNTIFS($C$2:$C$1090,C823,$L$2:$L$1090,1,$G$2:$G$1090,"&gt;"&amp;G823),"")</f>
        <v/>
      </c>
      <c r="O823" s="12" t="str">
        <f aca="false">IF(L823=1,1+COUNTIFS($C$2:$C$1090,C823,$L$2:$L$1090,1,$H$2:$H$1090,"&gt;"&amp;H823),"")</f>
        <v/>
      </c>
      <c r="P823" s="12" t="str">
        <f aca="false">IF(L823=1,N823-O823,"")</f>
        <v/>
      </c>
      <c r="Q823" s="12" t="n">
        <f aca="false">INDEX(Directions!$D$2:$D$100,MATCH(C823,Directions!$A$2:$A$100,0))</f>
        <v>-1</v>
      </c>
      <c r="R823" s="12" t="str">
        <f aca="false">IF(L823=1,P823*Q823,"")</f>
        <v/>
      </c>
      <c r="S823" s="12" t="str">
        <f aca="false">IF(L823&lt;&gt;1,"Excluded",IF(Q823=0,"No direction",IF(R823&gt;0,"Better",IF(R823&lt;0,"Worse","No change"))))</f>
        <v>Excluded</v>
      </c>
      <c r="T823" s="12" t="s">
        <v>304</v>
      </c>
      <c r="U823" s="12" t="str">
        <f aca="false">C823&amp;"|"&amp;E823</f>
        <v>F10_02|DNK</v>
      </c>
    </row>
    <row r="824" customFormat="false" ht="15" hidden="false" customHeight="false" outlineLevel="0" collapsed="false">
      <c r="A824" s="12" t="n">
        <v>10</v>
      </c>
      <c r="B824" s="12" t="s">
        <v>40</v>
      </c>
      <c r="C824" s="12" t="s">
        <v>205</v>
      </c>
      <c r="D824" s="12" t="s">
        <v>206</v>
      </c>
      <c r="E824" s="12" t="s">
        <v>288</v>
      </c>
      <c r="F824" s="12" t="s">
        <v>35</v>
      </c>
      <c r="G824" s="12" t="n">
        <v>39</v>
      </c>
      <c r="H824" s="12" t="n">
        <v>46.1</v>
      </c>
      <c r="I824" s="12" t="s">
        <v>291</v>
      </c>
      <c r="J824" s="12" t="n">
        <v>1</v>
      </c>
      <c r="K824" s="12" t="n">
        <v>1</v>
      </c>
      <c r="L824" s="28" t="n">
        <v>1</v>
      </c>
      <c r="M824" s="12" t="n">
        <f aca="false">IF(L824=1,COUNTIFS($C$2:$C$1090,C824,$L$2:$L$1090,1),"")</f>
        <v>9</v>
      </c>
      <c r="N824" s="12" t="n">
        <f aca="false">IF(L824=1,1+COUNTIFS($C$2:$C$1090,C824,$L$2:$L$1090,1,$G$2:$G$1090,"&gt;"&amp;G824),"")</f>
        <v>1</v>
      </c>
      <c r="O824" s="12" t="n">
        <f aca="false">IF(L824=1,1+COUNTIFS($C$2:$C$1090,C824,$L$2:$L$1090,1,$H$2:$H$1090,"&gt;"&amp;H824),"")</f>
        <v>1</v>
      </c>
      <c r="P824" s="12" t="n">
        <f aca="false">IF(L824=1,N824-O824,"")</f>
        <v>0</v>
      </c>
      <c r="Q824" s="12" t="n">
        <f aca="false">INDEX(Directions!$D$2:$D$100,MATCH(C824,Directions!$A$2:$A$100,0))</f>
        <v>-1</v>
      </c>
      <c r="R824" s="12" t="n">
        <f aca="false">IF(L824=1,P824*Q824,"")</f>
        <v>-0</v>
      </c>
      <c r="S824" s="12" t="str">
        <f aca="false">IF(L824&lt;&gt;1,"Excluded",IF(Q824=0,"No direction",IF(R824&gt;0,"Better",IF(R824&lt;0,"Worse","No change"))))</f>
        <v>No change</v>
      </c>
      <c r="T824" s="12" t="s">
        <v>330</v>
      </c>
      <c r="U824" s="12" t="str">
        <f aca="false">C824&amp;"|"&amp;E824</f>
        <v>F10_02|CAN</v>
      </c>
    </row>
    <row r="825" customFormat="false" ht="15" hidden="false" customHeight="false" outlineLevel="0" collapsed="false">
      <c r="A825" s="12" t="n">
        <v>10</v>
      </c>
      <c r="B825" s="12" t="s">
        <v>40</v>
      </c>
      <c r="C825" s="12" t="s">
        <v>205</v>
      </c>
      <c r="D825" s="12" t="s">
        <v>206</v>
      </c>
      <c r="E825" s="12" t="s">
        <v>289</v>
      </c>
      <c r="F825" s="12" t="s">
        <v>36</v>
      </c>
      <c r="G825" s="12" t="s">
        <v>302</v>
      </c>
      <c r="H825" s="12" t="s">
        <v>302</v>
      </c>
      <c r="I825" s="12"/>
      <c r="J825" s="12" t="s">
        <v>302</v>
      </c>
      <c r="K825" s="12" t="s">
        <v>302</v>
      </c>
      <c r="L825" s="28" t="n">
        <v>0</v>
      </c>
      <c r="M825" s="12" t="str">
        <f aca="false">IF(L825=1,COUNTIFS($C$2:$C$1090,C825,$L$2:$L$1090,1),"")</f>
        <v/>
      </c>
      <c r="N825" s="12" t="str">
        <f aca="false">IF(L825=1,1+COUNTIFS($C$2:$C$1090,C825,$L$2:$L$1090,1,$G$2:$G$1090,"&gt;"&amp;G825),"")</f>
        <v/>
      </c>
      <c r="O825" s="12" t="str">
        <f aca="false">IF(L825=1,1+COUNTIFS($C$2:$C$1090,C825,$L$2:$L$1090,1,$H$2:$H$1090,"&gt;"&amp;H825),"")</f>
        <v/>
      </c>
      <c r="P825" s="12" t="str">
        <f aca="false">IF(L825=1,N825-O825,"")</f>
        <v/>
      </c>
      <c r="Q825" s="12" t="n">
        <f aca="false">INDEX(Directions!$D$2:$D$100,MATCH(C825,Directions!$A$2:$A$100,0))</f>
        <v>-1</v>
      </c>
      <c r="R825" s="12" t="str">
        <f aca="false">IF(L825=1,P825*Q825,"")</f>
        <v/>
      </c>
      <c r="S825" s="12" t="str">
        <f aca="false">IF(L825&lt;&gt;1,"Excluded",IF(Q825=0,"No direction",IF(R825&gt;0,"Better",IF(R825&lt;0,"Worse","No change"))))</f>
        <v>Excluded</v>
      </c>
      <c r="T825" s="12" t="s">
        <v>304</v>
      </c>
      <c r="U825" s="12" t="str">
        <f aca="false">C825&amp;"|"&amp;E825</f>
        <v>F10_02|JPN</v>
      </c>
    </row>
    <row r="826" customFormat="false" ht="15" hidden="false" customHeight="false" outlineLevel="0" collapsed="false">
      <c r="A826" s="12" t="n">
        <v>10</v>
      </c>
      <c r="B826" s="12" t="s">
        <v>40</v>
      </c>
      <c r="C826" s="12" t="s">
        <v>205</v>
      </c>
      <c r="D826" s="12" t="s">
        <v>206</v>
      </c>
      <c r="E826" s="12" t="s">
        <v>290</v>
      </c>
      <c r="F826" s="12" t="s">
        <v>37</v>
      </c>
      <c r="G826" s="12" t="n">
        <v>13</v>
      </c>
      <c r="H826" s="12" t="n">
        <v>31.3</v>
      </c>
      <c r="I826" s="12" t="s">
        <v>291</v>
      </c>
      <c r="J826" s="12" t="n">
        <v>4</v>
      </c>
      <c r="K826" s="12" t="n">
        <v>5</v>
      </c>
      <c r="L826" s="28" t="n">
        <v>1</v>
      </c>
      <c r="M826" s="12" t="n">
        <f aca="false">IF(L826=1,COUNTIFS($C$2:$C$1090,C826,$L$2:$L$1090,1),"")</f>
        <v>9</v>
      </c>
      <c r="N826" s="12" t="n">
        <f aca="false">IF(L826=1,1+COUNTIFS($C$2:$C$1090,C826,$L$2:$L$1090,1,$G$2:$G$1090,"&gt;"&amp;G826),"")</f>
        <v>4</v>
      </c>
      <c r="O826" s="12" t="n">
        <f aca="false">IF(L826=1,1+COUNTIFS($C$2:$C$1090,C826,$L$2:$L$1090,1,$H$2:$H$1090,"&gt;"&amp;H826),"")</f>
        <v>5</v>
      </c>
      <c r="P826" s="12" t="n">
        <f aca="false">IF(L826=1,N826-O826,"")</f>
        <v>-1</v>
      </c>
      <c r="Q826" s="12" t="n">
        <f aca="false">INDEX(Directions!$D$2:$D$100,MATCH(C826,Directions!$A$2:$A$100,0))</f>
        <v>-1</v>
      </c>
      <c r="R826" s="12" t="n">
        <f aca="false">IF(L826=1,P826*Q826,"")</f>
        <v>1</v>
      </c>
      <c r="S826" s="12" t="str">
        <f aca="false">IF(L826&lt;&gt;1,"Excluded",IF(Q826=0,"No direction",IF(R826&gt;0,"Better",IF(R826&lt;0,"Worse","No change"))))</f>
        <v>Better</v>
      </c>
      <c r="T826" s="12" t="s">
        <v>330</v>
      </c>
      <c r="U826" s="12" t="str">
        <f aca="false">C826&amp;"|"&amp;E826</f>
        <v>F10_02|AUS</v>
      </c>
    </row>
    <row r="827" customFormat="false" ht="15" hidden="false" customHeight="false" outlineLevel="0" collapsed="false">
      <c r="A827" s="12" t="n">
        <v>10</v>
      </c>
      <c r="B827" s="12" t="s">
        <v>40</v>
      </c>
      <c r="C827" s="12" t="s">
        <v>208</v>
      </c>
      <c r="D827" s="12" t="s">
        <v>209</v>
      </c>
      <c r="E827" s="12" t="s">
        <v>281</v>
      </c>
      <c r="F827" s="12" t="s">
        <v>27</v>
      </c>
      <c r="G827" s="12" t="n">
        <v>81</v>
      </c>
      <c r="H827" s="12" t="n">
        <v>83.5</v>
      </c>
      <c r="I827" s="12" t="s">
        <v>296</v>
      </c>
      <c r="J827" s="12" t="n">
        <v>6</v>
      </c>
      <c r="K827" s="12" t="n">
        <v>5</v>
      </c>
      <c r="L827" s="28" t="n">
        <v>1</v>
      </c>
      <c r="M827" s="12" t="n">
        <f aca="false">IF(L827=1,COUNTIFS($C$2:$C$1090,C827,$L$2:$L$1090,1),"")</f>
        <v>8</v>
      </c>
      <c r="N827" s="12" t="n">
        <f aca="false">IF(L827=1,1+COUNTIFS($C$2:$C$1090,C827,$L$2:$L$1090,1,$G$2:$G$1090,"&gt;"&amp;G827),"")</f>
        <v>6</v>
      </c>
      <c r="O827" s="12" t="n">
        <f aca="false">IF(L827=1,1+COUNTIFS($C$2:$C$1090,C827,$L$2:$L$1090,1,$H$2:$H$1090,"&gt;"&amp;H827),"")</f>
        <v>5</v>
      </c>
      <c r="P827" s="12" t="n">
        <f aca="false">IF(L827=1,N827-O827,"")</f>
        <v>1</v>
      </c>
      <c r="Q827" s="12" t="n">
        <f aca="false">INDEX(Directions!$D$2:$D$100,MATCH(C827,Directions!$A$2:$A$100,0))</f>
        <v>1</v>
      </c>
      <c r="R827" s="12" t="n">
        <f aca="false">IF(L827=1,P827*Q827,"")</f>
        <v>1</v>
      </c>
      <c r="S827" s="12" t="str">
        <f aca="false">IF(L827&lt;&gt;1,"Excluded",IF(Q827=0,"No direction",IF(R827&gt;0,"Better",IF(R827&lt;0,"Worse","No change"))))</f>
        <v>Better</v>
      </c>
      <c r="T827" s="12"/>
      <c r="U827" s="12" t="str">
        <f aca="false">C827&amp;"|"&amp;E827</f>
        <v>F10_03|USA</v>
      </c>
    </row>
    <row r="828" customFormat="false" ht="15" hidden="false" customHeight="false" outlineLevel="0" collapsed="false">
      <c r="A828" s="12" t="n">
        <v>10</v>
      </c>
      <c r="B828" s="12" t="s">
        <v>40</v>
      </c>
      <c r="C828" s="12" t="s">
        <v>208</v>
      </c>
      <c r="D828" s="12" t="s">
        <v>209</v>
      </c>
      <c r="E828" s="12" t="s">
        <v>283</v>
      </c>
      <c r="F828" s="12" t="s">
        <v>28</v>
      </c>
      <c r="G828" s="12" t="n">
        <v>86</v>
      </c>
      <c r="H828" s="12" t="n">
        <v>72.7</v>
      </c>
      <c r="I828" s="12" t="s">
        <v>296</v>
      </c>
      <c r="J828" s="12" t="n">
        <v>2</v>
      </c>
      <c r="K828" s="12" t="n">
        <v>7</v>
      </c>
      <c r="L828" s="28" t="n">
        <v>1</v>
      </c>
      <c r="M828" s="12" t="n">
        <f aca="false">IF(L828=1,COUNTIFS($C$2:$C$1090,C828,$L$2:$L$1090,1),"")</f>
        <v>8</v>
      </c>
      <c r="N828" s="12" t="n">
        <f aca="false">IF(L828=1,1+COUNTIFS($C$2:$C$1090,C828,$L$2:$L$1090,1,$G$2:$G$1090,"&gt;"&amp;G828),"")</f>
        <v>2</v>
      </c>
      <c r="O828" s="12" t="n">
        <f aca="false">IF(L828=1,1+COUNTIFS($C$2:$C$1090,C828,$L$2:$L$1090,1,$H$2:$H$1090,"&gt;"&amp;H828),"")</f>
        <v>6</v>
      </c>
      <c r="P828" s="12" t="n">
        <f aca="false">IF(L828=1,N828-O828,"")</f>
        <v>-4</v>
      </c>
      <c r="Q828" s="12" t="n">
        <f aca="false">INDEX(Directions!$D$2:$D$100,MATCH(C828,Directions!$A$2:$A$100,0))</f>
        <v>1</v>
      </c>
      <c r="R828" s="12" t="n">
        <f aca="false">IF(L828=1,P828*Q828,"")</f>
        <v>-4</v>
      </c>
      <c r="S828" s="12" t="str">
        <f aca="false">IF(L828&lt;&gt;1,"Excluded",IF(Q828=0,"No direction",IF(R828&gt;0,"Better",IF(R828&lt;0,"Worse","No change"))))</f>
        <v>Worse</v>
      </c>
      <c r="T828" s="12"/>
      <c r="U828" s="12" t="str">
        <f aca="false">C828&amp;"|"&amp;E828</f>
        <v>F10_03|GBR</v>
      </c>
    </row>
    <row r="829" customFormat="false" ht="15" hidden="false" customHeight="false" outlineLevel="0" collapsed="false">
      <c r="A829" s="12" t="n">
        <v>10</v>
      </c>
      <c r="B829" s="12" t="s">
        <v>40</v>
      </c>
      <c r="C829" s="12" t="s">
        <v>208</v>
      </c>
      <c r="D829" s="12" t="s">
        <v>209</v>
      </c>
      <c r="E829" s="12" t="s">
        <v>284</v>
      </c>
      <c r="F829" s="12" t="s">
        <v>29</v>
      </c>
      <c r="G829" s="12" t="n">
        <v>88</v>
      </c>
      <c r="H829" s="12" t="n">
        <v>86.9</v>
      </c>
      <c r="I829" s="12" t="s">
        <v>296</v>
      </c>
      <c r="J829" s="12" t="n">
        <v>1</v>
      </c>
      <c r="K829" s="12" t="n">
        <v>3</v>
      </c>
      <c r="L829" s="28" t="n">
        <v>1</v>
      </c>
      <c r="M829" s="12" t="n">
        <f aca="false">IF(L829=1,COUNTIFS($C$2:$C$1090,C829,$L$2:$L$1090,1),"")</f>
        <v>8</v>
      </c>
      <c r="N829" s="12" t="n">
        <f aca="false">IF(L829=1,1+COUNTIFS($C$2:$C$1090,C829,$L$2:$L$1090,1,$G$2:$G$1090,"&gt;"&amp;G829),"")</f>
        <v>1</v>
      </c>
      <c r="O829" s="12" t="n">
        <f aca="false">IF(L829=1,1+COUNTIFS($C$2:$C$1090,C829,$L$2:$L$1090,1,$H$2:$H$1090,"&gt;"&amp;H829),"")</f>
        <v>3</v>
      </c>
      <c r="P829" s="12" t="n">
        <f aca="false">IF(L829=1,N829-O829,"")</f>
        <v>-2</v>
      </c>
      <c r="Q829" s="12" t="n">
        <f aca="false">INDEX(Directions!$D$2:$D$100,MATCH(C829,Directions!$A$2:$A$100,0))</f>
        <v>1</v>
      </c>
      <c r="R829" s="12" t="n">
        <f aca="false">IF(L829=1,P829*Q829,"")</f>
        <v>-2</v>
      </c>
      <c r="S829" s="12" t="str">
        <f aca="false">IF(L829&lt;&gt;1,"Excluded",IF(Q829=0,"No direction",IF(R829&gt;0,"Better",IF(R829&lt;0,"Worse","No change"))))</f>
        <v>Worse</v>
      </c>
      <c r="T829" s="12"/>
      <c r="U829" s="12" t="str">
        <f aca="false">C829&amp;"|"&amp;E829</f>
        <v>F10_03|DEU</v>
      </c>
    </row>
    <row r="830" customFormat="false" ht="15" hidden="false" customHeight="false" outlineLevel="0" collapsed="false">
      <c r="A830" s="12" t="n">
        <v>10</v>
      </c>
      <c r="B830" s="12" t="s">
        <v>40</v>
      </c>
      <c r="C830" s="12" t="s">
        <v>208</v>
      </c>
      <c r="D830" s="12" t="s">
        <v>209</v>
      </c>
      <c r="E830" s="12" t="s">
        <v>285</v>
      </c>
      <c r="F830" s="12" t="s">
        <v>30</v>
      </c>
      <c r="G830" s="12" t="n">
        <v>78</v>
      </c>
      <c r="H830" s="12" t="n">
        <v>69</v>
      </c>
      <c r="I830" s="12" t="s">
        <v>296</v>
      </c>
      <c r="J830" s="12" t="n">
        <v>8</v>
      </c>
      <c r="K830" s="12" t="n">
        <v>8</v>
      </c>
      <c r="L830" s="28" t="n">
        <v>1</v>
      </c>
      <c r="M830" s="12" t="n">
        <f aca="false">IF(L830=1,COUNTIFS($C$2:$C$1090,C830,$L$2:$L$1090,1),"")</f>
        <v>8</v>
      </c>
      <c r="N830" s="12" t="n">
        <f aca="false">IF(L830=1,1+COUNTIFS($C$2:$C$1090,C830,$L$2:$L$1090,1,$G$2:$G$1090,"&gt;"&amp;G830),"")</f>
        <v>8</v>
      </c>
      <c r="O830" s="12" t="n">
        <f aca="false">IF(L830=1,1+COUNTIFS($C$2:$C$1090,C830,$L$2:$L$1090,1,$H$2:$H$1090,"&gt;"&amp;H830),"")</f>
        <v>7</v>
      </c>
      <c r="P830" s="12" t="n">
        <f aca="false">IF(L830=1,N830-O830,"")</f>
        <v>1</v>
      </c>
      <c r="Q830" s="12" t="n">
        <f aca="false">INDEX(Directions!$D$2:$D$100,MATCH(C830,Directions!$A$2:$A$100,0))</f>
        <v>1</v>
      </c>
      <c r="R830" s="12" t="n">
        <f aca="false">IF(L830=1,P830*Q830,"")</f>
        <v>1</v>
      </c>
      <c r="S830" s="12" t="str">
        <f aca="false">IF(L830&lt;&gt;1,"Excluded",IF(Q830=0,"No direction",IF(R830&gt;0,"Better",IF(R830&lt;0,"Worse","No change"))))</f>
        <v>Better</v>
      </c>
      <c r="T830" s="12"/>
      <c r="U830" s="12" t="str">
        <f aca="false">C830&amp;"|"&amp;E830</f>
        <v>F10_03|SWE</v>
      </c>
    </row>
    <row r="831" customFormat="false" ht="15" hidden="false" customHeight="false" outlineLevel="0" collapsed="false">
      <c r="A831" s="12" t="n">
        <v>10</v>
      </c>
      <c r="B831" s="12" t="s">
        <v>40</v>
      </c>
      <c r="C831" s="12" t="s">
        <v>208</v>
      </c>
      <c r="D831" s="12" t="s">
        <v>209</v>
      </c>
      <c r="E831" s="12" t="s">
        <v>286</v>
      </c>
      <c r="F831" s="12" t="s">
        <v>31</v>
      </c>
      <c r="G831" s="12" t="s">
        <v>302</v>
      </c>
      <c r="H831" s="12" t="n">
        <v>83.5</v>
      </c>
      <c r="I831" s="12" t="s">
        <v>296</v>
      </c>
      <c r="J831" s="12" t="s">
        <v>302</v>
      </c>
      <c r="K831" s="12" t="n">
        <v>6</v>
      </c>
      <c r="L831" s="28" t="n">
        <v>0</v>
      </c>
      <c r="M831" s="12" t="str">
        <f aca="false">IF(L831=1,COUNTIFS($C$2:$C$1090,C831,$L$2:$L$1090,1),"")</f>
        <v/>
      </c>
      <c r="N831" s="12" t="str">
        <f aca="false">IF(L831=1,1+COUNTIFS($C$2:$C$1090,C831,$L$2:$L$1090,1,$G$2:$G$1090,"&gt;"&amp;G831),"")</f>
        <v/>
      </c>
      <c r="O831" s="12" t="str">
        <f aca="false">IF(L831=1,1+COUNTIFS($C$2:$C$1090,C831,$L$2:$L$1090,1,$H$2:$H$1090,"&gt;"&amp;H831),"")</f>
        <v/>
      </c>
      <c r="P831" s="12" t="str">
        <f aca="false">IF(L831=1,N831-O831,"")</f>
        <v/>
      </c>
      <c r="Q831" s="12" t="n">
        <f aca="false">INDEX(Directions!$D$2:$D$100,MATCH(C831,Directions!$A$2:$A$100,0))</f>
        <v>1</v>
      </c>
      <c r="R831" s="12" t="str">
        <f aca="false">IF(L831=1,P831*Q831,"")</f>
        <v/>
      </c>
      <c r="S831" s="12" t="str">
        <f aca="false">IF(L831&lt;&gt;1,"Excluded",IF(Q831=0,"No direction",IF(R831&gt;0,"Better",IF(R831&lt;0,"Worse","No change"))))</f>
        <v>Excluded</v>
      </c>
      <c r="T831" s="12" t="s">
        <v>311</v>
      </c>
      <c r="U831" s="12" t="str">
        <f aca="false">C831&amp;"|"&amp;E831</f>
        <v>F10_03|FRA</v>
      </c>
    </row>
    <row r="832" customFormat="false" ht="15" hidden="false" customHeight="false" outlineLevel="0" collapsed="false">
      <c r="A832" s="12" t="n">
        <v>10</v>
      </c>
      <c r="B832" s="12" t="s">
        <v>40</v>
      </c>
      <c r="C832" s="12" t="s">
        <v>208</v>
      </c>
      <c r="D832" s="12" t="s">
        <v>209</v>
      </c>
      <c r="E832" s="12" t="s">
        <v>32</v>
      </c>
      <c r="F832" s="12" t="s">
        <v>32</v>
      </c>
      <c r="G832" s="12" t="n">
        <v>85</v>
      </c>
      <c r="H832" s="12" t="n">
        <v>93.7</v>
      </c>
      <c r="I832" s="12" t="s">
        <v>293</v>
      </c>
      <c r="J832" s="12" t="n">
        <v>3</v>
      </c>
      <c r="K832" s="12" t="n">
        <v>1</v>
      </c>
      <c r="L832" s="28" t="n">
        <v>1</v>
      </c>
      <c r="M832" s="12" t="n">
        <f aca="false">IF(L832=1,COUNTIFS($C$2:$C$1090,C832,$L$2:$L$1090,1),"")</f>
        <v>8</v>
      </c>
      <c r="N832" s="12" t="n">
        <f aca="false">IF(L832=1,1+COUNTIFS($C$2:$C$1090,C832,$L$2:$L$1090,1,$G$2:$G$1090,"&gt;"&amp;G832),"")</f>
        <v>3</v>
      </c>
      <c r="O832" s="12" t="n">
        <f aca="false">IF(L832=1,1+COUNTIFS($C$2:$C$1090,C832,$L$2:$L$1090,1,$H$2:$H$1090,"&gt;"&amp;H832),"")</f>
        <v>1</v>
      </c>
      <c r="P832" s="12" t="n">
        <f aca="false">IF(L832=1,N832-O832,"")</f>
        <v>2</v>
      </c>
      <c r="Q832" s="12" t="n">
        <f aca="false">INDEX(Directions!$D$2:$D$100,MATCH(C832,Directions!$A$2:$A$100,0))</f>
        <v>1</v>
      </c>
      <c r="R832" s="12" t="n">
        <f aca="false">IF(L832=1,P832*Q832,"")</f>
        <v>2</v>
      </c>
      <c r="S832" s="12" t="str">
        <f aca="false">IF(L832&lt;&gt;1,"Excluded",IF(Q832=0,"No direction",IF(R832&gt;0,"Better",IF(R832&lt;0,"Worse","No change"))))</f>
        <v>Better</v>
      </c>
      <c r="T832" s="12"/>
      <c r="U832" s="12" t="str">
        <f aca="false">C832&amp;"|"&amp;E832</f>
        <v>F10_03|NLD</v>
      </c>
    </row>
    <row r="833" customFormat="false" ht="15" hidden="false" customHeight="false" outlineLevel="0" collapsed="false">
      <c r="A833" s="12" t="n">
        <v>10</v>
      </c>
      <c r="B833" s="12" t="s">
        <v>40</v>
      </c>
      <c r="C833" s="12" t="s">
        <v>208</v>
      </c>
      <c r="D833" s="12" t="s">
        <v>209</v>
      </c>
      <c r="E833" s="12" t="s">
        <v>33</v>
      </c>
      <c r="F833" s="12" t="s">
        <v>33</v>
      </c>
      <c r="G833" s="12" t="n">
        <v>84</v>
      </c>
      <c r="H833" s="12" t="n">
        <v>86.3</v>
      </c>
      <c r="I833" s="12" t="s">
        <v>296</v>
      </c>
      <c r="J833" s="12" t="n">
        <v>4</v>
      </c>
      <c r="K833" s="12" t="n">
        <v>4</v>
      </c>
      <c r="L833" s="28" t="n">
        <v>1</v>
      </c>
      <c r="M833" s="12" t="n">
        <f aca="false">IF(L833=1,COUNTIFS($C$2:$C$1090,C833,$L$2:$L$1090,1),"")</f>
        <v>8</v>
      </c>
      <c r="N833" s="12" t="n">
        <f aca="false">IF(L833=1,1+COUNTIFS($C$2:$C$1090,C833,$L$2:$L$1090,1,$G$2:$G$1090,"&gt;"&amp;G833),"")</f>
        <v>4</v>
      </c>
      <c r="O833" s="12" t="n">
        <f aca="false">IF(L833=1,1+COUNTIFS($C$2:$C$1090,C833,$L$2:$L$1090,1,$H$2:$H$1090,"&gt;"&amp;H833),"")</f>
        <v>4</v>
      </c>
      <c r="P833" s="12" t="n">
        <f aca="false">IF(L833=1,N833-O833,"")</f>
        <v>0</v>
      </c>
      <c r="Q833" s="12" t="n">
        <f aca="false">INDEX(Directions!$D$2:$D$100,MATCH(C833,Directions!$A$2:$A$100,0))</f>
        <v>1</v>
      </c>
      <c r="R833" s="12" t="n">
        <f aca="false">IF(L833=1,P833*Q833,"")</f>
        <v>0</v>
      </c>
      <c r="S833" s="12" t="str">
        <f aca="false">IF(L833&lt;&gt;1,"Excluded",IF(Q833=0,"No direction",IF(R833&gt;0,"Better",IF(R833&lt;0,"Worse","No change"))))</f>
        <v>No change</v>
      </c>
      <c r="T833" s="12"/>
      <c r="U833" s="12" t="str">
        <f aca="false">C833&amp;"|"&amp;E833</f>
        <v>F10_03|CHE</v>
      </c>
    </row>
    <row r="834" customFormat="false" ht="15" hidden="false" customHeight="false" outlineLevel="0" collapsed="false">
      <c r="A834" s="12" t="n">
        <v>10</v>
      </c>
      <c r="B834" s="12" t="s">
        <v>40</v>
      </c>
      <c r="C834" s="12" t="s">
        <v>208</v>
      </c>
      <c r="D834" s="12" t="s">
        <v>209</v>
      </c>
      <c r="E834" s="12" t="s">
        <v>287</v>
      </c>
      <c r="F834" s="12" t="s">
        <v>34</v>
      </c>
      <c r="G834" s="12" t="s">
        <v>302</v>
      </c>
      <c r="H834" s="12" t="s">
        <v>302</v>
      </c>
      <c r="I834" s="12"/>
      <c r="J834" s="12" t="s">
        <v>302</v>
      </c>
      <c r="K834" s="12" t="s">
        <v>302</v>
      </c>
      <c r="L834" s="28" t="n">
        <v>0</v>
      </c>
      <c r="M834" s="12" t="str">
        <f aca="false">IF(L834=1,COUNTIFS($C$2:$C$1090,C834,$L$2:$L$1090,1),"")</f>
        <v/>
      </c>
      <c r="N834" s="12" t="str">
        <f aca="false">IF(L834=1,1+COUNTIFS($C$2:$C$1090,C834,$L$2:$L$1090,1,$G$2:$G$1090,"&gt;"&amp;G834),"")</f>
        <v/>
      </c>
      <c r="O834" s="12" t="str">
        <f aca="false">IF(L834=1,1+COUNTIFS($C$2:$C$1090,C834,$L$2:$L$1090,1,$H$2:$H$1090,"&gt;"&amp;H834),"")</f>
        <v/>
      </c>
      <c r="P834" s="12" t="str">
        <f aca="false">IF(L834=1,N834-O834,"")</f>
        <v/>
      </c>
      <c r="Q834" s="12" t="n">
        <f aca="false">INDEX(Directions!$D$2:$D$100,MATCH(C834,Directions!$A$2:$A$100,0))</f>
        <v>1</v>
      </c>
      <c r="R834" s="12" t="str">
        <f aca="false">IF(L834=1,P834*Q834,"")</f>
        <v/>
      </c>
      <c r="S834" s="12" t="str">
        <f aca="false">IF(L834&lt;&gt;1,"Excluded",IF(Q834=0,"No direction",IF(R834&gt;0,"Better",IF(R834&lt;0,"Worse","No change"))))</f>
        <v>Excluded</v>
      </c>
      <c r="T834" s="12" t="s">
        <v>304</v>
      </c>
      <c r="U834" s="12" t="str">
        <f aca="false">C834&amp;"|"&amp;E834</f>
        <v>F10_03|DNK</v>
      </c>
    </row>
    <row r="835" customFormat="false" ht="15" hidden="false" customHeight="false" outlineLevel="0" collapsed="false">
      <c r="A835" s="12" t="n">
        <v>10</v>
      </c>
      <c r="B835" s="12" t="s">
        <v>40</v>
      </c>
      <c r="C835" s="12" t="s">
        <v>208</v>
      </c>
      <c r="D835" s="12" t="s">
        <v>209</v>
      </c>
      <c r="E835" s="12" t="s">
        <v>288</v>
      </c>
      <c r="F835" s="12" t="s">
        <v>35</v>
      </c>
      <c r="G835" s="12" t="n">
        <v>79</v>
      </c>
      <c r="H835" s="12" t="n">
        <v>63.3</v>
      </c>
      <c r="I835" s="12" t="s">
        <v>291</v>
      </c>
      <c r="J835" s="12" t="n">
        <v>7</v>
      </c>
      <c r="K835" s="12" t="n">
        <v>9</v>
      </c>
      <c r="L835" s="28" t="n">
        <v>1</v>
      </c>
      <c r="M835" s="12" t="n">
        <f aca="false">IF(L835=1,COUNTIFS($C$2:$C$1090,C835,$L$2:$L$1090,1),"")</f>
        <v>8</v>
      </c>
      <c r="N835" s="12" t="n">
        <f aca="false">IF(L835=1,1+COUNTIFS($C$2:$C$1090,C835,$L$2:$L$1090,1,$G$2:$G$1090,"&gt;"&amp;G835),"")</f>
        <v>7</v>
      </c>
      <c r="O835" s="12" t="n">
        <f aca="false">IF(L835=1,1+COUNTIFS($C$2:$C$1090,C835,$L$2:$L$1090,1,$H$2:$H$1090,"&gt;"&amp;H835),"")</f>
        <v>8</v>
      </c>
      <c r="P835" s="12" t="n">
        <f aca="false">IF(L835=1,N835-O835,"")</f>
        <v>-1</v>
      </c>
      <c r="Q835" s="12" t="n">
        <f aca="false">INDEX(Directions!$D$2:$D$100,MATCH(C835,Directions!$A$2:$A$100,0))</f>
        <v>1</v>
      </c>
      <c r="R835" s="12" t="n">
        <f aca="false">IF(L835=1,P835*Q835,"")</f>
        <v>-1</v>
      </c>
      <c r="S835" s="12" t="str">
        <f aca="false">IF(L835&lt;&gt;1,"Excluded",IF(Q835=0,"No direction",IF(R835&gt;0,"Better",IF(R835&lt;0,"Worse","No change"))))</f>
        <v>Worse</v>
      </c>
      <c r="T835" s="12"/>
      <c r="U835" s="12" t="str">
        <f aca="false">C835&amp;"|"&amp;E835</f>
        <v>F10_03|CAN</v>
      </c>
    </row>
    <row r="836" customFormat="false" ht="15" hidden="false" customHeight="false" outlineLevel="0" collapsed="false">
      <c r="A836" s="12" t="n">
        <v>10</v>
      </c>
      <c r="B836" s="12" t="s">
        <v>40</v>
      </c>
      <c r="C836" s="12" t="s">
        <v>208</v>
      </c>
      <c r="D836" s="12" t="s">
        <v>209</v>
      </c>
      <c r="E836" s="12" t="s">
        <v>289</v>
      </c>
      <c r="F836" s="12" t="s">
        <v>36</v>
      </c>
      <c r="G836" s="12" t="s">
        <v>302</v>
      </c>
      <c r="H836" s="12" t="s">
        <v>302</v>
      </c>
      <c r="I836" s="12"/>
      <c r="J836" s="12" t="s">
        <v>302</v>
      </c>
      <c r="K836" s="12" t="s">
        <v>302</v>
      </c>
      <c r="L836" s="28" t="n">
        <v>0</v>
      </c>
      <c r="M836" s="12" t="str">
        <f aca="false">IF(L836=1,COUNTIFS($C$2:$C$1090,C836,$L$2:$L$1090,1),"")</f>
        <v/>
      </c>
      <c r="N836" s="12" t="str">
        <f aca="false">IF(L836=1,1+COUNTIFS($C$2:$C$1090,C836,$L$2:$L$1090,1,$G$2:$G$1090,"&gt;"&amp;G836),"")</f>
        <v/>
      </c>
      <c r="O836" s="12" t="str">
        <f aca="false">IF(L836=1,1+COUNTIFS($C$2:$C$1090,C836,$L$2:$L$1090,1,$H$2:$H$1090,"&gt;"&amp;H836),"")</f>
        <v/>
      </c>
      <c r="P836" s="12" t="str">
        <f aca="false">IF(L836=1,N836-O836,"")</f>
        <v/>
      </c>
      <c r="Q836" s="12" t="n">
        <f aca="false">INDEX(Directions!$D$2:$D$100,MATCH(C836,Directions!$A$2:$A$100,0))</f>
        <v>1</v>
      </c>
      <c r="R836" s="12" t="str">
        <f aca="false">IF(L836=1,P836*Q836,"")</f>
        <v/>
      </c>
      <c r="S836" s="12" t="str">
        <f aca="false">IF(L836&lt;&gt;1,"Excluded",IF(Q836=0,"No direction",IF(R836&gt;0,"Better",IF(R836&lt;0,"Worse","No change"))))</f>
        <v>Excluded</v>
      </c>
      <c r="T836" s="12" t="s">
        <v>304</v>
      </c>
      <c r="U836" s="12" t="str">
        <f aca="false">C836&amp;"|"&amp;E836</f>
        <v>F10_03|JPN</v>
      </c>
    </row>
    <row r="837" customFormat="false" ht="15" hidden="false" customHeight="false" outlineLevel="0" collapsed="false">
      <c r="A837" s="12" t="n">
        <v>10</v>
      </c>
      <c r="B837" s="12" t="s">
        <v>40</v>
      </c>
      <c r="C837" s="12" t="s">
        <v>208</v>
      </c>
      <c r="D837" s="12" t="s">
        <v>209</v>
      </c>
      <c r="E837" s="12" t="s">
        <v>290</v>
      </c>
      <c r="F837" s="12" t="s">
        <v>37</v>
      </c>
      <c r="G837" s="12" t="n">
        <v>83</v>
      </c>
      <c r="H837" s="12" t="n">
        <v>87.3</v>
      </c>
      <c r="I837" s="12" t="s">
        <v>296</v>
      </c>
      <c r="J837" s="12" t="n">
        <v>5</v>
      </c>
      <c r="K837" s="12" t="n">
        <v>2</v>
      </c>
      <c r="L837" s="28" t="n">
        <v>1</v>
      </c>
      <c r="M837" s="12" t="n">
        <f aca="false">IF(L837=1,COUNTIFS($C$2:$C$1090,C837,$L$2:$L$1090,1),"")</f>
        <v>8</v>
      </c>
      <c r="N837" s="12" t="n">
        <f aca="false">IF(L837=1,1+COUNTIFS($C$2:$C$1090,C837,$L$2:$L$1090,1,$G$2:$G$1090,"&gt;"&amp;G837),"")</f>
        <v>5</v>
      </c>
      <c r="O837" s="12" t="n">
        <f aca="false">IF(L837=1,1+COUNTIFS($C$2:$C$1090,C837,$L$2:$L$1090,1,$H$2:$H$1090,"&gt;"&amp;H837),"")</f>
        <v>2</v>
      </c>
      <c r="P837" s="12" t="n">
        <f aca="false">IF(L837=1,N837-O837,"")</f>
        <v>3</v>
      </c>
      <c r="Q837" s="12" t="n">
        <f aca="false">INDEX(Directions!$D$2:$D$100,MATCH(C837,Directions!$A$2:$A$100,0))</f>
        <v>1</v>
      </c>
      <c r="R837" s="12" t="n">
        <f aca="false">IF(L837=1,P837*Q837,"")</f>
        <v>3</v>
      </c>
      <c r="S837" s="12" t="str">
        <f aca="false">IF(L837&lt;&gt;1,"Excluded",IF(Q837=0,"No direction",IF(R837&gt;0,"Better",IF(R837&lt;0,"Worse","No change"))))</f>
        <v>Better</v>
      </c>
      <c r="T837" s="12"/>
      <c r="U837" s="12" t="str">
        <f aca="false">C837&amp;"|"&amp;E837</f>
        <v>F10_03|AUS</v>
      </c>
    </row>
    <row r="838" customFormat="false" ht="15" hidden="false" customHeight="false" outlineLevel="0" collapsed="false">
      <c r="A838" s="12" t="n">
        <v>10</v>
      </c>
      <c r="B838" s="12" t="s">
        <v>40</v>
      </c>
      <c r="C838" s="12" t="s">
        <v>210</v>
      </c>
      <c r="D838" s="12" t="s">
        <v>211</v>
      </c>
      <c r="E838" s="12" t="s">
        <v>281</v>
      </c>
      <c r="F838" s="12" t="s">
        <v>27</v>
      </c>
      <c r="G838" s="12" t="n">
        <v>19</v>
      </c>
      <c r="H838" s="12" t="s">
        <v>302</v>
      </c>
      <c r="I838" s="12"/>
      <c r="J838" s="12" t="n">
        <v>8</v>
      </c>
      <c r="K838" s="12" t="s">
        <v>302</v>
      </c>
      <c r="L838" s="28" t="n">
        <v>0</v>
      </c>
      <c r="M838" s="12" t="str">
        <f aca="false">IF(L838=1,COUNTIFS($C$2:$C$1090,C838,$L$2:$L$1090,1),"")</f>
        <v/>
      </c>
      <c r="N838" s="12" t="str">
        <f aca="false">IF(L838=1,1+COUNTIFS($C$2:$C$1090,C838,$L$2:$L$1090,1,$G$2:$G$1090,"&gt;"&amp;G838),"")</f>
        <v/>
      </c>
      <c r="O838" s="12" t="str">
        <f aca="false">IF(L838=1,1+COUNTIFS($C$2:$C$1090,C838,$L$2:$L$1090,1,$H$2:$H$1090,"&gt;"&amp;H838),"")</f>
        <v/>
      </c>
      <c r="P838" s="12" t="str">
        <f aca="false">IF(L838=1,N838-O838,"")</f>
        <v/>
      </c>
      <c r="Q838" s="12" t="n">
        <f aca="false">INDEX(Directions!$D$2:$D$100,MATCH(C838,Directions!$A$2:$A$100,0))</f>
        <v>1</v>
      </c>
      <c r="R838" s="12" t="str">
        <f aca="false">IF(L838=1,P838*Q838,"")</f>
        <v/>
      </c>
      <c r="S838" s="12" t="str">
        <f aca="false">IF(L838&lt;&gt;1,"Excluded",IF(Q838=0,"No direction",IF(R838&gt;0,"Better",IF(R838&lt;0,"Worse","No change"))))</f>
        <v>Excluded</v>
      </c>
      <c r="T838" s="12" t="s">
        <v>303</v>
      </c>
      <c r="U838" s="12" t="str">
        <f aca="false">C838&amp;"|"&amp;E838</f>
        <v>F10_04|USA</v>
      </c>
    </row>
    <row r="839" customFormat="false" ht="15" hidden="false" customHeight="false" outlineLevel="0" collapsed="false">
      <c r="A839" s="12" t="n">
        <v>10</v>
      </c>
      <c r="B839" s="12" t="s">
        <v>40</v>
      </c>
      <c r="C839" s="12" t="s">
        <v>210</v>
      </c>
      <c r="D839" s="12" t="s">
        <v>211</v>
      </c>
      <c r="E839" s="12" t="s">
        <v>283</v>
      </c>
      <c r="F839" s="12" t="s">
        <v>28</v>
      </c>
      <c r="G839" s="12" t="n">
        <v>44</v>
      </c>
      <c r="H839" s="12" t="s">
        <v>302</v>
      </c>
      <c r="I839" s="12"/>
      <c r="J839" s="12" t="n">
        <v>4</v>
      </c>
      <c r="K839" s="12" t="s">
        <v>302</v>
      </c>
      <c r="L839" s="28" t="n">
        <v>0</v>
      </c>
      <c r="M839" s="12" t="str">
        <f aca="false">IF(L839=1,COUNTIFS($C$2:$C$1090,C839,$L$2:$L$1090,1),"")</f>
        <v/>
      </c>
      <c r="N839" s="12" t="str">
        <f aca="false">IF(L839=1,1+COUNTIFS($C$2:$C$1090,C839,$L$2:$L$1090,1,$G$2:$G$1090,"&gt;"&amp;G839),"")</f>
        <v/>
      </c>
      <c r="O839" s="12" t="str">
        <f aca="false">IF(L839=1,1+COUNTIFS($C$2:$C$1090,C839,$L$2:$L$1090,1,$H$2:$H$1090,"&gt;"&amp;H839),"")</f>
        <v/>
      </c>
      <c r="P839" s="12" t="str">
        <f aca="false">IF(L839=1,N839-O839,"")</f>
        <v/>
      </c>
      <c r="Q839" s="12" t="n">
        <f aca="false">INDEX(Directions!$D$2:$D$100,MATCH(C839,Directions!$A$2:$A$100,0))</f>
        <v>1</v>
      </c>
      <c r="R839" s="12" t="str">
        <f aca="false">IF(L839=1,P839*Q839,"")</f>
        <v/>
      </c>
      <c r="S839" s="12" t="str">
        <f aca="false">IF(L839&lt;&gt;1,"Excluded",IF(Q839=0,"No direction",IF(R839&gt;0,"Better",IF(R839&lt;0,"Worse","No change"))))</f>
        <v>Excluded</v>
      </c>
      <c r="T839" s="12" t="s">
        <v>303</v>
      </c>
      <c r="U839" s="12" t="str">
        <f aca="false">C839&amp;"|"&amp;E839</f>
        <v>F10_04|GBR</v>
      </c>
    </row>
    <row r="840" customFormat="false" ht="15" hidden="false" customHeight="false" outlineLevel="0" collapsed="false">
      <c r="A840" s="12" t="n">
        <v>10</v>
      </c>
      <c r="B840" s="12" t="s">
        <v>40</v>
      </c>
      <c r="C840" s="12" t="s">
        <v>210</v>
      </c>
      <c r="D840" s="12" t="s">
        <v>211</v>
      </c>
      <c r="E840" s="12" t="s">
        <v>284</v>
      </c>
      <c r="F840" s="12" t="s">
        <v>29</v>
      </c>
      <c r="G840" s="12" t="n">
        <v>60</v>
      </c>
      <c r="H840" s="12" t="s">
        <v>302</v>
      </c>
      <c r="I840" s="12"/>
      <c r="J840" s="12" t="n">
        <v>1</v>
      </c>
      <c r="K840" s="12" t="s">
        <v>302</v>
      </c>
      <c r="L840" s="28" t="n">
        <v>0</v>
      </c>
      <c r="M840" s="12" t="str">
        <f aca="false">IF(L840=1,COUNTIFS($C$2:$C$1090,C840,$L$2:$L$1090,1),"")</f>
        <v/>
      </c>
      <c r="N840" s="12" t="str">
        <f aca="false">IF(L840=1,1+COUNTIFS($C$2:$C$1090,C840,$L$2:$L$1090,1,$G$2:$G$1090,"&gt;"&amp;G840),"")</f>
        <v/>
      </c>
      <c r="O840" s="12" t="str">
        <f aca="false">IF(L840=1,1+COUNTIFS($C$2:$C$1090,C840,$L$2:$L$1090,1,$H$2:$H$1090,"&gt;"&amp;H840),"")</f>
        <v/>
      </c>
      <c r="P840" s="12" t="str">
        <f aca="false">IF(L840=1,N840-O840,"")</f>
        <v/>
      </c>
      <c r="Q840" s="12" t="n">
        <f aca="false">INDEX(Directions!$D$2:$D$100,MATCH(C840,Directions!$A$2:$A$100,0))</f>
        <v>1</v>
      </c>
      <c r="R840" s="12" t="str">
        <f aca="false">IF(L840=1,P840*Q840,"")</f>
        <v/>
      </c>
      <c r="S840" s="12" t="str">
        <f aca="false">IF(L840&lt;&gt;1,"Excluded",IF(Q840=0,"No direction",IF(R840&gt;0,"Better",IF(R840&lt;0,"Worse","No change"))))</f>
        <v>Excluded</v>
      </c>
      <c r="T840" s="12" t="s">
        <v>303</v>
      </c>
      <c r="U840" s="12" t="str">
        <f aca="false">C840&amp;"|"&amp;E840</f>
        <v>F10_04|DEU</v>
      </c>
    </row>
    <row r="841" customFormat="false" ht="15" hidden="false" customHeight="false" outlineLevel="0" collapsed="false">
      <c r="A841" s="12" t="n">
        <v>10</v>
      </c>
      <c r="B841" s="12" t="s">
        <v>40</v>
      </c>
      <c r="C841" s="12" t="s">
        <v>210</v>
      </c>
      <c r="D841" s="12" t="s">
        <v>211</v>
      </c>
      <c r="E841" s="12" t="s">
        <v>285</v>
      </c>
      <c r="F841" s="12" t="s">
        <v>30</v>
      </c>
      <c r="G841" s="12" t="n">
        <v>44</v>
      </c>
      <c r="H841" s="12" t="s">
        <v>302</v>
      </c>
      <c r="I841" s="12"/>
      <c r="J841" s="12" t="n">
        <v>5</v>
      </c>
      <c r="K841" s="12" t="s">
        <v>302</v>
      </c>
      <c r="L841" s="28" t="n">
        <v>0</v>
      </c>
      <c r="M841" s="12" t="str">
        <f aca="false">IF(L841=1,COUNTIFS($C$2:$C$1090,C841,$L$2:$L$1090,1),"")</f>
        <v/>
      </c>
      <c r="N841" s="12" t="str">
        <f aca="false">IF(L841=1,1+COUNTIFS($C$2:$C$1090,C841,$L$2:$L$1090,1,$G$2:$G$1090,"&gt;"&amp;G841),"")</f>
        <v/>
      </c>
      <c r="O841" s="12" t="str">
        <f aca="false">IF(L841=1,1+COUNTIFS($C$2:$C$1090,C841,$L$2:$L$1090,1,$H$2:$H$1090,"&gt;"&amp;H841),"")</f>
        <v/>
      </c>
      <c r="P841" s="12" t="str">
        <f aca="false">IF(L841=1,N841-O841,"")</f>
        <v/>
      </c>
      <c r="Q841" s="12" t="n">
        <f aca="false">INDEX(Directions!$D$2:$D$100,MATCH(C841,Directions!$A$2:$A$100,0))</f>
        <v>1</v>
      </c>
      <c r="R841" s="12" t="str">
        <f aca="false">IF(L841=1,P841*Q841,"")</f>
        <v/>
      </c>
      <c r="S841" s="12" t="str">
        <f aca="false">IF(L841&lt;&gt;1,"Excluded",IF(Q841=0,"No direction",IF(R841&gt;0,"Better",IF(R841&lt;0,"Worse","No change"))))</f>
        <v>Excluded</v>
      </c>
      <c r="T841" s="12" t="s">
        <v>303</v>
      </c>
      <c r="U841" s="12" t="str">
        <f aca="false">C841&amp;"|"&amp;E841</f>
        <v>F10_04|SWE</v>
      </c>
    </row>
    <row r="842" customFormat="false" ht="15" hidden="false" customHeight="false" outlineLevel="0" collapsed="false">
      <c r="A842" s="12" t="n">
        <v>10</v>
      </c>
      <c r="B842" s="12" t="s">
        <v>40</v>
      </c>
      <c r="C842" s="12" t="s">
        <v>210</v>
      </c>
      <c r="D842" s="12" t="s">
        <v>211</v>
      </c>
      <c r="E842" s="12" t="s">
        <v>286</v>
      </c>
      <c r="F842" s="12" t="s">
        <v>31</v>
      </c>
      <c r="G842" s="12" t="n">
        <v>54</v>
      </c>
      <c r="H842" s="12" t="s">
        <v>302</v>
      </c>
      <c r="I842" s="12"/>
      <c r="J842" s="12" t="n">
        <v>3</v>
      </c>
      <c r="K842" s="12" t="s">
        <v>302</v>
      </c>
      <c r="L842" s="28" t="n">
        <v>0</v>
      </c>
      <c r="M842" s="12" t="str">
        <f aca="false">IF(L842=1,COUNTIFS($C$2:$C$1090,C842,$L$2:$L$1090,1),"")</f>
        <v/>
      </c>
      <c r="N842" s="12" t="str">
        <f aca="false">IF(L842=1,1+COUNTIFS($C$2:$C$1090,C842,$L$2:$L$1090,1,$G$2:$G$1090,"&gt;"&amp;G842),"")</f>
        <v/>
      </c>
      <c r="O842" s="12" t="str">
        <f aca="false">IF(L842=1,1+COUNTIFS($C$2:$C$1090,C842,$L$2:$L$1090,1,$H$2:$H$1090,"&gt;"&amp;H842),"")</f>
        <v/>
      </c>
      <c r="P842" s="12" t="str">
        <f aca="false">IF(L842=1,N842-O842,"")</f>
        <v/>
      </c>
      <c r="Q842" s="12" t="n">
        <f aca="false">INDEX(Directions!$D$2:$D$100,MATCH(C842,Directions!$A$2:$A$100,0))</f>
        <v>1</v>
      </c>
      <c r="R842" s="12" t="str">
        <f aca="false">IF(L842=1,P842*Q842,"")</f>
        <v/>
      </c>
      <c r="S842" s="12" t="str">
        <f aca="false">IF(L842&lt;&gt;1,"Excluded",IF(Q842=0,"No direction",IF(R842&gt;0,"Better",IF(R842&lt;0,"Worse","No change"))))</f>
        <v>Excluded</v>
      </c>
      <c r="T842" s="12" t="s">
        <v>303</v>
      </c>
      <c r="U842" s="12" t="str">
        <f aca="false">C842&amp;"|"&amp;E842</f>
        <v>F10_04|FRA</v>
      </c>
    </row>
    <row r="843" customFormat="false" ht="15" hidden="false" customHeight="false" outlineLevel="0" collapsed="false">
      <c r="A843" s="12" t="n">
        <v>10</v>
      </c>
      <c r="B843" s="12" t="s">
        <v>40</v>
      </c>
      <c r="C843" s="12" t="s">
        <v>210</v>
      </c>
      <c r="D843" s="12" t="s">
        <v>211</v>
      </c>
      <c r="E843" s="12" t="s">
        <v>32</v>
      </c>
      <c r="F843" s="12" t="s">
        <v>32</v>
      </c>
      <c r="G843" s="12" t="s">
        <v>302</v>
      </c>
      <c r="H843" s="12" t="s">
        <v>302</v>
      </c>
      <c r="I843" s="12"/>
      <c r="J843" s="12" t="s">
        <v>302</v>
      </c>
      <c r="K843" s="12" t="s">
        <v>302</v>
      </c>
      <c r="L843" s="28" t="n">
        <v>0</v>
      </c>
      <c r="M843" s="12" t="str">
        <f aca="false">IF(L843=1,COUNTIFS($C$2:$C$1090,C843,$L$2:$L$1090,1),"")</f>
        <v/>
      </c>
      <c r="N843" s="12" t="str">
        <f aca="false">IF(L843=1,1+COUNTIFS($C$2:$C$1090,C843,$L$2:$L$1090,1,$G$2:$G$1090,"&gt;"&amp;G843),"")</f>
        <v/>
      </c>
      <c r="O843" s="12" t="str">
        <f aca="false">IF(L843=1,1+COUNTIFS($C$2:$C$1090,C843,$L$2:$L$1090,1,$H$2:$H$1090,"&gt;"&amp;H843),"")</f>
        <v/>
      </c>
      <c r="P843" s="12" t="str">
        <f aca="false">IF(L843=1,N843-O843,"")</f>
        <v/>
      </c>
      <c r="Q843" s="12" t="n">
        <f aca="false">INDEX(Directions!$D$2:$D$100,MATCH(C843,Directions!$A$2:$A$100,0))</f>
        <v>1</v>
      </c>
      <c r="R843" s="12" t="str">
        <f aca="false">IF(L843=1,P843*Q843,"")</f>
        <v/>
      </c>
      <c r="S843" s="12" t="str">
        <f aca="false">IF(L843&lt;&gt;1,"Excluded",IF(Q843=0,"No direction",IF(R843&gt;0,"Better",IF(R843&lt;0,"Worse","No change"))))</f>
        <v>Excluded</v>
      </c>
      <c r="T843" s="12" t="s">
        <v>304</v>
      </c>
      <c r="U843" s="12" t="str">
        <f aca="false">C843&amp;"|"&amp;E843</f>
        <v>F10_04|NLD</v>
      </c>
    </row>
    <row r="844" customFormat="false" ht="15" hidden="false" customHeight="false" outlineLevel="0" collapsed="false">
      <c r="A844" s="12" t="n">
        <v>10</v>
      </c>
      <c r="B844" s="12" t="s">
        <v>40</v>
      </c>
      <c r="C844" s="12" t="s">
        <v>210</v>
      </c>
      <c r="D844" s="12" t="s">
        <v>211</v>
      </c>
      <c r="E844" s="12" t="s">
        <v>33</v>
      </c>
      <c r="F844" s="12" t="s">
        <v>33</v>
      </c>
      <c r="G844" s="12" t="n">
        <v>58</v>
      </c>
      <c r="H844" s="12" t="s">
        <v>302</v>
      </c>
      <c r="I844" s="12"/>
      <c r="J844" s="12" t="n">
        <v>2</v>
      </c>
      <c r="K844" s="12" t="s">
        <v>302</v>
      </c>
      <c r="L844" s="28" t="n">
        <v>0</v>
      </c>
      <c r="M844" s="12" t="str">
        <f aca="false">IF(L844=1,COUNTIFS($C$2:$C$1090,C844,$L$2:$L$1090,1),"")</f>
        <v/>
      </c>
      <c r="N844" s="12" t="str">
        <f aca="false">IF(L844=1,1+COUNTIFS($C$2:$C$1090,C844,$L$2:$L$1090,1,$G$2:$G$1090,"&gt;"&amp;G844),"")</f>
        <v/>
      </c>
      <c r="O844" s="12" t="str">
        <f aca="false">IF(L844=1,1+COUNTIFS($C$2:$C$1090,C844,$L$2:$L$1090,1,$H$2:$H$1090,"&gt;"&amp;H844),"")</f>
        <v/>
      </c>
      <c r="P844" s="12" t="str">
        <f aca="false">IF(L844=1,N844-O844,"")</f>
        <v/>
      </c>
      <c r="Q844" s="12" t="n">
        <f aca="false">INDEX(Directions!$D$2:$D$100,MATCH(C844,Directions!$A$2:$A$100,0))</f>
        <v>1</v>
      </c>
      <c r="R844" s="12" t="str">
        <f aca="false">IF(L844=1,P844*Q844,"")</f>
        <v/>
      </c>
      <c r="S844" s="12" t="str">
        <f aca="false">IF(L844&lt;&gt;1,"Excluded",IF(Q844=0,"No direction",IF(R844&gt;0,"Better",IF(R844&lt;0,"Worse","No change"))))</f>
        <v>Excluded</v>
      </c>
      <c r="T844" s="12" t="s">
        <v>303</v>
      </c>
      <c r="U844" s="12" t="str">
        <f aca="false">C844&amp;"|"&amp;E844</f>
        <v>F10_04|CHE</v>
      </c>
    </row>
    <row r="845" customFormat="false" ht="15" hidden="false" customHeight="false" outlineLevel="0" collapsed="false">
      <c r="A845" s="12" t="n">
        <v>10</v>
      </c>
      <c r="B845" s="12" t="s">
        <v>40</v>
      </c>
      <c r="C845" s="12" t="s">
        <v>210</v>
      </c>
      <c r="D845" s="12" t="s">
        <v>211</v>
      </c>
      <c r="E845" s="12" t="s">
        <v>287</v>
      </c>
      <c r="F845" s="12" t="s">
        <v>34</v>
      </c>
      <c r="G845" s="12" t="s">
        <v>302</v>
      </c>
      <c r="H845" s="12" t="s">
        <v>302</v>
      </c>
      <c r="I845" s="12"/>
      <c r="J845" s="12" t="s">
        <v>302</v>
      </c>
      <c r="K845" s="12" t="s">
        <v>302</v>
      </c>
      <c r="L845" s="28" t="n">
        <v>0</v>
      </c>
      <c r="M845" s="12" t="str">
        <f aca="false">IF(L845=1,COUNTIFS($C$2:$C$1090,C845,$L$2:$L$1090,1),"")</f>
        <v/>
      </c>
      <c r="N845" s="12" t="str">
        <f aca="false">IF(L845=1,1+COUNTIFS($C$2:$C$1090,C845,$L$2:$L$1090,1,$G$2:$G$1090,"&gt;"&amp;G845),"")</f>
        <v/>
      </c>
      <c r="O845" s="12" t="str">
        <f aca="false">IF(L845=1,1+COUNTIFS($C$2:$C$1090,C845,$L$2:$L$1090,1,$H$2:$H$1090,"&gt;"&amp;H845),"")</f>
        <v/>
      </c>
      <c r="P845" s="12" t="str">
        <f aca="false">IF(L845=1,N845-O845,"")</f>
        <v/>
      </c>
      <c r="Q845" s="12" t="n">
        <f aca="false">INDEX(Directions!$D$2:$D$100,MATCH(C845,Directions!$A$2:$A$100,0))</f>
        <v>1</v>
      </c>
      <c r="R845" s="12" t="str">
        <f aca="false">IF(L845=1,P845*Q845,"")</f>
        <v/>
      </c>
      <c r="S845" s="12" t="str">
        <f aca="false">IF(L845&lt;&gt;1,"Excluded",IF(Q845=0,"No direction",IF(R845&gt;0,"Better",IF(R845&lt;0,"Worse","No change"))))</f>
        <v>Excluded</v>
      </c>
      <c r="T845" s="12" t="s">
        <v>304</v>
      </c>
      <c r="U845" s="12" t="str">
        <f aca="false">C845&amp;"|"&amp;E845</f>
        <v>F10_04|DNK</v>
      </c>
    </row>
    <row r="846" customFormat="false" ht="15" hidden="false" customHeight="false" outlineLevel="0" collapsed="false">
      <c r="A846" s="12" t="n">
        <v>10</v>
      </c>
      <c r="B846" s="12" t="s">
        <v>40</v>
      </c>
      <c r="C846" s="12" t="s">
        <v>210</v>
      </c>
      <c r="D846" s="12" t="s">
        <v>211</v>
      </c>
      <c r="E846" s="12" t="s">
        <v>288</v>
      </c>
      <c r="F846" s="12" t="s">
        <v>35</v>
      </c>
      <c r="G846" s="12" t="n">
        <v>35</v>
      </c>
      <c r="H846" s="12" t="s">
        <v>302</v>
      </c>
      <c r="I846" s="12"/>
      <c r="J846" s="12" t="n">
        <v>7</v>
      </c>
      <c r="K846" s="12" t="s">
        <v>302</v>
      </c>
      <c r="L846" s="28" t="n">
        <v>0</v>
      </c>
      <c r="M846" s="12" t="str">
        <f aca="false">IF(L846=1,COUNTIFS($C$2:$C$1090,C846,$L$2:$L$1090,1),"")</f>
        <v/>
      </c>
      <c r="N846" s="12" t="str">
        <f aca="false">IF(L846=1,1+COUNTIFS($C$2:$C$1090,C846,$L$2:$L$1090,1,$G$2:$G$1090,"&gt;"&amp;G846),"")</f>
        <v/>
      </c>
      <c r="O846" s="12" t="str">
        <f aca="false">IF(L846=1,1+COUNTIFS($C$2:$C$1090,C846,$L$2:$L$1090,1,$H$2:$H$1090,"&gt;"&amp;H846),"")</f>
        <v/>
      </c>
      <c r="P846" s="12" t="str">
        <f aca="false">IF(L846=1,N846-O846,"")</f>
        <v/>
      </c>
      <c r="Q846" s="12" t="n">
        <f aca="false">INDEX(Directions!$D$2:$D$100,MATCH(C846,Directions!$A$2:$A$100,0))</f>
        <v>1</v>
      </c>
      <c r="R846" s="12" t="str">
        <f aca="false">IF(L846=1,P846*Q846,"")</f>
        <v/>
      </c>
      <c r="S846" s="12" t="str">
        <f aca="false">IF(L846&lt;&gt;1,"Excluded",IF(Q846=0,"No direction",IF(R846&gt;0,"Better",IF(R846&lt;0,"Worse","No change"))))</f>
        <v>Excluded</v>
      </c>
      <c r="T846" s="12" t="s">
        <v>303</v>
      </c>
      <c r="U846" s="12" t="str">
        <f aca="false">C846&amp;"|"&amp;E846</f>
        <v>F10_04|CAN</v>
      </c>
    </row>
    <row r="847" customFormat="false" ht="15" hidden="false" customHeight="false" outlineLevel="0" collapsed="false">
      <c r="A847" s="12" t="n">
        <v>10</v>
      </c>
      <c r="B847" s="12" t="s">
        <v>40</v>
      </c>
      <c r="C847" s="12" t="s">
        <v>210</v>
      </c>
      <c r="D847" s="12" t="s">
        <v>211</v>
      </c>
      <c r="E847" s="12" t="s">
        <v>289</v>
      </c>
      <c r="F847" s="12" t="s">
        <v>36</v>
      </c>
      <c r="G847" s="12" t="s">
        <v>302</v>
      </c>
      <c r="H847" s="12" t="s">
        <v>302</v>
      </c>
      <c r="I847" s="12"/>
      <c r="J847" s="12" t="s">
        <v>302</v>
      </c>
      <c r="K847" s="12" t="s">
        <v>302</v>
      </c>
      <c r="L847" s="28" t="n">
        <v>0</v>
      </c>
      <c r="M847" s="12" t="str">
        <f aca="false">IF(L847=1,COUNTIFS($C$2:$C$1090,C847,$L$2:$L$1090,1),"")</f>
        <v/>
      </c>
      <c r="N847" s="12" t="str">
        <f aca="false">IF(L847=1,1+COUNTIFS($C$2:$C$1090,C847,$L$2:$L$1090,1,$G$2:$G$1090,"&gt;"&amp;G847),"")</f>
        <v/>
      </c>
      <c r="O847" s="12" t="str">
        <f aca="false">IF(L847=1,1+COUNTIFS($C$2:$C$1090,C847,$L$2:$L$1090,1,$H$2:$H$1090,"&gt;"&amp;H847),"")</f>
        <v/>
      </c>
      <c r="P847" s="12" t="str">
        <f aca="false">IF(L847=1,N847-O847,"")</f>
        <v/>
      </c>
      <c r="Q847" s="12" t="n">
        <f aca="false">INDEX(Directions!$D$2:$D$100,MATCH(C847,Directions!$A$2:$A$100,0))</f>
        <v>1</v>
      </c>
      <c r="R847" s="12" t="str">
        <f aca="false">IF(L847=1,P847*Q847,"")</f>
        <v/>
      </c>
      <c r="S847" s="12" t="str">
        <f aca="false">IF(L847&lt;&gt;1,"Excluded",IF(Q847=0,"No direction",IF(R847&gt;0,"Better",IF(R847&lt;0,"Worse","No change"))))</f>
        <v>Excluded</v>
      </c>
      <c r="T847" s="12" t="s">
        <v>304</v>
      </c>
      <c r="U847" s="12" t="str">
        <f aca="false">C847&amp;"|"&amp;E847</f>
        <v>F10_04|JPN</v>
      </c>
    </row>
    <row r="848" customFormat="false" ht="15" hidden="false" customHeight="false" outlineLevel="0" collapsed="false">
      <c r="A848" s="12" t="n">
        <v>10</v>
      </c>
      <c r="B848" s="12" t="s">
        <v>40</v>
      </c>
      <c r="C848" s="12" t="s">
        <v>210</v>
      </c>
      <c r="D848" s="12" t="s">
        <v>211</v>
      </c>
      <c r="E848" s="12" t="s">
        <v>290</v>
      </c>
      <c r="F848" s="12" t="s">
        <v>37</v>
      </c>
      <c r="G848" s="12" t="n">
        <v>44</v>
      </c>
      <c r="H848" s="12" t="s">
        <v>302</v>
      </c>
      <c r="I848" s="12"/>
      <c r="J848" s="12" t="n">
        <v>6</v>
      </c>
      <c r="K848" s="12" t="s">
        <v>302</v>
      </c>
      <c r="L848" s="28" t="n">
        <v>0</v>
      </c>
      <c r="M848" s="12" t="str">
        <f aca="false">IF(L848=1,COUNTIFS($C$2:$C$1090,C848,$L$2:$L$1090,1),"")</f>
        <v/>
      </c>
      <c r="N848" s="12" t="str">
        <f aca="false">IF(L848=1,1+COUNTIFS($C$2:$C$1090,C848,$L$2:$L$1090,1,$G$2:$G$1090,"&gt;"&amp;G848),"")</f>
        <v/>
      </c>
      <c r="O848" s="12" t="str">
        <f aca="false">IF(L848=1,1+COUNTIFS($C$2:$C$1090,C848,$L$2:$L$1090,1,$H$2:$H$1090,"&gt;"&amp;H848),"")</f>
        <v/>
      </c>
      <c r="P848" s="12" t="str">
        <f aca="false">IF(L848=1,N848-O848,"")</f>
        <v/>
      </c>
      <c r="Q848" s="12" t="n">
        <f aca="false">INDEX(Directions!$D$2:$D$100,MATCH(C848,Directions!$A$2:$A$100,0))</f>
        <v>1</v>
      </c>
      <c r="R848" s="12" t="str">
        <f aca="false">IF(L848=1,P848*Q848,"")</f>
        <v/>
      </c>
      <c r="S848" s="12" t="str">
        <f aca="false">IF(L848&lt;&gt;1,"Excluded",IF(Q848=0,"No direction",IF(R848&gt;0,"Better",IF(R848&lt;0,"Worse","No change"))))</f>
        <v>Excluded</v>
      </c>
      <c r="T848" s="12" t="s">
        <v>303</v>
      </c>
      <c r="U848" s="12" t="str">
        <f aca="false">C848&amp;"|"&amp;E848</f>
        <v>F10_04|AUS</v>
      </c>
    </row>
    <row r="849" customFormat="false" ht="15" hidden="false" customHeight="false" outlineLevel="0" collapsed="false">
      <c r="A849" s="12" t="n">
        <v>10</v>
      </c>
      <c r="B849" s="12" t="s">
        <v>40</v>
      </c>
      <c r="C849" s="12" t="s">
        <v>213</v>
      </c>
      <c r="D849" s="12" t="s">
        <v>214</v>
      </c>
      <c r="E849" s="12" t="s">
        <v>281</v>
      </c>
      <c r="F849" s="12" t="s">
        <v>27</v>
      </c>
      <c r="G849" s="12" t="n">
        <v>53</v>
      </c>
      <c r="H849" s="12" t="s">
        <v>302</v>
      </c>
      <c r="I849" s="12"/>
      <c r="J849" s="12" t="n">
        <v>2</v>
      </c>
      <c r="K849" s="12" t="s">
        <v>302</v>
      </c>
      <c r="L849" s="28" t="n">
        <v>0</v>
      </c>
      <c r="M849" s="12" t="str">
        <f aca="false">IF(L849=1,COUNTIFS($C$2:$C$1090,C849,$L$2:$L$1090,1),"")</f>
        <v/>
      </c>
      <c r="N849" s="12" t="str">
        <f aca="false">IF(L849=1,1+COUNTIFS($C$2:$C$1090,C849,$L$2:$L$1090,1,$G$2:$G$1090,"&gt;"&amp;G849),"")</f>
        <v/>
      </c>
      <c r="O849" s="12" t="str">
        <f aca="false">IF(L849=1,1+COUNTIFS($C$2:$C$1090,C849,$L$2:$L$1090,1,$H$2:$H$1090,"&gt;"&amp;H849),"")</f>
        <v/>
      </c>
      <c r="P849" s="12" t="str">
        <f aca="false">IF(L849=1,N849-O849,"")</f>
        <v/>
      </c>
      <c r="Q849" s="12" t="n">
        <f aca="false">INDEX(Directions!$D$2:$D$100,MATCH(C849,Directions!$A$2:$A$100,0))</f>
        <v>-1</v>
      </c>
      <c r="R849" s="12" t="str">
        <f aca="false">IF(L849=1,P849*Q849,"")</f>
        <v/>
      </c>
      <c r="S849" s="12" t="str">
        <f aca="false">IF(L849&lt;&gt;1,"Excluded",IF(Q849=0,"No direction",IF(R849&gt;0,"Better",IF(R849&lt;0,"Worse","No change"))))</f>
        <v>Excluded</v>
      </c>
      <c r="T849" s="12" t="s">
        <v>303</v>
      </c>
      <c r="U849" s="12" t="str">
        <f aca="false">C849&amp;"|"&amp;E849</f>
        <v>F10_05|USA</v>
      </c>
    </row>
    <row r="850" customFormat="false" ht="15" hidden="false" customHeight="false" outlineLevel="0" collapsed="false">
      <c r="A850" s="12" t="n">
        <v>10</v>
      </c>
      <c r="B850" s="12" t="s">
        <v>40</v>
      </c>
      <c r="C850" s="12" t="s">
        <v>213</v>
      </c>
      <c r="D850" s="12" t="s">
        <v>214</v>
      </c>
      <c r="E850" s="12" t="s">
        <v>283</v>
      </c>
      <c r="F850" s="12" t="s">
        <v>28</v>
      </c>
      <c r="G850" s="12" t="n">
        <v>46</v>
      </c>
      <c r="H850" s="12" t="s">
        <v>302</v>
      </c>
      <c r="I850" s="12"/>
      <c r="J850" s="12" t="n">
        <v>3</v>
      </c>
      <c r="K850" s="12" t="s">
        <v>302</v>
      </c>
      <c r="L850" s="28" t="n">
        <v>0</v>
      </c>
      <c r="M850" s="12" t="str">
        <f aca="false">IF(L850=1,COUNTIFS($C$2:$C$1090,C850,$L$2:$L$1090,1),"")</f>
        <v/>
      </c>
      <c r="N850" s="12" t="str">
        <f aca="false">IF(L850=1,1+COUNTIFS($C$2:$C$1090,C850,$L$2:$L$1090,1,$G$2:$G$1090,"&gt;"&amp;G850),"")</f>
        <v/>
      </c>
      <c r="O850" s="12" t="str">
        <f aca="false">IF(L850=1,1+COUNTIFS($C$2:$C$1090,C850,$L$2:$L$1090,1,$H$2:$H$1090,"&gt;"&amp;H850),"")</f>
        <v/>
      </c>
      <c r="P850" s="12" t="str">
        <f aca="false">IF(L850=1,N850-O850,"")</f>
        <v/>
      </c>
      <c r="Q850" s="12" t="n">
        <f aca="false">INDEX(Directions!$D$2:$D$100,MATCH(C850,Directions!$A$2:$A$100,0))</f>
        <v>-1</v>
      </c>
      <c r="R850" s="12" t="str">
        <f aca="false">IF(L850=1,P850*Q850,"")</f>
        <v/>
      </c>
      <c r="S850" s="12" t="str">
        <f aca="false">IF(L850&lt;&gt;1,"Excluded",IF(Q850=0,"No direction",IF(R850&gt;0,"Better",IF(R850&lt;0,"Worse","No change"))))</f>
        <v>Excluded</v>
      </c>
      <c r="T850" s="12" t="s">
        <v>303</v>
      </c>
      <c r="U850" s="12" t="str">
        <f aca="false">C850&amp;"|"&amp;E850</f>
        <v>F10_05|GBR</v>
      </c>
    </row>
    <row r="851" customFormat="false" ht="15" hidden="false" customHeight="false" outlineLevel="0" collapsed="false">
      <c r="A851" s="12" t="n">
        <v>10</v>
      </c>
      <c r="B851" s="12" t="s">
        <v>40</v>
      </c>
      <c r="C851" s="12" t="s">
        <v>213</v>
      </c>
      <c r="D851" s="12" t="s">
        <v>214</v>
      </c>
      <c r="E851" s="12" t="s">
        <v>284</v>
      </c>
      <c r="F851" s="12" t="s">
        <v>29</v>
      </c>
      <c r="G851" s="12" t="n">
        <v>37</v>
      </c>
      <c r="H851" s="12" t="s">
        <v>302</v>
      </c>
      <c r="I851" s="12"/>
      <c r="J851" s="12" t="n">
        <v>7</v>
      </c>
      <c r="K851" s="12" t="s">
        <v>302</v>
      </c>
      <c r="L851" s="28" t="n">
        <v>0</v>
      </c>
      <c r="M851" s="12" t="str">
        <f aca="false">IF(L851=1,COUNTIFS($C$2:$C$1090,C851,$L$2:$L$1090,1),"")</f>
        <v/>
      </c>
      <c r="N851" s="12" t="str">
        <f aca="false">IF(L851=1,1+COUNTIFS($C$2:$C$1090,C851,$L$2:$L$1090,1,$G$2:$G$1090,"&gt;"&amp;G851),"")</f>
        <v/>
      </c>
      <c r="O851" s="12" t="str">
        <f aca="false">IF(L851=1,1+COUNTIFS($C$2:$C$1090,C851,$L$2:$L$1090,1,$H$2:$H$1090,"&gt;"&amp;H851),"")</f>
        <v/>
      </c>
      <c r="P851" s="12" t="str">
        <f aca="false">IF(L851=1,N851-O851,"")</f>
        <v/>
      </c>
      <c r="Q851" s="12" t="n">
        <f aca="false">INDEX(Directions!$D$2:$D$100,MATCH(C851,Directions!$A$2:$A$100,0))</f>
        <v>-1</v>
      </c>
      <c r="R851" s="12" t="str">
        <f aca="false">IF(L851=1,P851*Q851,"")</f>
        <v/>
      </c>
      <c r="S851" s="12" t="str">
        <f aca="false">IF(L851&lt;&gt;1,"Excluded",IF(Q851=0,"No direction",IF(R851&gt;0,"Better",IF(R851&lt;0,"Worse","No change"))))</f>
        <v>Excluded</v>
      </c>
      <c r="T851" s="12" t="s">
        <v>303</v>
      </c>
      <c r="U851" s="12" t="str">
        <f aca="false">C851&amp;"|"&amp;E851</f>
        <v>F10_05|DEU</v>
      </c>
    </row>
    <row r="852" customFormat="false" ht="15" hidden="false" customHeight="false" outlineLevel="0" collapsed="false">
      <c r="A852" s="12" t="n">
        <v>10</v>
      </c>
      <c r="B852" s="12" t="s">
        <v>40</v>
      </c>
      <c r="C852" s="12" t="s">
        <v>213</v>
      </c>
      <c r="D852" s="12" t="s">
        <v>214</v>
      </c>
      <c r="E852" s="12" t="s">
        <v>285</v>
      </c>
      <c r="F852" s="12" t="s">
        <v>30</v>
      </c>
      <c r="G852" s="12" t="n">
        <v>46</v>
      </c>
      <c r="H852" s="12" t="s">
        <v>302</v>
      </c>
      <c r="I852" s="12"/>
      <c r="J852" s="12" t="n">
        <v>4</v>
      </c>
      <c r="K852" s="12" t="s">
        <v>302</v>
      </c>
      <c r="L852" s="28" t="n">
        <v>0</v>
      </c>
      <c r="M852" s="12" t="str">
        <f aca="false">IF(L852=1,COUNTIFS($C$2:$C$1090,C852,$L$2:$L$1090,1),"")</f>
        <v/>
      </c>
      <c r="N852" s="12" t="str">
        <f aca="false">IF(L852=1,1+COUNTIFS($C$2:$C$1090,C852,$L$2:$L$1090,1,$G$2:$G$1090,"&gt;"&amp;G852),"")</f>
        <v/>
      </c>
      <c r="O852" s="12" t="str">
        <f aca="false">IF(L852=1,1+COUNTIFS($C$2:$C$1090,C852,$L$2:$L$1090,1,$H$2:$H$1090,"&gt;"&amp;H852),"")</f>
        <v/>
      </c>
      <c r="P852" s="12" t="str">
        <f aca="false">IF(L852=1,N852-O852,"")</f>
        <v/>
      </c>
      <c r="Q852" s="12" t="n">
        <f aca="false">INDEX(Directions!$D$2:$D$100,MATCH(C852,Directions!$A$2:$A$100,0))</f>
        <v>-1</v>
      </c>
      <c r="R852" s="12" t="str">
        <f aca="false">IF(L852=1,P852*Q852,"")</f>
        <v/>
      </c>
      <c r="S852" s="12" t="str">
        <f aca="false">IF(L852&lt;&gt;1,"Excluded",IF(Q852=0,"No direction",IF(R852&gt;0,"Better",IF(R852&lt;0,"Worse","No change"))))</f>
        <v>Excluded</v>
      </c>
      <c r="T852" s="12" t="s">
        <v>303</v>
      </c>
      <c r="U852" s="12" t="str">
        <f aca="false">C852&amp;"|"&amp;E852</f>
        <v>F10_05|SWE</v>
      </c>
    </row>
    <row r="853" customFormat="false" ht="15" hidden="false" customHeight="false" outlineLevel="0" collapsed="false">
      <c r="A853" s="12" t="n">
        <v>10</v>
      </c>
      <c r="B853" s="12" t="s">
        <v>40</v>
      </c>
      <c r="C853" s="12" t="s">
        <v>213</v>
      </c>
      <c r="D853" s="12" t="s">
        <v>214</v>
      </c>
      <c r="E853" s="12" t="s">
        <v>286</v>
      </c>
      <c r="F853" s="12" t="s">
        <v>31</v>
      </c>
      <c r="G853" s="12" t="n">
        <v>41</v>
      </c>
      <c r="H853" s="12" t="s">
        <v>302</v>
      </c>
      <c r="I853" s="12"/>
      <c r="J853" s="12" t="n">
        <v>6</v>
      </c>
      <c r="K853" s="12" t="s">
        <v>302</v>
      </c>
      <c r="L853" s="28" t="n">
        <v>0</v>
      </c>
      <c r="M853" s="12" t="str">
        <f aca="false">IF(L853=1,COUNTIFS($C$2:$C$1090,C853,$L$2:$L$1090,1),"")</f>
        <v/>
      </c>
      <c r="N853" s="12" t="str">
        <f aca="false">IF(L853=1,1+COUNTIFS($C$2:$C$1090,C853,$L$2:$L$1090,1,$G$2:$G$1090,"&gt;"&amp;G853),"")</f>
        <v/>
      </c>
      <c r="O853" s="12" t="str">
        <f aca="false">IF(L853=1,1+COUNTIFS($C$2:$C$1090,C853,$L$2:$L$1090,1,$H$2:$H$1090,"&gt;"&amp;H853),"")</f>
        <v/>
      </c>
      <c r="P853" s="12" t="str">
        <f aca="false">IF(L853=1,N853-O853,"")</f>
        <v/>
      </c>
      <c r="Q853" s="12" t="n">
        <f aca="false">INDEX(Directions!$D$2:$D$100,MATCH(C853,Directions!$A$2:$A$100,0))</f>
        <v>-1</v>
      </c>
      <c r="R853" s="12" t="str">
        <f aca="false">IF(L853=1,P853*Q853,"")</f>
        <v/>
      </c>
      <c r="S853" s="12" t="str">
        <f aca="false">IF(L853&lt;&gt;1,"Excluded",IF(Q853=0,"No direction",IF(R853&gt;0,"Better",IF(R853&lt;0,"Worse","No change"))))</f>
        <v>Excluded</v>
      </c>
      <c r="T853" s="12" t="s">
        <v>303</v>
      </c>
      <c r="U853" s="12" t="str">
        <f aca="false">C853&amp;"|"&amp;E853</f>
        <v>F10_05|FRA</v>
      </c>
    </row>
    <row r="854" customFormat="false" ht="15" hidden="false" customHeight="false" outlineLevel="0" collapsed="false">
      <c r="A854" s="12" t="n">
        <v>10</v>
      </c>
      <c r="B854" s="12" t="s">
        <v>40</v>
      </c>
      <c r="C854" s="12" t="s">
        <v>213</v>
      </c>
      <c r="D854" s="12" t="s">
        <v>214</v>
      </c>
      <c r="E854" s="12" t="s">
        <v>32</v>
      </c>
      <c r="F854" s="12" t="s">
        <v>32</v>
      </c>
      <c r="G854" s="12" t="s">
        <v>302</v>
      </c>
      <c r="H854" s="12" t="s">
        <v>302</v>
      </c>
      <c r="I854" s="12"/>
      <c r="J854" s="12" t="s">
        <v>302</v>
      </c>
      <c r="K854" s="12" t="s">
        <v>302</v>
      </c>
      <c r="L854" s="28" t="n">
        <v>0</v>
      </c>
      <c r="M854" s="12" t="str">
        <f aca="false">IF(L854=1,COUNTIFS($C$2:$C$1090,C854,$L$2:$L$1090,1),"")</f>
        <v/>
      </c>
      <c r="N854" s="12" t="str">
        <f aca="false">IF(L854=1,1+COUNTIFS($C$2:$C$1090,C854,$L$2:$L$1090,1,$G$2:$G$1090,"&gt;"&amp;G854),"")</f>
        <v/>
      </c>
      <c r="O854" s="12" t="str">
        <f aca="false">IF(L854=1,1+COUNTIFS($C$2:$C$1090,C854,$L$2:$L$1090,1,$H$2:$H$1090,"&gt;"&amp;H854),"")</f>
        <v/>
      </c>
      <c r="P854" s="12" t="str">
        <f aca="false">IF(L854=1,N854-O854,"")</f>
        <v/>
      </c>
      <c r="Q854" s="12" t="n">
        <f aca="false">INDEX(Directions!$D$2:$D$100,MATCH(C854,Directions!$A$2:$A$100,0))</f>
        <v>-1</v>
      </c>
      <c r="R854" s="12" t="str">
        <f aca="false">IF(L854=1,P854*Q854,"")</f>
        <v/>
      </c>
      <c r="S854" s="12" t="str">
        <f aca="false">IF(L854&lt;&gt;1,"Excluded",IF(Q854=0,"No direction",IF(R854&gt;0,"Better",IF(R854&lt;0,"Worse","No change"))))</f>
        <v>Excluded</v>
      </c>
      <c r="T854" s="12" t="s">
        <v>304</v>
      </c>
      <c r="U854" s="12" t="str">
        <f aca="false">C854&amp;"|"&amp;E854</f>
        <v>F10_05|NLD</v>
      </c>
    </row>
    <row r="855" customFormat="false" ht="15" hidden="false" customHeight="false" outlineLevel="0" collapsed="false">
      <c r="A855" s="12" t="n">
        <v>10</v>
      </c>
      <c r="B855" s="12" t="s">
        <v>40</v>
      </c>
      <c r="C855" s="12" t="s">
        <v>213</v>
      </c>
      <c r="D855" s="12" t="s">
        <v>214</v>
      </c>
      <c r="E855" s="12" t="s">
        <v>33</v>
      </c>
      <c r="F855" s="12" t="s">
        <v>33</v>
      </c>
      <c r="G855" s="12" t="n">
        <v>37</v>
      </c>
      <c r="H855" s="12" t="s">
        <v>302</v>
      </c>
      <c r="I855" s="12"/>
      <c r="J855" s="12" t="n">
        <v>8</v>
      </c>
      <c r="K855" s="12" t="s">
        <v>302</v>
      </c>
      <c r="L855" s="28" t="n">
        <v>0</v>
      </c>
      <c r="M855" s="12" t="str">
        <f aca="false">IF(L855=1,COUNTIFS($C$2:$C$1090,C855,$L$2:$L$1090,1),"")</f>
        <v/>
      </c>
      <c r="N855" s="12" t="str">
        <f aca="false">IF(L855=1,1+COUNTIFS($C$2:$C$1090,C855,$L$2:$L$1090,1,$G$2:$G$1090,"&gt;"&amp;G855),"")</f>
        <v/>
      </c>
      <c r="O855" s="12" t="str">
        <f aca="false">IF(L855=1,1+COUNTIFS($C$2:$C$1090,C855,$L$2:$L$1090,1,$H$2:$H$1090,"&gt;"&amp;H855),"")</f>
        <v/>
      </c>
      <c r="P855" s="12" t="str">
        <f aca="false">IF(L855=1,N855-O855,"")</f>
        <v/>
      </c>
      <c r="Q855" s="12" t="n">
        <f aca="false">INDEX(Directions!$D$2:$D$100,MATCH(C855,Directions!$A$2:$A$100,0))</f>
        <v>-1</v>
      </c>
      <c r="R855" s="12" t="str">
        <f aca="false">IF(L855=1,P855*Q855,"")</f>
        <v/>
      </c>
      <c r="S855" s="12" t="str">
        <f aca="false">IF(L855&lt;&gt;1,"Excluded",IF(Q855=0,"No direction",IF(R855&gt;0,"Better",IF(R855&lt;0,"Worse","No change"))))</f>
        <v>Excluded</v>
      </c>
      <c r="T855" s="12" t="s">
        <v>303</v>
      </c>
      <c r="U855" s="12" t="str">
        <f aca="false">C855&amp;"|"&amp;E855</f>
        <v>F10_05|CHE</v>
      </c>
    </row>
    <row r="856" customFormat="false" ht="15" hidden="false" customHeight="false" outlineLevel="0" collapsed="false">
      <c r="A856" s="12" t="n">
        <v>10</v>
      </c>
      <c r="B856" s="12" t="s">
        <v>40</v>
      </c>
      <c r="C856" s="12" t="s">
        <v>213</v>
      </c>
      <c r="D856" s="12" t="s">
        <v>214</v>
      </c>
      <c r="E856" s="12" t="s">
        <v>287</v>
      </c>
      <c r="F856" s="12" t="s">
        <v>34</v>
      </c>
      <c r="G856" s="12" t="s">
        <v>302</v>
      </c>
      <c r="H856" s="12" t="s">
        <v>302</v>
      </c>
      <c r="I856" s="12"/>
      <c r="J856" s="12" t="s">
        <v>302</v>
      </c>
      <c r="K856" s="12" t="s">
        <v>302</v>
      </c>
      <c r="L856" s="28" t="n">
        <v>0</v>
      </c>
      <c r="M856" s="12" t="str">
        <f aca="false">IF(L856=1,COUNTIFS($C$2:$C$1090,C856,$L$2:$L$1090,1),"")</f>
        <v/>
      </c>
      <c r="N856" s="12" t="str">
        <f aca="false">IF(L856=1,1+COUNTIFS($C$2:$C$1090,C856,$L$2:$L$1090,1,$G$2:$G$1090,"&gt;"&amp;G856),"")</f>
        <v/>
      </c>
      <c r="O856" s="12" t="str">
        <f aca="false">IF(L856=1,1+COUNTIFS($C$2:$C$1090,C856,$L$2:$L$1090,1,$H$2:$H$1090,"&gt;"&amp;H856),"")</f>
        <v/>
      </c>
      <c r="P856" s="12" t="str">
        <f aca="false">IF(L856=1,N856-O856,"")</f>
        <v/>
      </c>
      <c r="Q856" s="12" t="n">
        <f aca="false">INDEX(Directions!$D$2:$D$100,MATCH(C856,Directions!$A$2:$A$100,0))</f>
        <v>-1</v>
      </c>
      <c r="R856" s="12" t="str">
        <f aca="false">IF(L856=1,P856*Q856,"")</f>
        <v/>
      </c>
      <c r="S856" s="12" t="str">
        <f aca="false">IF(L856&lt;&gt;1,"Excluded",IF(Q856=0,"No direction",IF(R856&gt;0,"Better",IF(R856&lt;0,"Worse","No change"))))</f>
        <v>Excluded</v>
      </c>
      <c r="T856" s="12" t="s">
        <v>304</v>
      </c>
      <c r="U856" s="12" t="str">
        <f aca="false">C856&amp;"|"&amp;E856</f>
        <v>F10_05|DNK</v>
      </c>
    </row>
    <row r="857" customFormat="false" ht="15" hidden="false" customHeight="false" outlineLevel="0" collapsed="false">
      <c r="A857" s="12" t="n">
        <v>10</v>
      </c>
      <c r="B857" s="12" t="s">
        <v>40</v>
      </c>
      <c r="C857" s="12" t="s">
        <v>213</v>
      </c>
      <c r="D857" s="12" t="s">
        <v>214</v>
      </c>
      <c r="E857" s="12" t="s">
        <v>288</v>
      </c>
      <c r="F857" s="12" t="s">
        <v>35</v>
      </c>
      <c r="G857" s="12" t="n">
        <v>55</v>
      </c>
      <c r="H857" s="12" t="s">
        <v>302</v>
      </c>
      <c r="I857" s="12"/>
      <c r="J857" s="12" t="n">
        <v>1</v>
      </c>
      <c r="K857" s="12" t="s">
        <v>302</v>
      </c>
      <c r="L857" s="28" t="n">
        <v>0</v>
      </c>
      <c r="M857" s="12" t="str">
        <f aca="false">IF(L857=1,COUNTIFS($C$2:$C$1090,C857,$L$2:$L$1090,1),"")</f>
        <v/>
      </c>
      <c r="N857" s="12" t="str">
        <f aca="false">IF(L857=1,1+COUNTIFS($C$2:$C$1090,C857,$L$2:$L$1090,1,$G$2:$G$1090,"&gt;"&amp;G857),"")</f>
        <v/>
      </c>
      <c r="O857" s="12" t="str">
        <f aca="false">IF(L857=1,1+COUNTIFS($C$2:$C$1090,C857,$L$2:$L$1090,1,$H$2:$H$1090,"&gt;"&amp;H857),"")</f>
        <v/>
      </c>
      <c r="P857" s="12" t="str">
        <f aca="false">IF(L857=1,N857-O857,"")</f>
        <v/>
      </c>
      <c r="Q857" s="12" t="n">
        <f aca="false">INDEX(Directions!$D$2:$D$100,MATCH(C857,Directions!$A$2:$A$100,0))</f>
        <v>-1</v>
      </c>
      <c r="R857" s="12" t="str">
        <f aca="false">IF(L857=1,P857*Q857,"")</f>
        <v/>
      </c>
      <c r="S857" s="12" t="str">
        <f aca="false">IF(L857&lt;&gt;1,"Excluded",IF(Q857=0,"No direction",IF(R857&gt;0,"Better",IF(R857&lt;0,"Worse","No change"))))</f>
        <v>Excluded</v>
      </c>
      <c r="T857" s="12" t="s">
        <v>303</v>
      </c>
      <c r="U857" s="12" t="str">
        <f aca="false">C857&amp;"|"&amp;E857</f>
        <v>F10_05|CAN</v>
      </c>
    </row>
    <row r="858" customFormat="false" ht="15" hidden="false" customHeight="false" outlineLevel="0" collapsed="false">
      <c r="A858" s="12" t="n">
        <v>10</v>
      </c>
      <c r="B858" s="12" t="s">
        <v>40</v>
      </c>
      <c r="C858" s="12" t="s">
        <v>213</v>
      </c>
      <c r="D858" s="12" t="s">
        <v>214</v>
      </c>
      <c r="E858" s="12" t="s">
        <v>289</v>
      </c>
      <c r="F858" s="12" t="s">
        <v>36</v>
      </c>
      <c r="G858" s="12" t="s">
        <v>302</v>
      </c>
      <c r="H858" s="12" t="s">
        <v>302</v>
      </c>
      <c r="I858" s="12"/>
      <c r="J858" s="12" t="s">
        <v>302</v>
      </c>
      <c r="K858" s="12" t="s">
        <v>302</v>
      </c>
      <c r="L858" s="28" t="n">
        <v>0</v>
      </c>
      <c r="M858" s="12" t="str">
        <f aca="false">IF(L858=1,COUNTIFS($C$2:$C$1090,C858,$L$2:$L$1090,1),"")</f>
        <v/>
      </c>
      <c r="N858" s="12" t="str">
        <f aca="false">IF(L858=1,1+COUNTIFS($C$2:$C$1090,C858,$L$2:$L$1090,1,$G$2:$G$1090,"&gt;"&amp;G858),"")</f>
        <v/>
      </c>
      <c r="O858" s="12" t="str">
        <f aca="false">IF(L858=1,1+COUNTIFS($C$2:$C$1090,C858,$L$2:$L$1090,1,$H$2:$H$1090,"&gt;"&amp;H858),"")</f>
        <v/>
      </c>
      <c r="P858" s="12" t="str">
        <f aca="false">IF(L858=1,N858-O858,"")</f>
        <v/>
      </c>
      <c r="Q858" s="12" t="n">
        <f aca="false">INDEX(Directions!$D$2:$D$100,MATCH(C858,Directions!$A$2:$A$100,0))</f>
        <v>-1</v>
      </c>
      <c r="R858" s="12" t="str">
        <f aca="false">IF(L858=1,P858*Q858,"")</f>
        <v/>
      </c>
      <c r="S858" s="12" t="str">
        <f aca="false">IF(L858&lt;&gt;1,"Excluded",IF(Q858=0,"No direction",IF(R858&gt;0,"Better",IF(R858&lt;0,"Worse","No change"))))</f>
        <v>Excluded</v>
      </c>
      <c r="T858" s="12" t="s">
        <v>304</v>
      </c>
      <c r="U858" s="12" t="str">
        <f aca="false">C858&amp;"|"&amp;E858</f>
        <v>F10_05|JPN</v>
      </c>
    </row>
    <row r="859" customFormat="false" ht="15" hidden="false" customHeight="false" outlineLevel="0" collapsed="false">
      <c r="A859" s="12" t="n">
        <v>10</v>
      </c>
      <c r="B859" s="12" t="s">
        <v>40</v>
      </c>
      <c r="C859" s="12" t="s">
        <v>213</v>
      </c>
      <c r="D859" s="12" t="s">
        <v>214</v>
      </c>
      <c r="E859" s="12" t="s">
        <v>290</v>
      </c>
      <c r="F859" s="12" t="s">
        <v>37</v>
      </c>
      <c r="G859" s="12" t="n">
        <v>46</v>
      </c>
      <c r="H859" s="12" t="s">
        <v>302</v>
      </c>
      <c r="I859" s="12"/>
      <c r="J859" s="12" t="n">
        <v>5</v>
      </c>
      <c r="K859" s="12" t="s">
        <v>302</v>
      </c>
      <c r="L859" s="28" t="n">
        <v>0</v>
      </c>
      <c r="M859" s="12" t="str">
        <f aca="false">IF(L859=1,COUNTIFS($C$2:$C$1090,C859,$L$2:$L$1090,1),"")</f>
        <v/>
      </c>
      <c r="N859" s="12" t="str">
        <f aca="false">IF(L859=1,1+COUNTIFS($C$2:$C$1090,C859,$L$2:$L$1090,1,$G$2:$G$1090,"&gt;"&amp;G859),"")</f>
        <v/>
      </c>
      <c r="O859" s="12" t="str">
        <f aca="false">IF(L859=1,1+COUNTIFS($C$2:$C$1090,C859,$L$2:$L$1090,1,$H$2:$H$1090,"&gt;"&amp;H859),"")</f>
        <v/>
      </c>
      <c r="P859" s="12" t="str">
        <f aca="false">IF(L859=1,N859-O859,"")</f>
        <v/>
      </c>
      <c r="Q859" s="12" t="n">
        <f aca="false">INDEX(Directions!$D$2:$D$100,MATCH(C859,Directions!$A$2:$A$100,0))</f>
        <v>-1</v>
      </c>
      <c r="R859" s="12" t="str">
        <f aca="false">IF(L859=1,P859*Q859,"")</f>
        <v/>
      </c>
      <c r="S859" s="12" t="str">
        <f aca="false">IF(L859&lt;&gt;1,"Excluded",IF(Q859=0,"No direction",IF(R859&gt;0,"Better",IF(R859&lt;0,"Worse","No change"))))</f>
        <v>Excluded</v>
      </c>
      <c r="T859" s="12" t="s">
        <v>303</v>
      </c>
      <c r="U859" s="12" t="str">
        <f aca="false">C859&amp;"|"&amp;E859</f>
        <v>F10_05|AUS</v>
      </c>
    </row>
    <row r="860" customFormat="false" ht="15" hidden="false" customHeight="false" outlineLevel="0" collapsed="false">
      <c r="A860" s="12" t="n">
        <v>10</v>
      </c>
      <c r="B860" s="12" t="s">
        <v>40</v>
      </c>
      <c r="C860" s="12" t="s">
        <v>216</v>
      </c>
      <c r="D860" s="12" t="s">
        <v>217</v>
      </c>
      <c r="E860" s="12" t="s">
        <v>281</v>
      </c>
      <c r="F860" s="12" t="s">
        <v>27</v>
      </c>
      <c r="G860" s="12" t="n">
        <v>23</v>
      </c>
      <c r="H860" s="12" t="s">
        <v>302</v>
      </c>
      <c r="I860" s="12"/>
      <c r="J860" s="12" t="n">
        <v>1</v>
      </c>
      <c r="K860" s="12" t="s">
        <v>302</v>
      </c>
      <c r="L860" s="28" t="n">
        <v>0</v>
      </c>
      <c r="M860" s="12" t="str">
        <f aca="false">IF(L860=1,COUNTIFS($C$2:$C$1090,C860,$L$2:$L$1090,1),"")</f>
        <v/>
      </c>
      <c r="N860" s="12" t="str">
        <f aca="false">IF(L860=1,1+COUNTIFS($C$2:$C$1090,C860,$L$2:$L$1090,1,$G$2:$G$1090,"&gt;"&amp;G860),"")</f>
        <v/>
      </c>
      <c r="O860" s="12" t="str">
        <f aca="false">IF(L860=1,1+COUNTIFS($C$2:$C$1090,C860,$L$2:$L$1090,1,$H$2:$H$1090,"&gt;"&amp;H860),"")</f>
        <v/>
      </c>
      <c r="P860" s="12" t="str">
        <f aca="false">IF(L860=1,N860-O860,"")</f>
        <v/>
      </c>
      <c r="Q860" s="12" t="n">
        <f aca="false">INDEX(Directions!$D$2:$D$100,MATCH(C860,Directions!$A$2:$A$100,0))</f>
        <v>-1</v>
      </c>
      <c r="R860" s="12" t="str">
        <f aca="false">IF(L860=1,P860*Q860,"")</f>
        <v/>
      </c>
      <c r="S860" s="12" t="str">
        <f aca="false">IF(L860&lt;&gt;1,"Excluded",IF(Q860=0,"No direction",IF(R860&gt;0,"Better",IF(R860&lt;0,"Worse","No change"))))</f>
        <v>Excluded</v>
      </c>
      <c r="T860" s="12" t="s">
        <v>303</v>
      </c>
      <c r="U860" s="12" t="str">
        <f aca="false">C860&amp;"|"&amp;E860</f>
        <v>F10_06|USA</v>
      </c>
    </row>
    <row r="861" customFormat="false" ht="15" hidden="false" customHeight="false" outlineLevel="0" collapsed="false">
      <c r="A861" s="12" t="n">
        <v>10</v>
      </c>
      <c r="B861" s="12" t="s">
        <v>40</v>
      </c>
      <c r="C861" s="12" t="s">
        <v>216</v>
      </c>
      <c r="D861" s="12" t="s">
        <v>217</v>
      </c>
      <c r="E861" s="12" t="s">
        <v>283</v>
      </c>
      <c r="F861" s="12" t="s">
        <v>28</v>
      </c>
      <c r="G861" s="12" t="n">
        <v>7</v>
      </c>
      <c r="H861" s="12" t="s">
        <v>302</v>
      </c>
      <c r="I861" s="12"/>
      <c r="J861" s="12" t="n">
        <v>4</v>
      </c>
      <c r="K861" s="12" t="s">
        <v>302</v>
      </c>
      <c r="L861" s="28" t="n">
        <v>0</v>
      </c>
      <c r="M861" s="12" t="str">
        <f aca="false">IF(L861=1,COUNTIFS($C$2:$C$1090,C861,$L$2:$L$1090,1),"")</f>
        <v/>
      </c>
      <c r="N861" s="12" t="str">
        <f aca="false">IF(L861=1,1+COUNTIFS($C$2:$C$1090,C861,$L$2:$L$1090,1,$G$2:$G$1090,"&gt;"&amp;G861),"")</f>
        <v/>
      </c>
      <c r="O861" s="12" t="str">
        <f aca="false">IF(L861=1,1+COUNTIFS($C$2:$C$1090,C861,$L$2:$L$1090,1,$H$2:$H$1090,"&gt;"&amp;H861),"")</f>
        <v/>
      </c>
      <c r="P861" s="12" t="str">
        <f aca="false">IF(L861=1,N861-O861,"")</f>
        <v/>
      </c>
      <c r="Q861" s="12" t="n">
        <f aca="false">INDEX(Directions!$D$2:$D$100,MATCH(C861,Directions!$A$2:$A$100,0))</f>
        <v>-1</v>
      </c>
      <c r="R861" s="12" t="str">
        <f aca="false">IF(L861=1,P861*Q861,"")</f>
        <v/>
      </c>
      <c r="S861" s="12" t="str">
        <f aca="false">IF(L861&lt;&gt;1,"Excluded",IF(Q861=0,"No direction",IF(R861&gt;0,"Better",IF(R861&lt;0,"Worse","No change"))))</f>
        <v>Excluded</v>
      </c>
      <c r="T861" s="12" t="s">
        <v>303</v>
      </c>
      <c r="U861" s="12" t="str">
        <f aca="false">C861&amp;"|"&amp;E861</f>
        <v>F10_06|GBR</v>
      </c>
    </row>
    <row r="862" customFormat="false" ht="15" hidden="false" customHeight="false" outlineLevel="0" collapsed="false">
      <c r="A862" s="12" t="n">
        <v>10</v>
      </c>
      <c r="B862" s="12" t="s">
        <v>40</v>
      </c>
      <c r="C862" s="12" t="s">
        <v>216</v>
      </c>
      <c r="D862" s="12" t="s">
        <v>217</v>
      </c>
      <c r="E862" s="12" t="s">
        <v>284</v>
      </c>
      <c r="F862" s="12" t="s">
        <v>29</v>
      </c>
      <c r="G862" s="12" t="n">
        <v>3</v>
      </c>
      <c r="H862" s="12" t="s">
        <v>302</v>
      </c>
      <c r="I862" s="12"/>
      <c r="J862" s="12" t="n">
        <v>7</v>
      </c>
      <c r="K862" s="12" t="s">
        <v>302</v>
      </c>
      <c r="L862" s="28" t="n">
        <v>0</v>
      </c>
      <c r="M862" s="12" t="str">
        <f aca="false">IF(L862=1,COUNTIFS($C$2:$C$1090,C862,$L$2:$L$1090,1),"")</f>
        <v/>
      </c>
      <c r="N862" s="12" t="str">
        <f aca="false">IF(L862=1,1+COUNTIFS($C$2:$C$1090,C862,$L$2:$L$1090,1,$G$2:$G$1090,"&gt;"&amp;G862),"")</f>
        <v/>
      </c>
      <c r="O862" s="12" t="str">
        <f aca="false">IF(L862=1,1+COUNTIFS($C$2:$C$1090,C862,$L$2:$L$1090,1,$H$2:$H$1090,"&gt;"&amp;H862),"")</f>
        <v/>
      </c>
      <c r="P862" s="12" t="str">
        <f aca="false">IF(L862=1,N862-O862,"")</f>
        <v/>
      </c>
      <c r="Q862" s="12" t="n">
        <f aca="false">INDEX(Directions!$D$2:$D$100,MATCH(C862,Directions!$A$2:$A$100,0))</f>
        <v>-1</v>
      </c>
      <c r="R862" s="12" t="str">
        <f aca="false">IF(L862=1,P862*Q862,"")</f>
        <v/>
      </c>
      <c r="S862" s="12" t="str">
        <f aca="false">IF(L862&lt;&gt;1,"Excluded",IF(Q862=0,"No direction",IF(R862&gt;0,"Better",IF(R862&lt;0,"Worse","No change"))))</f>
        <v>Excluded</v>
      </c>
      <c r="T862" s="12" t="s">
        <v>303</v>
      </c>
      <c r="U862" s="12" t="str">
        <f aca="false">C862&amp;"|"&amp;E862</f>
        <v>F10_06|DEU</v>
      </c>
    </row>
    <row r="863" customFormat="false" ht="15" hidden="false" customHeight="false" outlineLevel="0" collapsed="false">
      <c r="A863" s="12" t="n">
        <v>10</v>
      </c>
      <c r="B863" s="12" t="s">
        <v>40</v>
      </c>
      <c r="C863" s="12" t="s">
        <v>216</v>
      </c>
      <c r="D863" s="12" t="s">
        <v>217</v>
      </c>
      <c r="E863" s="12" t="s">
        <v>285</v>
      </c>
      <c r="F863" s="12" t="s">
        <v>30</v>
      </c>
      <c r="G863" s="12" t="n">
        <v>10</v>
      </c>
      <c r="H863" s="12" t="s">
        <v>302</v>
      </c>
      <c r="I863" s="12"/>
      <c r="J863" s="12" t="n">
        <v>2</v>
      </c>
      <c r="K863" s="12" t="s">
        <v>302</v>
      </c>
      <c r="L863" s="28" t="n">
        <v>0</v>
      </c>
      <c r="M863" s="12" t="str">
        <f aca="false">IF(L863=1,COUNTIFS($C$2:$C$1090,C863,$L$2:$L$1090,1),"")</f>
        <v/>
      </c>
      <c r="N863" s="12" t="str">
        <f aca="false">IF(L863=1,1+COUNTIFS($C$2:$C$1090,C863,$L$2:$L$1090,1,$G$2:$G$1090,"&gt;"&amp;G863),"")</f>
        <v/>
      </c>
      <c r="O863" s="12" t="str">
        <f aca="false">IF(L863=1,1+COUNTIFS($C$2:$C$1090,C863,$L$2:$L$1090,1,$H$2:$H$1090,"&gt;"&amp;H863),"")</f>
        <v/>
      </c>
      <c r="P863" s="12" t="str">
        <f aca="false">IF(L863=1,N863-O863,"")</f>
        <v/>
      </c>
      <c r="Q863" s="12" t="n">
        <f aca="false">INDEX(Directions!$D$2:$D$100,MATCH(C863,Directions!$A$2:$A$100,0))</f>
        <v>-1</v>
      </c>
      <c r="R863" s="12" t="str">
        <f aca="false">IF(L863=1,P863*Q863,"")</f>
        <v/>
      </c>
      <c r="S863" s="12" t="str">
        <f aca="false">IF(L863&lt;&gt;1,"Excluded",IF(Q863=0,"No direction",IF(R863&gt;0,"Better",IF(R863&lt;0,"Worse","No change"))))</f>
        <v>Excluded</v>
      </c>
      <c r="T863" s="12" t="s">
        <v>303</v>
      </c>
      <c r="U863" s="12" t="str">
        <f aca="false">C863&amp;"|"&amp;E863</f>
        <v>F10_06|SWE</v>
      </c>
    </row>
    <row r="864" customFormat="false" ht="15" hidden="false" customHeight="false" outlineLevel="0" collapsed="false">
      <c r="A864" s="12" t="n">
        <v>10</v>
      </c>
      <c r="B864" s="12" t="s">
        <v>40</v>
      </c>
      <c r="C864" s="12" t="s">
        <v>216</v>
      </c>
      <c r="D864" s="12" t="s">
        <v>217</v>
      </c>
      <c r="E864" s="12" t="s">
        <v>286</v>
      </c>
      <c r="F864" s="12" t="s">
        <v>31</v>
      </c>
      <c r="G864" s="12" t="n">
        <v>4</v>
      </c>
      <c r="H864" s="12" t="s">
        <v>302</v>
      </c>
      <c r="I864" s="12"/>
      <c r="J864" s="12" t="n">
        <v>5</v>
      </c>
      <c r="K864" s="12" t="s">
        <v>302</v>
      </c>
      <c r="L864" s="28" t="n">
        <v>0</v>
      </c>
      <c r="M864" s="12" t="str">
        <f aca="false">IF(L864=1,COUNTIFS($C$2:$C$1090,C864,$L$2:$L$1090,1),"")</f>
        <v/>
      </c>
      <c r="N864" s="12" t="str">
        <f aca="false">IF(L864=1,1+COUNTIFS($C$2:$C$1090,C864,$L$2:$L$1090,1,$G$2:$G$1090,"&gt;"&amp;G864),"")</f>
        <v/>
      </c>
      <c r="O864" s="12" t="str">
        <f aca="false">IF(L864=1,1+COUNTIFS($C$2:$C$1090,C864,$L$2:$L$1090,1,$H$2:$H$1090,"&gt;"&amp;H864),"")</f>
        <v/>
      </c>
      <c r="P864" s="12" t="str">
        <f aca="false">IF(L864=1,N864-O864,"")</f>
        <v/>
      </c>
      <c r="Q864" s="12" t="n">
        <f aca="false">INDEX(Directions!$D$2:$D$100,MATCH(C864,Directions!$A$2:$A$100,0))</f>
        <v>-1</v>
      </c>
      <c r="R864" s="12" t="str">
        <f aca="false">IF(L864=1,P864*Q864,"")</f>
        <v/>
      </c>
      <c r="S864" s="12" t="str">
        <f aca="false">IF(L864&lt;&gt;1,"Excluded",IF(Q864=0,"No direction",IF(R864&gt;0,"Better",IF(R864&lt;0,"Worse","No change"))))</f>
        <v>Excluded</v>
      </c>
      <c r="T864" s="12" t="s">
        <v>303</v>
      </c>
      <c r="U864" s="12" t="str">
        <f aca="false">C864&amp;"|"&amp;E864</f>
        <v>F10_06|FRA</v>
      </c>
    </row>
    <row r="865" customFormat="false" ht="15" hidden="false" customHeight="false" outlineLevel="0" collapsed="false">
      <c r="A865" s="12" t="n">
        <v>10</v>
      </c>
      <c r="B865" s="12" t="s">
        <v>40</v>
      </c>
      <c r="C865" s="12" t="s">
        <v>216</v>
      </c>
      <c r="D865" s="12" t="s">
        <v>217</v>
      </c>
      <c r="E865" s="12" t="s">
        <v>32</v>
      </c>
      <c r="F865" s="12" t="s">
        <v>32</v>
      </c>
      <c r="G865" s="12" t="s">
        <v>302</v>
      </c>
      <c r="H865" s="12" t="s">
        <v>302</v>
      </c>
      <c r="I865" s="12"/>
      <c r="J865" s="12" t="s">
        <v>302</v>
      </c>
      <c r="K865" s="12" t="s">
        <v>302</v>
      </c>
      <c r="L865" s="28" t="n">
        <v>0</v>
      </c>
      <c r="M865" s="12" t="str">
        <f aca="false">IF(L865=1,COUNTIFS($C$2:$C$1090,C865,$L$2:$L$1090,1),"")</f>
        <v/>
      </c>
      <c r="N865" s="12" t="str">
        <f aca="false">IF(L865=1,1+COUNTIFS($C$2:$C$1090,C865,$L$2:$L$1090,1,$G$2:$G$1090,"&gt;"&amp;G865),"")</f>
        <v/>
      </c>
      <c r="O865" s="12" t="str">
        <f aca="false">IF(L865=1,1+COUNTIFS($C$2:$C$1090,C865,$L$2:$L$1090,1,$H$2:$H$1090,"&gt;"&amp;H865),"")</f>
        <v/>
      </c>
      <c r="P865" s="12" t="str">
        <f aca="false">IF(L865=1,N865-O865,"")</f>
        <v/>
      </c>
      <c r="Q865" s="12" t="n">
        <f aca="false">INDEX(Directions!$D$2:$D$100,MATCH(C865,Directions!$A$2:$A$100,0))</f>
        <v>-1</v>
      </c>
      <c r="R865" s="12" t="str">
        <f aca="false">IF(L865=1,P865*Q865,"")</f>
        <v/>
      </c>
      <c r="S865" s="12" t="str">
        <f aca="false">IF(L865&lt;&gt;1,"Excluded",IF(Q865=0,"No direction",IF(R865&gt;0,"Better",IF(R865&lt;0,"Worse","No change"))))</f>
        <v>Excluded</v>
      </c>
      <c r="T865" s="12" t="s">
        <v>304</v>
      </c>
      <c r="U865" s="12" t="str">
        <f aca="false">C865&amp;"|"&amp;E865</f>
        <v>F10_06|NLD</v>
      </c>
    </row>
    <row r="866" customFormat="false" ht="15" hidden="false" customHeight="false" outlineLevel="0" collapsed="false">
      <c r="A866" s="12" t="n">
        <v>10</v>
      </c>
      <c r="B866" s="12" t="s">
        <v>40</v>
      </c>
      <c r="C866" s="12" t="s">
        <v>216</v>
      </c>
      <c r="D866" s="12" t="s">
        <v>217</v>
      </c>
      <c r="E866" s="12" t="s">
        <v>33</v>
      </c>
      <c r="F866" s="12" t="s">
        <v>33</v>
      </c>
      <c r="G866" s="12" t="n">
        <v>3</v>
      </c>
      <c r="H866" s="12" t="s">
        <v>302</v>
      </c>
      <c r="I866" s="12"/>
      <c r="J866" s="12" t="n">
        <v>8</v>
      </c>
      <c r="K866" s="12" t="s">
        <v>302</v>
      </c>
      <c r="L866" s="28" t="n">
        <v>0</v>
      </c>
      <c r="M866" s="12" t="str">
        <f aca="false">IF(L866=1,COUNTIFS($C$2:$C$1090,C866,$L$2:$L$1090,1),"")</f>
        <v/>
      </c>
      <c r="N866" s="12" t="str">
        <f aca="false">IF(L866=1,1+COUNTIFS($C$2:$C$1090,C866,$L$2:$L$1090,1,$G$2:$G$1090,"&gt;"&amp;G866),"")</f>
        <v/>
      </c>
      <c r="O866" s="12" t="str">
        <f aca="false">IF(L866=1,1+COUNTIFS($C$2:$C$1090,C866,$L$2:$L$1090,1,$H$2:$H$1090,"&gt;"&amp;H866),"")</f>
        <v/>
      </c>
      <c r="P866" s="12" t="str">
        <f aca="false">IF(L866=1,N866-O866,"")</f>
        <v/>
      </c>
      <c r="Q866" s="12" t="n">
        <f aca="false">INDEX(Directions!$D$2:$D$100,MATCH(C866,Directions!$A$2:$A$100,0))</f>
        <v>-1</v>
      </c>
      <c r="R866" s="12" t="str">
        <f aca="false">IF(L866=1,P866*Q866,"")</f>
        <v/>
      </c>
      <c r="S866" s="12" t="str">
        <f aca="false">IF(L866&lt;&gt;1,"Excluded",IF(Q866=0,"No direction",IF(R866&gt;0,"Better",IF(R866&lt;0,"Worse","No change"))))</f>
        <v>Excluded</v>
      </c>
      <c r="T866" s="12" t="s">
        <v>303</v>
      </c>
      <c r="U866" s="12" t="str">
        <f aca="false">C866&amp;"|"&amp;E866</f>
        <v>F10_06|CHE</v>
      </c>
    </row>
    <row r="867" customFormat="false" ht="15" hidden="false" customHeight="false" outlineLevel="0" collapsed="false">
      <c r="A867" s="12" t="n">
        <v>10</v>
      </c>
      <c r="B867" s="12" t="s">
        <v>40</v>
      </c>
      <c r="C867" s="12" t="s">
        <v>216</v>
      </c>
      <c r="D867" s="12" t="s">
        <v>217</v>
      </c>
      <c r="E867" s="12" t="s">
        <v>287</v>
      </c>
      <c r="F867" s="12" t="s">
        <v>34</v>
      </c>
      <c r="G867" s="12" t="s">
        <v>302</v>
      </c>
      <c r="H867" s="12" t="s">
        <v>302</v>
      </c>
      <c r="I867" s="12"/>
      <c r="J867" s="12" t="s">
        <v>302</v>
      </c>
      <c r="K867" s="12" t="s">
        <v>302</v>
      </c>
      <c r="L867" s="28" t="n">
        <v>0</v>
      </c>
      <c r="M867" s="12" t="str">
        <f aca="false">IF(L867=1,COUNTIFS($C$2:$C$1090,C867,$L$2:$L$1090,1),"")</f>
        <v/>
      </c>
      <c r="N867" s="12" t="str">
        <f aca="false">IF(L867=1,1+COUNTIFS($C$2:$C$1090,C867,$L$2:$L$1090,1,$G$2:$G$1090,"&gt;"&amp;G867),"")</f>
        <v/>
      </c>
      <c r="O867" s="12" t="str">
        <f aca="false">IF(L867=1,1+COUNTIFS($C$2:$C$1090,C867,$L$2:$L$1090,1,$H$2:$H$1090,"&gt;"&amp;H867),"")</f>
        <v/>
      </c>
      <c r="P867" s="12" t="str">
        <f aca="false">IF(L867=1,N867-O867,"")</f>
        <v/>
      </c>
      <c r="Q867" s="12" t="n">
        <f aca="false">INDEX(Directions!$D$2:$D$100,MATCH(C867,Directions!$A$2:$A$100,0))</f>
        <v>-1</v>
      </c>
      <c r="R867" s="12" t="str">
        <f aca="false">IF(L867=1,P867*Q867,"")</f>
        <v/>
      </c>
      <c r="S867" s="12" t="str">
        <f aca="false">IF(L867&lt;&gt;1,"Excluded",IF(Q867=0,"No direction",IF(R867&gt;0,"Better",IF(R867&lt;0,"Worse","No change"))))</f>
        <v>Excluded</v>
      </c>
      <c r="T867" s="12" t="s">
        <v>304</v>
      </c>
      <c r="U867" s="12" t="str">
        <f aca="false">C867&amp;"|"&amp;E867</f>
        <v>F10_06|DNK</v>
      </c>
    </row>
    <row r="868" customFormat="false" ht="15" hidden="false" customHeight="false" outlineLevel="0" collapsed="false">
      <c r="A868" s="12" t="n">
        <v>10</v>
      </c>
      <c r="B868" s="12" t="s">
        <v>40</v>
      </c>
      <c r="C868" s="12" t="s">
        <v>216</v>
      </c>
      <c r="D868" s="12" t="s">
        <v>217</v>
      </c>
      <c r="E868" s="12" t="s">
        <v>288</v>
      </c>
      <c r="F868" s="12" t="s">
        <v>35</v>
      </c>
      <c r="G868" s="12" t="n">
        <v>9</v>
      </c>
      <c r="H868" s="12" t="s">
        <v>302</v>
      </c>
      <c r="I868" s="12"/>
      <c r="J868" s="12" t="n">
        <v>3</v>
      </c>
      <c r="K868" s="12" t="s">
        <v>302</v>
      </c>
      <c r="L868" s="28" t="n">
        <v>0</v>
      </c>
      <c r="M868" s="12" t="str">
        <f aca="false">IF(L868=1,COUNTIFS($C$2:$C$1090,C868,$L$2:$L$1090,1),"")</f>
        <v/>
      </c>
      <c r="N868" s="12" t="str">
        <f aca="false">IF(L868=1,1+COUNTIFS($C$2:$C$1090,C868,$L$2:$L$1090,1,$G$2:$G$1090,"&gt;"&amp;G868),"")</f>
        <v/>
      </c>
      <c r="O868" s="12" t="str">
        <f aca="false">IF(L868=1,1+COUNTIFS($C$2:$C$1090,C868,$L$2:$L$1090,1,$H$2:$H$1090,"&gt;"&amp;H868),"")</f>
        <v/>
      </c>
      <c r="P868" s="12" t="str">
        <f aca="false">IF(L868=1,N868-O868,"")</f>
        <v/>
      </c>
      <c r="Q868" s="12" t="n">
        <f aca="false">INDEX(Directions!$D$2:$D$100,MATCH(C868,Directions!$A$2:$A$100,0))</f>
        <v>-1</v>
      </c>
      <c r="R868" s="12" t="str">
        <f aca="false">IF(L868=1,P868*Q868,"")</f>
        <v/>
      </c>
      <c r="S868" s="12" t="str">
        <f aca="false">IF(L868&lt;&gt;1,"Excluded",IF(Q868=0,"No direction",IF(R868&gt;0,"Better",IF(R868&lt;0,"Worse","No change"))))</f>
        <v>Excluded</v>
      </c>
      <c r="T868" s="12" t="s">
        <v>303</v>
      </c>
      <c r="U868" s="12" t="str">
        <f aca="false">C868&amp;"|"&amp;E868</f>
        <v>F10_06|CAN</v>
      </c>
    </row>
    <row r="869" customFormat="false" ht="15" hidden="false" customHeight="false" outlineLevel="0" collapsed="false">
      <c r="A869" s="12" t="n">
        <v>10</v>
      </c>
      <c r="B869" s="12" t="s">
        <v>40</v>
      </c>
      <c r="C869" s="12" t="s">
        <v>216</v>
      </c>
      <c r="D869" s="12" t="s">
        <v>217</v>
      </c>
      <c r="E869" s="12" t="s">
        <v>289</v>
      </c>
      <c r="F869" s="12" t="s">
        <v>36</v>
      </c>
      <c r="G869" s="12" t="s">
        <v>302</v>
      </c>
      <c r="H869" s="12" t="s">
        <v>302</v>
      </c>
      <c r="I869" s="12"/>
      <c r="J869" s="12" t="s">
        <v>302</v>
      </c>
      <c r="K869" s="12" t="s">
        <v>302</v>
      </c>
      <c r="L869" s="28" t="n">
        <v>0</v>
      </c>
      <c r="M869" s="12" t="str">
        <f aca="false">IF(L869=1,COUNTIFS($C$2:$C$1090,C869,$L$2:$L$1090,1),"")</f>
        <v/>
      </c>
      <c r="N869" s="12" t="str">
        <f aca="false">IF(L869=1,1+COUNTIFS($C$2:$C$1090,C869,$L$2:$L$1090,1,$G$2:$G$1090,"&gt;"&amp;G869),"")</f>
        <v/>
      </c>
      <c r="O869" s="12" t="str">
        <f aca="false">IF(L869=1,1+COUNTIFS($C$2:$C$1090,C869,$L$2:$L$1090,1,$H$2:$H$1090,"&gt;"&amp;H869),"")</f>
        <v/>
      </c>
      <c r="P869" s="12" t="str">
        <f aca="false">IF(L869=1,N869-O869,"")</f>
        <v/>
      </c>
      <c r="Q869" s="12" t="n">
        <f aca="false">INDEX(Directions!$D$2:$D$100,MATCH(C869,Directions!$A$2:$A$100,0))</f>
        <v>-1</v>
      </c>
      <c r="R869" s="12" t="str">
        <f aca="false">IF(L869=1,P869*Q869,"")</f>
        <v/>
      </c>
      <c r="S869" s="12" t="str">
        <f aca="false">IF(L869&lt;&gt;1,"Excluded",IF(Q869=0,"No direction",IF(R869&gt;0,"Better",IF(R869&lt;0,"Worse","No change"))))</f>
        <v>Excluded</v>
      </c>
      <c r="T869" s="12" t="s">
        <v>304</v>
      </c>
      <c r="U869" s="12" t="str">
        <f aca="false">C869&amp;"|"&amp;E869</f>
        <v>F10_06|JPN</v>
      </c>
    </row>
    <row r="870" customFormat="false" ht="15" hidden="false" customHeight="false" outlineLevel="0" collapsed="false">
      <c r="A870" s="12" t="n">
        <v>10</v>
      </c>
      <c r="B870" s="12" t="s">
        <v>40</v>
      </c>
      <c r="C870" s="12" t="s">
        <v>216</v>
      </c>
      <c r="D870" s="12" t="s">
        <v>217</v>
      </c>
      <c r="E870" s="12" t="s">
        <v>290</v>
      </c>
      <c r="F870" s="12" t="s">
        <v>37</v>
      </c>
      <c r="G870" s="12" t="n">
        <v>4</v>
      </c>
      <c r="H870" s="12" t="s">
        <v>302</v>
      </c>
      <c r="I870" s="12"/>
      <c r="J870" s="12" t="n">
        <v>6</v>
      </c>
      <c r="K870" s="12" t="s">
        <v>302</v>
      </c>
      <c r="L870" s="28" t="n">
        <v>0</v>
      </c>
      <c r="M870" s="12" t="str">
        <f aca="false">IF(L870=1,COUNTIFS($C$2:$C$1090,C870,$L$2:$L$1090,1),"")</f>
        <v/>
      </c>
      <c r="N870" s="12" t="str">
        <f aca="false">IF(L870=1,1+COUNTIFS($C$2:$C$1090,C870,$L$2:$L$1090,1,$G$2:$G$1090,"&gt;"&amp;G870),"")</f>
        <v/>
      </c>
      <c r="O870" s="12" t="str">
        <f aca="false">IF(L870=1,1+COUNTIFS($C$2:$C$1090,C870,$L$2:$L$1090,1,$H$2:$H$1090,"&gt;"&amp;H870),"")</f>
        <v/>
      </c>
      <c r="P870" s="12" t="str">
        <f aca="false">IF(L870=1,N870-O870,"")</f>
        <v/>
      </c>
      <c r="Q870" s="12" t="n">
        <f aca="false">INDEX(Directions!$D$2:$D$100,MATCH(C870,Directions!$A$2:$A$100,0))</f>
        <v>-1</v>
      </c>
      <c r="R870" s="12" t="str">
        <f aca="false">IF(L870=1,P870*Q870,"")</f>
        <v/>
      </c>
      <c r="S870" s="12" t="str">
        <f aca="false">IF(L870&lt;&gt;1,"Excluded",IF(Q870=0,"No direction",IF(R870&gt;0,"Better",IF(R870&lt;0,"Worse","No change"))))</f>
        <v>Excluded</v>
      </c>
      <c r="T870" s="12" t="s">
        <v>303</v>
      </c>
      <c r="U870" s="12" t="str">
        <f aca="false">C870&amp;"|"&amp;E870</f>
        <v>F10_06|AUS</v>
      </c>
    </row>
    <row r="871" customFormat="false" ht="15" hidden="false" customHeight="false" outlineLevel="0" collapsed="false">
      <c r="A871" s="12" t="n">
        <v>10</v>
      </c>
      <c r="B871" s="12" t="s">
        <v>40</v>
      </c>
      <c r="C871" s="12" t="s">
        <v>218</v>
      </c>
      <c r="D871" s="12" t="s">
        <v>219</v>
      </c>
      <c r="E871" s="12" t="s">
        <v>281</v>
      </c>
      <c r="F871" s="12" t="s">
        <v>27</v>
      </c>
      <c r="G871" s="12" t="n">
        <v>92</v>
      </c>
      <c r="H871" s="12" t="n">
        <v>95</v>
      </c>
      <c r="I871" s="12" t="s">
        <v>293</v>
      </c>
      <c r="J871" s="12" t="n">
        <v>8</v>
      </c>
      <c r="K871" s="12" t="n">
        <v>2</v>
      </c>
      <c r="L871" s="28" t="n">
        <v>1</v>
      </c>
      <c r="M871" s="12" t="n">
        <f aca="false">IF(L871=1,COUNTIFS($C$2:$C$1090,C871,$L$2:$L$1090,1),"")</f>
        <v>11</v>
      </c>
      <c r="N871" s="12" t="n">
        <f aca="false">IF(L871=1,1+COUNTIFS($C$2:$C$1090,C871,$L$2:$L$1090,1,$G$2:$G$1090,"&gt;"&amp;G871),"")</f>
        <v>8</v>
      </c>
      <c r="O871" s="12" t="n">
        <f aca="false">IF(L871=1,1+COUNTIFS($C$2:$C$1090,C871,$L$2:$L$1090,1,$H$2:$H$1090,"&gt;"&amp;H871),"")</f>
        <v>2</v>
      </c>
      <c r="P871" s="12" t="n">
        <f aca="false">IF(L871=1,N871-O871,"")</f>
        <v>6</v>
      </c>
      <c r="Q871" s="12" t="n">
        <f aca="false">INDEX(Directions!$D$2:$D$100,MATCH(C871,Directions!$A$2:$A$100,0))</f>
        <v>1</v>
      </c>
      <c r="R871" s="12" t="n">
        <f aca="false">IF(L871=1,P871*Q871,"")</f>
        <v>6</v>
      </c>
      <c r="S871" s="12" t="str">
        <f aca="false">IF(L871&lt;&gt;1,"Excluded",IF(Q871=0,"No direction",IF(R871&gt;0,"Better",IF(R871&lt;0,"Worse","No change"))))</f>
        <v>Better</v>
      </c>
      <c r="T871" s="12"/>
      <c r="U871" s="12" t="str">
        <f aca="false">C871&amp;"|"&amp;E871</f>
        <v>F10_07|USA</v>
      </c>
    </row>
    <row r="872" customFormat="false" ht="15" hidden="false" customHeight="false" outlineLevel="0" collapsed="false">
      <c r="A872" s="12" t="n">
        <v>10</v>
      </c>
      <c r="B872" s="12" t="s">
        <v>40</v>
      </c>
      <c r="C872" s="12" t="s">
        <v>218</v>
      </c>
      <c r="D872" s="12" t="s">
        <v>219</v>
      </c>
      <c r="E872" s="12" t="s">
        <v>283</v>
      </c>
      <c r="F872" s="12" t="s">
        <v>28</v>
      </c>
      <c r="G872" s="12" t="n">
        <v>93</v>
      </c>
      <c r="H872" s="12" t="n">
        <v>84.4</v>
      </c>
      <c r="I872" s="12" t="s">
        <v>282</v>
      </c>
      <c r="J872" s="12" t="n">
        <v>5</v>
      </c>
      <c r="K872" s="12" t="n">
        <v>9</v>
      </c>
      <c r="L872" s="28" t="n">
        <v>1</v>
      </c>
      <c r="M872" s="12" t="n">
        <f aca="false">IF(L872=1,COUNTIFS($C$2:$C$1090,C872,$L$2:$L$1090,1),"")</f>
        <v>11</v>
      </c>
      <c r="N872" s="12" t="n">
        <f aca="false">IF(L872=1,1+COUNTIFS($C$2:$C$1090,C872,$L$2:$L$1090,1,$G$2:$G$1090,"&gt;"&amp;G872),"")</f>
        <v>5</v>
      </c>
      <c r="O872" s="12" t="n">
        <f aca="false">IF(L872=1,1+COUNTIFS($C$2:$C$1090,C872,$L$2:$L$1090,1,$H$2:$H$1090,"&gt;"&amp;H872),"")</f>
        <v>9</v>
      </c>
      <c r="P872" s="12" t="n">
        <f aca="false">IF(L872=1,N872-O872,"")</f>
        <v>-4</v>
      </c>
      <c r="Q872" s="12" t="n">
        <f aca="false">INDEX(Directions!$D$2:$D$100,MATCH(C872,Directions!$A$2:$A$100,0))</f>
        <v>1</v>
      </c>
      <c r="R872" s="12" t="n">
        <f aca="false">IF(L872=1,P872*Q872,"")</f>
        <v>-4</v>
      </c>
      <c r="S872" s="12" t="str">
        <f aca="false">IF(L872&lt;&gt;1,"Excluded",IF(Q872=0,"No direction",IF(R872&gt;0,"Better",IF(R872&lt;0,"Worse","No change"))))</f>
        <v>Worse</v>
      </c>
      <c r="T872" s="12"/>
      <c r="U872" s="12" t="str">
        <f aca="false">C872&amp;"|"&amp;E872</f>
        <v>F10_07|GBR</v>
      </c>
    </row>
    <row r="873" customFormat="false" ht="15" hidden="false" customHeight="false" outlineLevel="0" collapsed="false">
      <c r="A873" s="12" t="n">
        <v>10</v>
      </c>
      <c r="B873" s="12" t="s">
        <v>40</v>
      </c>
      <c r="C873" s="12" t="s">
        <v>218</v>
      </c>
      <c r="D873" s="12" t="s">
        <v>219</v>
      </c>
      <c r="E873" s="12" t="s">
        <v>284</v>
      </c>
      <c r="F873" s="12" t="s">
        <v>29</v>
      </c>
      <c r="G873" s="12" t="n">
        <v>97</v>
      </c>
      <c r="H873" s="12" t="n">
        <v>91.6</v>
      </c>
      <c r="I873" s="12" t="s">
        <v>282</v>
      </c>
      <c r="J873" s="12" t="n">
        <v>3</v>
      </c>
      <c r="K873" s="12" t="n">
        <v>7</v>
      </c>
      <c r="L873" s="28" t="n">
        <v>1</v>
      </c>
      <c r="M873" s="12" t="n">
        <f aca="false">IF(L873=1,COUNTIFS($C$2:$C$1090,C873,$L$2:$L$1090,1),"")</f>
        <v>11</v>
      </c>
      <c r="N873" s="12" t="n">
        <f aca="false">IF(L873=1,1+COUNTIFS($C$2:$C$1090,C873,$L$2:$L$1090,1,$G$2:$G$1090,"&gt;"&amp;G873),"")</f>
        <v>3</v>
      </c>
      <c r="O873" s="12" t="n">
        <f aca="false">IF(L873=1,1+COUNTIFS($C$2:$C$1090,C873,$L$2:$L$1090,1,$H$2:$H$1090,"&gt;"&amp;H873),"")</f>
        <v>7</v>
      </c>
      <c r="P873" s="12" t="n">
        <f aca="false">IF(L873=1,N873-O873,"")</f>
        <v>-4</v>
      </c>
      <c r="Q873" s="12" t="n">
        <f aca="false">INDEX(Directions!$D$2:$D$100,MATCH(C873,Directions!$A$2:$A$100,0))</f>
        <v>1</v>
      </c>
      <c r="R873" s="12" t="n">
        <f aca="false">IF(L873=1,P873*Q873,"")</f>
        <v>-4</v>
      </c>
      <c r="S873" s="12" t="str">
        <f aca="false">IF(L873&lt;&gt;1,"Excluded",IF(Q873=0,"No direction",IF(R873&gt;0,"Better",IF(R873&lt;0,"Worse","No change"))))</f>
        <v>Worse</v>
      </c>
      <c r="T873" s="12"/>
      <c r="U873" s="12" t="str">
        <f aca="false">C873&amp;"|"&amp;E873</f>
        <v>F10_07|DEU</v>
      </c>
    </row>
    <row r="874" customFormat="false" ht="15" hidden="false" customHeight="false" outlineLevel="0" collapsed="false">
      <c r="A874" s="12" t="n">
        <v>10</v>
      </c>
      <c r="B874" s="12" t="s">
        <v>40</v>
      </c>
      <c r="C874" s="12" t="s">
        <v>218</v>
      </c>
      <c r="D874" s="12" t="s">
        <v>219</v>
      </c>
      <c r="E874" s="12" t="s">
        <v>285</v>
      </c>
      <c r="F874" s="12" t="s">
        <v>30</v>
      </c>
      <c r="G874" s="12" t="n">
        <v>98</v>
      </c>
      <c r="H874" s="12" t="n">
        <v>92</v>
      </c>
      <c r="I874" s="12" t="s">
        <v>293</v>
      </c>
      <c r="J874" s="12" t="n">
        <v>1</v>
      </c>
      <c r="K874" s="12" t="n">
        <v>5</v>
      </c>
      <c r="L874" s="28" t="n">
        <v>1</v>
      </c>
      <c r="M874" s="12" t="n">
        <f aca="false">IF(L874=1,COUNTIFS($C$2:$C$1090,C874,$L$2:$L$1090,1),"")</f>
        <v>11</v>
      </c>
      <c r="N874" s="12" t="n">
        <f aca="false">IF(L874=1,1+COUNTIFS($C$2:$C$1090,C874,$L$2:$L$1090,1,$G$2:$G$1090,"&gt;"&amp;G874),"")</f>
        <v>1</v>
      </c>
      <c r="O874" s="12" t="n">
        <f aca="false">IF(L874=1,1+COUNTIFS($C$2:$C$1090,C874,$L$2:$L$1090,1,$H$2:$H$1090,"&gt;"&amp;H874),"")</f>
        <v>5</v>
      </c>
      <c r="P874" s="12" t="n">
        <f aca="false">IF(L874=1,N874-O874,"")</f>
        <v>-4</v>
      </c>
      <c r="Q874" s="12" t="n">
        <f aca="false">INDEX(Directions!$D$2:$D$100,MATCH(C874,Directions!$A$2:$A$100,0))</f>
        <v>1</v>
      </c>
      <c r="R874" s="12" t="n">
        <f aca="false">IF(L874=1,P874*Q874,"")</f>
        <v>-4</v>
      </c>
      <c r="S874" s="12" t="str">
        <f aca="false">IF(L874&lt;&gt;1,"Excluded",IF(Q874=0,"No direction",IF(R874&gt;0,"Better",IF(R874&lt;0,"Worse","No change"))))</f>
        <v>Worse</v>
      </c>
      <c r="T874" s="12"/>
      <c r="U874" s="12" t="str">
        <f aca="false">C874&amp;"|"&amp;E874</f>
        <v>F10_07|SWE</v>
      </c>
    </row>
    <row r="875" customFormat="false" ht="15" hidden="false" customHeight="false" outlineLevel="0" collapsed="false">
      <c r="A875" s="12" t="n">
        <v>10</v>
      </c>
      <c r="B875" s="12" t="s">
        <v>40</v>
      </c>
      <c r="C875" s="12" t="s">
        <v>218</v>
      </c>
      <c r="D875" s="12" t="s">
        <v>219</v>
      </c>
      <c r="E875" s="12" t="s">
        <v>286</v>
      </c>
      <c r="F875" s="12" t="s">
        <v>31</v>
      </c>
      <c r="G875" s="12" t="n">
        <v>91</v>
      </c>
      <c r="H875" s="12" t="n">
        <v>92.7</v>
      </c>
      <c r="I875" s="12" t="s">
        <v>282</v>
      </c>
      <c r="J875" s="12" t="n">
        <v>9</v>
      </c>
      <c r="K875" s="12" t="n">
        <v>4</v>
      </c>
      <c r="L875" s="28" t="n">
        <v>1</v>
      </c>
      <c r="M875" s="12" t="n">
        <f aca="false">IF(L875=1,COUNTIFS($C$2:$C$1090,C875,$L$2:$L$1090,1),"")</f>
        <v>11</v>
      </c>
      <c r="N875" s="12" t="n">
        <f aca="false">IF(L875=1,1+COUNTIFS($C$2:$C$1090,C875,$L$2:$L$1090,1,$G$2:$G$1090,"&gt;"&amp;G875),"")</f>
        <v>9</v>
      </c>
      <c r="O875" s="12" t="n">
        <f aca="false">IF(L875=1,1+COUNTIFS($C$2:$C$1090,C875,$L$2:$L$1090,1,$H$2:$H$1090,"&gt;"&amp;H875),"")</f>
        <v>4</v>
      </c>
      <c r="P875" s="12" t="n">
        <f aca="false">IF(L875=1,N875-O875,"")</f>
        <v>5</v>
      </c>
      <c r="Q875" s="12" t="n">
        <f aca="false">INDEX(Directions!$D$2:$D$100,MATCH(C875,Directions!$A$2:$A$100,0))</f>
        <v>1</v>
      </c>
      <c r="R875" s="12" t="n">
        <f aca="false">IF(L875=1,P875*Q875,"")</f>
        <v>5</v>
      </c>
      <c r="S875" s="12" t="str">
        <f aca="false">IF(L875&lt;&gt;1,"Excluded",IF(Q875=0,"No direction",IF(R875&gt;0,"Better",IF(R875&lt;0,"Worse","No change"))))</f>
        <v>Better</v>
      </c>
      <c r="T875" s="12"/>
      <c r="U875" s="12" t="str">
        <f aca="false">C875&amp;"|"&amp;E875</f>
        <v>F10_07|FRA</v>
      </c>
    </row>
    <row r="876" customFormat="false" ht="15" hidden="false" customHeight="false" outlineLevel="0" collapsed="false">
      <c r="A876" s="12" t="n">
        <v>10</v>
      </c>
      <c r="B876" s="12" t="s">
        <v>40</v>
      </c>
      <c r="C876" s="12" t="s">
        <v>218</v>
      </c>
      <c r="D876" s="12" t="s">
        <v>219</v>
      </c>
      <c r="E876" s="12" t="s">
        <v>32</v>
      </c>
      <c r="F876" s="12" t="s">
        <v>32</v>
      </c>
      <c r="G876" s="12" t="n">
        <v>96</v>
      </c>
      <c r="H876" s="12" t="n">
        <v>81.3</v>
      </c>
      <c r="I876" s="12" t="s">
        <v>282</v>
      </c>
      <c r="J876" s="12" t="n">
        <v>4</v>
      </c>
      <c r="K876" s="12" t="n">
        <v>10</v>
      </c>
      <c r="L876" s="28" t="n">
        <v>1</v>
      </c>
      <c r="M876" s="12" t="n">
        <f aca="false">IF(L876=1,COUNTIFS($C$2:$C$1090,C876,$L$2:$L$1090,1),"")</f>
        <v>11</v>
      </c>
      <c r="N876" s="12" t="n">
        <f aca="false">IF(L876=1,1+COUNTIFS($C$2:$C$1090,C876,$L$2:$L$1090,1,$G$2:$G$1090,"&gt;"&amp;G876),"")</f>
        <v>4</v>
      </c>
      <c r="O876" s="12" t="n">
        <f aca="false">IF(L876=1,1+COUNTIFS($C$2:$C$1090,C876,$L$2:$L$1090,1,$H$2:$H$1090,"&gt;"&amp;H876),"")</f>
        <v>10</v>
      </c>
      <c r="P876" s="12" t="n">
        <f aca="false">IF(L876=1,N876-O876,"")</f>
        <v>-6</v>
      </c>
      <c r="Q876" s="12" t="n">
        <f aca="false">INDEX(Directions!$D$2:$D$100,MATCH(C876,Directions!$A$2:$A$100,0))</f>
        <v>1</v>
      </c>
      <c r="R876" s="12" t="n">
        <f aca="false">IF(L876=1,P876*Q876,"")</f>
        <v>-6</v>
      </c>
      <c r="S876" s="12" t="str">
        <f aca="false">IF(L876&lt;&gt;1,"Excluded",IF(Q876=0,"No direction",IF(R876&gt;0,"Better",IF(R876&lt;0,"Worse","No change"))))</f>
        <v>Worse</v>
      </c>
      <c r="T876" s="12"/>
      <c r="U876" s="12" t="str">
        <f aca="false">C876&amp;"|"&amp;E876</f>
        <v>F10_07|NLD</v>
      </c>
    </row>
    <row r="877" customFormat="false" ht="15" hidden="false" customHeight="false" outlineLevel="0" collapsed="false">
      <c r="A877" s="12" t="n">
        <v>10</v>
      </c>
      <c r="B877" s="12" t="s">
        <v>40</v>
      </c>
      <c r="C877" s="12" t="s">
        <v>218</v>
      </c>
      <c r="D877" s="12" t="s">
        <v>219</v>
      </c>
      <c r="E877" s="12" t="s">
        <v>33</v>
      </c>
      <c r="F877" s="12" t="s">
        <v>33</v>
      </c>
      <c r="G877" s="12" t="n">
        <v>93</v>
      </c>
      <c r="H877" s="12" t="n">
        <v>92</v>
      </c>
      <c r="I877" s="12" t="s">
        <v>282</v>
      </c>
      <c r="J877" s="12" t="n">
        <v>6</v>
      </c>
      <c r="K877" s="12" t="n">
        <v>6</v>
      </c>
      <c r="L877" s="28" t="n">
        <v>1</v>
      </c>
      <c r="M877" s="12" t="n">
        <f aca="false">IF(L877=1,COUNTIFS($C$2:$C$1090,C877,$L$2:$L$1090,1),"")</f>
        <v>11</v>
      </c>
      <c r="N877" s="12" t="n">
        <f aca="false">IF(L877=1,1+COUNTIFS($C$2:$C$1090,C877,$L$2:$L$1090,1,$G$2:$G$1090,"&gt;"&amp;G877),"")</f>
        <v>5</v>
      </c>
      <c r="O877" s="12" t="n">
        <f aca="false">IF(L877=1,1+COUNTIFS($C$2:$C$1090,C877,$L$2:$L$1090,1,$H$2:$H$1090,"&gt;"&amp;H877),"")</f>
        <v>5</v>
      </c>
      <c r="P877" s="12" t="n">
        <f aca="false">IF(L877=1,N877-O877,"")</f>
        <v>0</v>
      </c>
      <c r="Q877" s="12" t="n">
        <f aca="false">INDEX(Directions!$D$2:$D$100,MATCH(C877,Directions!$A$2:$A$100,0))</f>
        <v>1</v>
      </c>
      <c r="R877" s="12" t="n">
        <f aca="false">IF(L877=1,P877*Q877,"")</f>
        <v>0</v>
      </c>
      <c r="S877" s="12" t="str">
        <f aca="false">IF(L877&lt;&gt;1,"Excluded",IF(Q877=0,"No direction",IF(R877&gt;0,"Better",IF(R877&lt;0,"Worse","No change"))))</f>
        <v>No change</v>
      </c>
      <c r="T877" s="12"/>
      <c r="U877" s="12" t="str">
        <f aca="false">C877&amp;"|"&amp;E877</f>
        <v>F10_07|CHE</v>
      </c>
    </row>
    <row r="878" customFormat="false" ht="15" hidden="false" customHeight="false" outlineLevel="0" collapsed="false">
      <c r="A878" s="12" t="n">
        <v>10</v>
      </c>
      <c r="B878" s="12" t="s">
        <v>40</v>
      </c>
      <c r="C878" s="12" t="s">
        <v>218</v>
      </c>
      <c r="D878" s="12" t="s">
        <v>219</v>
      </c>
      <c r="E878" s="12" t="s">
        <v>287</v>
      </c>
      <c r="F878" s="12" t="s">
        <v>34</v>
      </c>
      <c r="G878" s="12" t="n">
        <v>91</v>
      </c>
      <c r="H878" s="12" t="n">
        <v>93.8</v>
      </c>
      <c r="I878" s="12" t="s">
        <v>282</v>
      </c>
      <c r="J878" s="12" t="n">
        <v>10</v>
      </c>
      <c r="K878" s="12" t="n">
        <v>3</v>
      </c>
      <c r="L878" s="28" t="n">
        <v>1</v>
      </c>
      <c r="M878" s="12" t="n">
        <f aca="false">IF(L878=1,COUNTIFS($C$2:$C$1090,C878,$L$2:$L$1090,1),"")</f>
        <v>11</v>
      </c>
      <c r="N878" s="12" t="n">
        <f aca="false">IF(L878=1,1+COUNTIFS($C$2:$C$1090,C878,$L$2:$L$1090,1,$G$2:$G$1090,"&gt;"&amp;G878),"")</f>
        <v>9</v>
      </c>
      <c r="O878" s="12" t="n">
        <f aca="false">IF(L878=1,1+COUNTIFS($C$2:$C$1090,C878,$L$2:$L$1090,1,$H$2:$H$1090,"&gt;"&amp;H878),"")</f>
        <v>3</v>
      </c>
      <c r="P878" s="12" t="n">
        <f aca="false">IF(L878=1,N878-O878,"")</f>
        <v>6</v>
      </c>
      <c r="Q878" s="12" t="n">
        <f aca="false">INDEX(Directions!$D$2:$D$100,MATCH(C878,Directions!$A$2:$A$100,0))</f>
        <v>1</v>
      </c>
      <c r="R878" s="12" t="n">
        <f aca="false">IF(L878=1,P878*Q878,"")</f>
        <v>6</v>
      </c>
      <c r="S878" s="12" t="str">
        <f aca="false">IF(L878&lt;&gt;1,"Excluded",IF(Q878=0,"No direction",IF(R878&gt;0,"Better",IF(R878&lt;0,"Worse","No change"))))</f>
        <v>Better</v>
      </c>
      <c r="T878" s="12"/>
      <c r="U878" s="12" t="str">
        <f aca="false">C878&amp;"|"&amp;E878</f>
        <v>F10_07|DNK</v>
      </c>
    </row>
    <row r="879" customFormat="false" ht="15" hidden="false" customHeight="false" outlineLevel="0" collapsed="false">
      <c r="A879" s="12" t="n">
        <v>10</v>
      </c>
      <c r="B879" s="12" t="s">
        <v>40</v>
      </c>
      <c r="C879" s="12" t="s">
        <v>218</v>
      </c>
      <c r="D879" s="12" t="s">
        <v>219</v>
      </c>
      <c r="E879" s="12" t="s">
        <v>288</v>
      </c>
      <c r="F879" s="12" t="s">
        <v>35</v>
      </c>
      <c r="G879" s="12" t="n">
        <v>90</v>
      </c>
      <c r="H879" s="12" t="n">
        <v>79</v>
      </c>
      <c r="I879" s="12" t="s">
        <v>293</v>
      </c>
      <c r="J879" s="12" t="n">
        <v>11</v>
      </c>
      <c r="K879" s="12" t="n">
        <v>11</v>
      </c>
      <c r="L879" s="28" t="n">
        <v>1</v>
      </c>
      <c r="M879" s="12" t="n">
        <f aca="false">IF(L879=1,COUNTIFS($C$2:$C$1090,C879,$L$2:$L$1090,1),"")</f>
        <v>11</v>
      </c>
      <c r="N879" s="12" t="n">
        <f aca="false">IF(L879=1,1+COUNTIFS($C$2:$C$1090,C879,$L$2:$L$1090,1,$G$2:$G$1090,"&gt;"&amp;G879),"")</f>
        <v>11</v>
      </c>
      <c r="O879" s="12" t="n">
        <f aca="false">IF(L879=1,1+COUNTIFS($C$2:$C$1090,C879,$L$2:$L$1090,1,$H$2:$H$1090,"&gt;"&amp;H879),"")</f>
        <v>11</v>
      </c>
      <c r="P879" s="12" t="n">
        <f aca="false">IF(L879=1,N879-O879,"")</f>
        <v>0</v>
      </c>
      <c r="Q879" s="12" t="n">
        <f aca="false">INDEX(Directions!$D$2:$D$100,MATCH(C879,Directions!$A$2:$A$100,0))</f>
        <v>1</v>
      </c>
      <c r="R879" s="12" t="n">
        <f aca="false">IF(L879=1,P879*Q879,"")</f>
        <v>0</v>
      </c>
      <c r="S879" s="12" t="str">
        <f aca="false">IF(L879&lt;&gt;1,"Excluded",IF(Q879=0,"No direction",IF(R879&gt;0,"Better",IF(R879&lt;0,"Worse","No change"))))</f>
        <v>No change</v>
      </c>
      <c r="T879" s="12"/>
      <c r="U879" s="12" t="str">
        <f aca="false">C879&amp;"|"&amp;E879</f>
        <v>F10_07|CAN</v>
      </c>
    </row>
    <row r="880" customFormat="false" ht="15" hidden="false" customHeight="false" outlineLevel="0" collapsed="false">
      <c r="A880" s="12" t="n">
        <v>10</v>
      </c>
      <c r="B880" s="12" t="s">
        <v>40</v>
      </c>
      <c r="C880" s="12" t="s">
        <v>218</v>
      </c>
      <c r="D880" s="12" t="s">
        <v>219</v>
      </c>
      <c r="E880" s="12" t="s">
        <v>289</v>
      </c>
      <c r="F880" s="12" t="s">
        <v>36</v>
      </c>
      <c r="G880" s="12" t="n">
        <v>98</v>
      </c>
      <c r="H880" s="12" t="n">
        <v>95.1</v>
      </c>
      <c r="I880" s="12" t="s">
        <v>282</v>
      </c>
      <c r="J880" s="12" t="n">
        <v>2</v>
      </c>
      <c r="K880" s="12" t="n">
        <v>1</v>
      </c>
      <c r="L880" s="28" t="n">
        <v>1</v>
      </c>
      <c r="M880" s="12" t="n">
        <f aca="false">IF(L880=1,COUNTIFS($C$2:$C$1090,C880,$L$2:$L$1090,1),"")</f>
        <v>11</v>
      </c>
      <c r="N880" s="12" t="n">
        <f aca="false">IF(L880=1,1+COUNTIFS($C$2:$C$1090,C880,$L$2:$L$1090,1,$G$2:$G$1090,"&gt;"&amp;G880),"")</f>
        <v>1</v>
      </c>
      <c r="O880" s="12" t="n">
        <f aca="false">IF(L880=1,1+COUNTIFS($C$2:$C$1090,C880,$L$2:$L$1090,1,$H$2:$H$1090,"&gt;"&amp;H880),"")</f>
        <v>1</v>
      </c>
      <c r="P880" s="12" t="n">
        <f aca="false">IF(L880=1,N880-O880,"")</f>
        <v>0</v>
      </c>
      <c r="Q880" s="12" t="n">
        <f aca="false">INDEX(Directions!$D$2:$D$100,MATCH(C880,Directions!$A$2:$A$100,0))</f>
        <v>1</v>
      </c>
      <c r="R880" s="12" t="n">
        <f aca="false">IF(L880=1,P880*Q880,"")</f>
        <v>0</v>
      </c>
      <c r="S880" s="12" t="str">
        <f aca="false">IF(L880&lt;&gt;1,"Excluded",IF(Q880=0,"No direction",IF(R880&gt;0,"Better",IF(R880&lt;0,"Worse","No change"))))</f>
        <v>No change</v>
      </c>
      <c r="T880" s="12"/>
      <c r="U880" s="12" t="str">
        <f aca="false">C880&amp;"|"&amp;E880</f>
        <v>F10_07|JPN</v>
      </c>
    </row>
    <row r="881" customFormat="false" ht="15" hidden="false" customHeight="false" outlineLevel="0" collapsed="false">
      <c r="A881" s="12" t="n">
        <v>10</v>
      </c>
      <c r="B881" s="12" t="s">
        <v>40</v>
      </c>
      <c r="C881" s="12" t="s">
        <v>218</v>
      </c>
      <c r="D881" s="12" t="s">
        <v>219</v>
      </c>
      <c r="E881" s="12" t="s">
        <v>290</v>
      </c>
      <c r="F881" s="12" t="s">
        <v>37</v>
      </c>
      <c r="G881" s="12" t="n">
        <v>93</v>
      </c>
      <c r="H881" s="12" t="n">
        <v>91</v>
      </c>
      <c r="I881" s="12" t="s">
        <v>282</v>
      </c>
      <c r="J881" s="12" t="n">
        <v>7</v>
      </c>
      <c r="K881" s="12" t="n">
        <v>8</v>
      </c>
      <c r="L881" s="28" t="n">
        <v>1</v>
      </c>
      <c r="M881" s="12" t="n">
        <f aca="false">IF(L881=1,COUNTIFS($C$2:$C$1090,C881,$L$2:$L$1090,1),"")</f>
        <v>11</v>
      </c>
      <c r="N881" s="12" t="n">
        <f aca="false">IF(L881=1,1+COUNTIFS($C$2:$C$1090,C881,$L$2:$L$1090,1,$G$2:$G$1090,"&gt;"&amp;G881),"")</f>
        <v>5</v>
      </c>
      <c r="O881" s="12" t="n">
        <f aca="false">IF(L881=1,1+COUNTIFS($C$2:$C$1090,C881,$L$2:$L$1090,1,$H$2:$H$1090,"&gt;"&amp;H881),"")</f>
        <v>8</v>
      </c>
      <c r="P881" s="12" t="n">
        <f aca="false">IF(L881=1,N881-O881,"")</f>
        <v>-3</v>
      </c>
      <c r="Q881" s="12" t="n">
        <f aca="false">INDEX(Directions!$D$2:$D$100,MATCH(C881,Directions!$A$2:$A$100,0))</f>
        <v>1</v>
      </c>
      <c r="R881" s="12" t="n">
        <f aca="false">IF(L881=1,P881*Q881,"")</f>
        <v>-3</v>
      </c>
      <c r="S881" s="12" t="str">
        <f aca="false">IF(L881&lt;&gt;1,"Excluded",IF(Q881=0,"No direction",IF(R881&gt;0,"Better",IF(R881&lt;0,"Worse","No change"))))</f>
        <v>Worse</v>
      </c>
      <c r="T881" s="12"/>
      <c r="U881" s="12" t="str">
        <f aca="false">C881&amp;"|"&amp;E881</f>
        <v>F10_07|AUS</v>
      </c>
    </row>
    <row r="882" customFormat="false" ht="15" hidden="false" customHeight="false" outlineLevel="0" collapsed="false">
      <c r="A882" s="12" t="n">
        <v>10</v>
      </c>
      <c r="B882" s="12" t="s">
        <v>40</v>
      </c>
      <c r="C882" s="12" t="s">
        <v>221</v>
      </c>
      <c r="D882" s="12" t="s">
        <v>222</v>
      </c>
      <c r="E882" s="12" t="s">
        <v>281</v>
      </c>
      <c r="F882" s="12" t="s">
        <v>27</v>
      </c>
      <c r="G882" s="12" t="n">
        <v>81</v>
      </c>
      <c r="H882" s="12" t="n">
        <v>79.8</v>
      </c>
      <c r="I882" s="12" t="s">
        <v>291</v>
      </c>
      <c r="J882" s="12" t="n">
        <v>2</v>
      </c>
      <c r="K882" s="12" t="n">
        <v>3</v>
      </c>
      <c r="L882" s="28" t="n">
        <v>1</v>
      </c>
      <c r="M882" s="12" t="n">
        <f aca="false">IF(L882=1,COUNTIFS($C$2:$C$1090,C882,$L$2:$L$1090,1),"")</f>
        <v>11</v>
      </c>
      <c r="N882" s="12" t="n">
        <f aca="false">IF(L882=1,1+COUNTIFS($C$2:$C$1090,C882,$L$2:$L$1090,1,$G$2:$G$1090,"&gt;"&amp;G882),"")</f>
        <v>2</v>
      </c>
      <c r="O882" s="12" t="n">
        <f aca="false">IF(L882=1,1+COUNTIFS($C$2:$C$1090,C882,$L$2:$L$1090,1,$H$2:$H$1090,"&gt;"&amp;H882),"")</f>
        <v>3</v>
      </c>
      <c r="P882" s="12" t="n">
        <f aca="false">IF(L882=1,N882-O882,"")</f>
        <v>-1</v>
      </c>
      <c r="Q882" s="12" t="n">
        <f aca="false">INDEX(Directions!$D$2:$D$100,MATCH(C882,Directions!$A$2:$A$100,0))</f>
        <v>1</v>
      </c>
      <c r="R882" s="12" t="n">
        <f aca="false">IF(L882=1,P882*Q882,"")</f>
        <v>-1</v>
      </c>
      <c r="S882" s="12" t="str">
        <f aca="false">IF(L882&lt;&gt;1,"Excluded",IF(Q882=0,"No direction",IF(R882&gt;0,"Better",IF(R882&lt;0,"Worse","No change"))))</f>
        <v>Worse</v>
      </c>
      <c r="T882" s="12"/>
      <c r="U882" s="12" t="str">
        <f aca="false">C882&amp;"|"&amp;E882</f>
        <v>F10_08|USA</v>
      </c>
    </row>
    <row r="883" customFormat="false" ht="15" hidden="false" customHeight="false" outlineLevel="0" collapsed="false">
      <c r="A883" s="12" t="n">
        <v>10</v>
      </c>
      <c r="B883" s="12" t="s">
        <v>40</v>
      </c>
      <c r="C883" s="12" t="s">
        <v>221</v>
      </c>
      <c r="D883" s="12" t="s">
        <v>222</v>
      </c>
      <c r="E883" s="12" t="s">
        <v>283</v>
      </c>
      <c r="F883" s="12" t="s">
        <v>28</v>
      </c>
      <c r="G883" s="12" t="n">
        <v>76</v>
      </c>
      <c r="H883" s="12" t="n">
        <v>70</v>
      </c>
      <c r="I883" s="12" t="s">
        <v>293</v>
      </c>
      <c r="J883" s="12" t="n">
        <v>4</v>
      </c>
      <c r="K883" s="12" t="n">
        <v>5</v>
      </c>
      <c r="L883" s="28" t="n">
        <v>1</v>
      </c>
      <c r="M883" s="12" t="n">
        <f aca="false">IF(L883=1,COUNTIFS($C$2:$C$1090,C883,$L$2:$L$1090,1),"")</f>
        <v>11</v>
      </c>
      <c r="N883" s="12" t="n">
        <f aca="false">IF(L883=1,1+COUNTIFS($C$2:$C$1090,C883,$L$2:$L$1090,1,$G$2:$G$1090,"&gt;"&amp;G883),"")</f>
        <v>4</v>
      </c>
      <c r="O883" s="12" t="n">
        <f aca="false">IF(L883=1,1+COUNTIFS($C$2:$C$1090,C883,$L$2:$L$1090,1,$H$2:$H$1090,"&gt;"&amp;H883),"")</f>
        <v>5</v>
      </c>
      <c r="P883" s="12" t="n">
        <f aca="false">IF(L883=1,N883-O883,"")</f>
        <v>-1</v>
      </c>
      <c r="Q883" s="12" t="n">
        <f aca="false">INDEX(Directions!$D$2:$D$100,MATCH(C883,Directions!$A$2:$A$100,0))</f>
        <v>1</v>
      </c>
      <c r="R883" s="12" t="n">
        <f aca="false">IF(L883=1,P883*Q883,"")</f>
        <v>-1</v>
      </c>
      <c r="S883" s="12" t="str">
        <f aca="false">IF(L883&lt;&gt;1,"Excluded",IF(Q883=0,"No direction",IF(R883&gt;0,"Better",IF(R883&lt;0,"Worse","No change"))))</f>
        <v>Worse</v>
      </c>
      <c r="T883" s="12"/>
      <c r="U883" s="12" t="str">
        <f aca="false">C883&amp;"|"&amp;E883</f>
        <v>F10_08|GBR</v>
      </c>
    </row>
    <row r="884" customFormat="false" ht="15" hidden="false" customHeight="false" outlineLevel="0" collapsed="false">
      <c r="A884" s="12" t="n">
        <v>10</v>
      </c>
      <c r="B884" s="12" t="s">
        <v>40</v>
      </c>
      <c r="C884" s="12" t="s">
        <v>221</v>
      </c>
      <c r="D884" s="12" t="s">
        <v>222</v>
      </c>
      <c r="E884" s="12" t="s">
        <v>284</v>
      </c>
      <c r="F884" s="12" t="s">
        <v>29</v>
      </c>
      <c r="G884" s="12" t="n">
        <v>71</v>
      </c>
      <c r="H884" s="12" t="n">
        <v>65.7</v>
      </c>
      <c r="I884" s="12" t="s">
        <v>305</v>
      </c>
      <c r="J884" s="12" t="n">
        <v>7</v>
      </c>
      <c r="K884" s="12" t="n">
        <v>7</v>
      </c>
      <c r="L884" s="28" t="n">
        <v>1</v>
      </c>
      <c r="M884" s="12" t="n">
        <f aca="false">IF(L884=1,COUNTIFS($C$2:$C$1090,C884,$L$2:$L$1090,1),"")</f>
        <v>11</v>
      </c>
      <c r="N884" s="12" t="n">
        <f aca="false">IF(L884=1,1+COUNTIFS($C$2:$C$1090,C884,$L$2:$L$1090,1,$G$2:$G$1090,"&gt;"&amp;G884),"")</f>
        <v>7</v>
      </c>
      <c r="O884" s="12" t="n">
        <f aca="false">IF(L884=1,1+COUNTIFS($C$2:$C$1090,C884,$L$2:$L$1090,1,$H$2:$H$1090,"&gt;"&amp;H884),"")</f>
        <v>7</v>
      </c>
      <c r="P884" s="12" t="n">
        <f aca="false">IF(L884=1,N884-O884,"")</f>
        <v>0</v>
      </c>
      <c r="Q884" s="12" t="n">
        <f aca="false">INDEX(Directions!$D$2:$D$100,MATCH(C884,Directions!$A$2:$A$100,0))</f>
        <v>1</v>
      </c>
      <c r="R884" s="12" t="n">
        <f aca="false">IF(L884=1,P884*Q884,"")</f>
        <v>0</v>
      </c>
      <c r="S884" s="12" t="str">
        <f aca="false">IF(L884&lt;&gt;1,"Excluded",IF(Q884=0,"No direction",IF(R884&gt;0,"Better",IF(R884&lt;0,"Worse","No change"))))</f>
        <v>No change</v>
      </c>
      <c r="T884" s="12"/>
      <c r="U884" s="12" t="str">
        <f aca="false">C884&amp;"|"&amp;E884</f>
        <v>F10_08|DEU</v>
      </c>
    </row>
    <row r="885" customFormat="false" ht="15" hidden="false" customHeight="false" outlineLevel="0" collapsed="false">
      <c r="A885" s="12" t="n">
        <v>10</v>
      </c>
      <c r="B885" s="12" t="s">
        <v>40</v>
      </c>
      <c r="C885" s="12" t="s">
        <v>221</v>
      </c>
      <c r="D885" s="12" t="s">
        <v>222</v>
      </c>
      <c r="E885" s="12" t="s">
        <v>285</v>
      </c>
      <c r="F885" s="12" t="s">
        <v>30</v>
      </c>
      <c r="G885" s="12" t="n">
        <v>75</v>
      </c>
      <c r="H885" s="12" t="n">
        <v>82</v>
      </c>
      <c r="I885" s="12" t="s">
        <v>293</v>
      </c>
      <c r="J885" s="12" t="n">
        <v>5</v>
      </c>
      <c r="K885" s="12" t="n">
        <v>2</v>
      </c>
      <c r="L885" s="28" t="n">
        <v>1</v>
      </c>
      <c r="M885" s="12" t="n">
        <f aca="false">IF(L885=1,COUNTIFS($C$2:$C$1090,C885,$L$2:$L$1090,1),"")</f>
        <v>11</v>
      </c>
      <c r="N885" s="12" t="n">
        <f aca="false">IF(L885=1,1+COUNTIFS($C$2:$C$1090,C885,$L$2:$L$1090,1,$G$2:$G$1090,"&gt;"&amp;G885),"")</f>
        <v>5</v>
      </c>
      <c r="O885" s="12" t="n">
        <f aca="false">IF(L885=1,1+COUNTIFS($C$2:$C$1090,C885,$L$2:$L$1090,1,$H$2:$H$1090,"&gt;"&amp;H885),"")</f>
        <v>2</v>
      </c>
      <c r="P885" s="12" t="n">
        <f aca="false">IF(L885=1,N885-O885,"")</f>
        <v>3</v>
      </c>
      <c r="Q885" s="12" t="n">
        <f aca="false">INDEX(Directions!$D$2:$D$100,MATCH(C885,Directions!$A$2:$A$100,0))</f>
        <v>1</v>
      </c>
      <c r="R885" s="12" t="n">
        <f aca="false">IF(L885=1,P885*Q885,"")</f>
        <v>3</v>
      </c>
      <c r="S885" s="12" t="str">
        <f aca="false">IF(L885&lt;&gt;1,"Excluded",IF(Q885=0,"No direction",IF(R885&gt;0,"Better",IF(R885&lt;0,"Worse","No change"))))</f>
        <v>Better</v>
      </c>
      <c r="T885" s="12"/>
      <c r="U885" s="12" t="str">
        <f aca="false">C885&amp;"|"&amp;E885</f>
        <v>F10_08|SWE</v>
      </c>
    </row>
    <row r="886" customFormat="false" ht="15" hidden="false" customHeight="false" outlineLevel="0" collapsed="false">
      <c r="A886" s="12" t="n">
        <v>10</v>
      </c>
      <c r="B886" s="12" t="s">
        <v>40</v>
      </c>
      <c r="C886" s="12" t="s">
        <v>221</v>
      </c>
      <c r="D886" s="12" t="s">
        <v>222</v>
      </c>
      <c r="E886" s="12" t="s">
        <v>286</v>
      </c>
      <c r="F886" s="12" t="s">
        <v>31</v>
      </c>
      <c r="G886" s="12" t="n">
        <v>52</v>
      </c>
      <c r="H886" s="12" t="n">
        <v>46.5</v>
      </c>
      <c r="I886" s="12" t="s">
        <v>293</v>
      </c>
      <c r="J886" s="12" t="n">
        <v>9</v>
      </c>
      <c r="K886" s="12" t="n">
        <v>10</v>
      </c>
      <c r="L886" s="28" t="n">
        <v>1</v>
      </c>
      <c r="M886" s="12" t="n">
        <f aca="false">IF(L886=1,COUNTIFS($C$2:$C$1090,C886,$L$2:$L$1090,1),"")</f>
        <v>11</v>
      </c>
      <c r="N886" s="12" t="n">
        <f aca="false">IF(L886=1,1+COUNTIFS($C$2:$C$1090,C886,$L$2:$L$1090,1,$G$2:$G$1090,"&gt;"&amp;G886),"")</f>
        <v>9</v>
      </c>
      <c r="O886" s="12" t="n">
        <f aca="false">IF(L886=1,1+COUNTIFS($C$2:$C$1090,C886,$L$2:$L$1090,1,$H$2:$H$1090,"&gt;"&amp;H886),"")</f>
        <v>10</v>
      </c>
      <c r="P886" s="12" t="n">
        <f aca="false">IF(L886=1,N886-O886,"")</f>
        <v>-1</v>
      </c>
      <c r="Q886" s="12" t="n">
        <f aca="false">INDEX(Directions!$D$2:$D$100,MATCH(C886,Directions!$A$2:$A$100,0))</f>
        <v>1</v>
      </c>
      <c r="R886" s="12" t="n">
        <f aca="false">IF(L886=1,P886*Q886,"")</f>
        <v>-1</v>
      </c>
      <c r="S886" s="12" t="str">
        <f aca="false">IF(L886&lt;&gt;1,"Excluded",IF(Q886=0,"No direction",IF(R886&gt;0,"Better",IF(R886&lt;0,"Worse","No change"))))</f>
        <v>Worse</v>
      </c>
      <c r="T886" s="12"/>
      <c r="U886" s="12" t="str">
        <f aca="false">C886&amp;"|"&amp;E886</f>
        <v>F10_08|FRA</v>
      </c>
    </row>
    <row r="887" customFormat="false" ht="15" hidden="false" customHeight="false" outlineLevel="0" collapsed="false">
      <c r="A887" s="12" t="n">
        <v>10</v>
      </c>
      <c r="B887" s="12" t="s">
        <v>40</v>
      </c>
      <c r="C887" s="12" t="s">
        <v>221</v>
      </c>
      <c r="D887" s="12" t="s">
        <v>222</v>
      </c>
      <c r="E887" s="12" t="s">
        <v>32</v>
      </c>
      <c r="F887" s="12" t="s">
        <v>32</v>
      </c>
      <c r="G887" s="12" t="n">
        <v>79</v>
      </c>
      <c r="H887" s="12" t="n">
        <v>66</v>
      </c>
      <c r="I887" s="12" t="s">
        <v>293</v>
      </c>
      <c r="J887" s="12" t="n">
        <v>3</v>
      </c>
      <c r="K887" s="12" t="n">
        <v>6</v>
      </c>
      <c r="L887" s="28" t="n">
        <v>1</v>
      </c>
      <c r="M887" s="12" t="n">
        <f aca="false">IF(L887=1,COUNTIFS($C$2:$C$1090,C887,$L$2:$L$1090,1),"")</f>
        <v>11</v>
      </c>
      <c r="N887" s="12" t="n">
        <f aca="false">IF(L887=1,1+COUNTIFS($C$2:$C$1090,C887,$L$2:$L$1090,1,$G$2:$G$1090,"&gt;"&amp;G887),"")</f>
        <v>3</v>
      </c>
      <c r="O887" s="12" t="n">
        <f aca="false">IF(L887=1,1+COUNTIFS($C$2:$C$1090,C887,$L$2:$L$1090,1,$H$2:$H$1090,"&gt;"&amp;H887),"")</f>
        <v>6</v>
      </c>
      <c r="P887" s="12" t="n">
        <f aca="false">IF(L887=1,N887-O887,"")</f>
        <v>-3</v>
      </c>
      <c r="Q887" s="12" t="n">
        <f aca="false">INDEX(Directions!$D$2:$D$100,MATCH(C887,Directions!$A$2:$A$100,0))</f>
        <v>1</v>
      </c>
      <c r="R887" s="12" t="n">
        <f aca="false">IF(L887=1,P887*Q887,"")</f>
        <v>-3</v>
      </c>
      <c r="S887" s="12" t="str">
        <f aca="false">IF(L887&lt;&gt;1,"Excluded",IF(Q887=0,"No direction",IF(R887&gt;0,"Better",IF(R887&lt;0,"Worse","No change"))))</f>
        <v>Worse</v>
      </c>
      <c r="T887" s="12"/>
      <c r="U887" s="12" t="str">
        <f aca="false">C887&amp;"|"&amp;E887</f>
        <v>F10_08|NLD</v>
      </c>
    </row>
    <row r="888" customFormat="false" ht="15" hidden="false" customHeight="false" outlineLevel="0" collapsed="false">
      <c r="A888" s="12" t="n">
        <v>10</v>
      </c>
      <c r="B888" s="12" t="s">
        <v>40</v>
      </c>
      <c r="C888" s="12" t="s">
        <v>221</v>
      </c>
      <c r="D888" s="12" t="s">
        <v>222</v>
      </c>
      <c r="E888" s="12" t="s">
        <v>33</v>
      </c>
      <c r="F888" s="12" t="s">
        <v>33</v>
      </c>
      <c r="G888" s="12" t="n">
        <v>47</v>
      </c>
      <c r="H888" s="12" t="n">
        <v>50</v>
      </c>
      <c r="I888" s="12" t="s">
        <v>294</v>
      </c>
      <c r="J888" s="12" t="n">
        <v>10</v>
      </c>
      <c r="K888" s="12" t="n">
        <v>9</v>
      </c>
      <c r="L888" s="28" t="n">
        <v>1</v>
      </c>
      <c r="M888" s="12" t="n">
        <f aca="false">IF(L888=1,COUNTIFS($C$2:$C$1090,C888,$L$2:$L$1090,1),"")</f>
        <v>11</v>
      </c>
      <c r="N888" s="12" t="n">
        <f aca="false">IF(L888=1,1+COUNTIFS($C$2:$C$1090,C888,$L$2:$L$1090,1,$G$2:$G$1090,"&gt;"&amp;G888),"")</f>
        <v>10</v>
      </c>
      <c r="O888" s="12" t="n">
        <f aca="false">IF(L888=1,1+COUNTIFS($C$2:$C$1090,C888,$L$2:$L$1090,1,$H$2:$H$1090,"&gt;"&amp;H888),"")</f>
        <v>9</v>
      </c>
      <c r="P888" s="12" t="n">
        <f aca="false">IF(L888=1,N888-O888,"")</f>
        <v>1</v>
      </c>
      <c r="Q888" s="12" t="n">
        <f aca="false">INDEX(Directions!$D$2:$D$100,MATCH(C888,Directions!$A$2:$A$100,0))</f>
        <v>1</v>
      </c>
      <c r="R888" s="12" t="n">
        <f aca="false">IF(L888=1,P888*Q888,"")</f>
        <v>1</v>
      </c>
      <c r="S888" s="12" t="str">
        <f aca="false">IF(L888&lt;&gt;1,"Excluded",IF(Q888=0,"No direction",IF(R888&gt;0,"Better",IF(R888&lt;0,"Worse","No change"))))</f>
        <v>Better</v>
      </c>
      <c r="T888" s="12"/>
      <c r="U888" s="12" t="str">
        <f aca="false">C888&amp;"|"&amp;E888</f>
        <v>F10_08|CHE</v>
      </c>
    </row>
    <row r="889" customFormat="false" ht="15" hidden="false" customHeight="false" outlineLevel="0" collapsed="false">
      <c r="A889" s="12" t="n">
        <v>10</v>
      </c>
      <c r="B889" s="12" t="s">
        <v>40</v>
      </c>
      <c r="C889" s="12" t="s">
        <v>221</v>
      </c>
      <c r="D889" s="12" t="s">
        <v>222</v>
      </c>
      <c r="E889" s="12" t="s">
        <v>287</v>
      </c>
      <c r="F889" s="12" t="s">
        <v>34</v>
      </c>
      <c r="G889" s="12" t="n">
        <v>84</v>
      </c>
      <c r="H889" s="12" t="n">
        <v>82.1</v>
      </c>
      <c r="I889" s="12" t="s">
        <v>293</v>
      </c>
      <c r="J889" s="12" t="n">
        <v>1</v>
      </c>
      <c r="K889" s="12" t="n">
        <v>1</v>
      </c>
      <c r="L889" s="28" t="n">
        <v>1</v>
      </c>
      <c r="M889" s="12" t="n">
        <f aca="false">IF(L889=1,COUNTIFS($C$2:$C$1090,C889,$L$2:$L$1090,1),"")</f>
        <v>11</v>
      </c>
      <c r="N889" s="12" t="n">
        <f aca="false">IF(L889=1,1+COUNTIFS($C$2:$C$1090,C889,$L$2:$L$1090,1,$G$2:$G$1090,"&gt;"&amp;G889),"")</f>
        <v>1</v>
      </c>
      <c r="O889" s="12" t="n">
        <f aca="false">IF(L889=1,1+COUNTIFS($C$2:$C$1090,C889,$L$2:$L$1090,1,$H$2:$H$1090,"&gt;"&amp;H889),"")</f>
        <v>1</v>
      </c>
      <c r="P889" s="12" t="n">
        <f aca="false">IF(L889=1,N889-O889,"")</f>
        <v>0</v>
      </c>
      <c r="Q889" s="12" t="n">
        <f aca="false">INDEX(Directions!$D$2:$D$100,MATCH(C889,Directions!$A$2:$A$100,0))</f>
        <v>1</v>
      </c>
      <c r="R889" s="12" t="n">
        <f aca="false">IF(L889=1,P889*Q889,"")</f>
        <v>0</v>
      </c>
      <c r="S889" s="12" t="str">
        <f aca="false">IF(L889&lt;&gt;1,"Excluded",IF(Q889=0,"No direction",IF(R889&gt;0,"Better",IF(R889&lt;0,"Worse","No change"))))</f>
        <v>No change</v>
      </c>
      <c r="T889" s="12"/>
      <c r="U889" s="12" t="str">
        <f aca="false">C889&amp;"|"&amp;E889</f>
        <v>F10_08|DNK</v>
      </c>
    </row>
    <row r="890" customFormat="false" ht="15" hidden="false" customHeight="false" outlineLevel="0" collapsed="false">
      <c r="A890" s="12" t="n">
        <v>10</v>
      </c>
      <c r="B890" s="12" t="s">
        <v>40</v>
      </c>
      <c r="C890" s="12" t="s">
        <v>221</v>
      </c>
      <c r="D890" s="12" t="s">
        <v>222</v>
      </c>
      <c r="E890" s="12" t="s">
        <v>288</v>
      </c>
      <c r="F890" s="12" t="s">
        <v>35</v>
      </c>
      <c r="G890" s="12" t="n">
        <v>72</v>
      </c>
      <c r="H890" s="12" t="n">
        <v>78.5</v>
      </c>
      <c r="I890" s="12" t="s">
        <v>293</v>
      </c>
      <c r="J890" s="12" t="n">
        <v>6</v>
      </c>
      <c r="K890" s="12" t="n">
        <v>4</v>
      </c>
      <c r="L890" s="28" t="n">
        <v>1</v>
      </c>
      <c r="M890" s="12" t="n">
        <f aca="false">IF(L890=1,COUNTIFS($C$2:$C$1090,C890,$L$2:$L$1090,1),"")</f>
        <v>11</v>
      </c>
      <c r="N890" s="12" t="n">
        <f aca="false">IF(L890=1,1+COUNTIFS($C$2:$C$1090,C890,$L$2:$L$1090,1,$G$2:$G$1090,"&gt;"&amp;G890),"")</f>
        <v>6</v>
      </c>
      <c r="O890" s="12" t="n">
        <f aca="false">IF(L890=1,1+COUNTIFS($C$2:$C$1090,C890,$L$2:$L$1090,1,$H$2:$H$1090,"&gt;"&amp;H890),"")</f>
        <v>4</v>
      </c>
      <c r="P890" s="12" t="n">
        <f aca="false">IF(L890=1,N890-O890,"")</f>
        <v>2</v>
      </c>
      <c r="Q890" s="12" t="n">
        <f aca="false">INDEX(Directions!$D$2:$D$100,MATCH(C890,Directions!$A$2:$A$100,0))</f>
        <v>1</v>
      </c>
      <c r="R890" s="12" t="n">
        <f aca="false">IF(L890=1,P890*Q890,"")</f>
        <v>2</v>
      </c>
      <c r="S890" s="12" t="str">
        <f aca="false">IF(L890&lt;&gt;1,"Excluded",IF(Q890=0,"No direction",IF(R890&gt;0,"Better",IF(R890&lt;0,"Worse","No change"))))</f>
        <v>Better</v>
      </c>
      <c r="T890" s="12"/>
      <c r="U890" s="12" t="str">
        <f aca="false">C890&amp;"|"&amp;E890</f>
        <v>F10_08|CAN</v>
      </c>
    </row>
    <row r="891" customFormat="false" ht="15" hidden="false" customHeight="false" outlineLevel="0" collapsed="false">
      <c r="A891" s="12" t="n">
        <v>10</v>
      </c>
      <c r="B891" s="12" t="s">
        <v>40</v>
      </c>
      <c r="C891" s="12" t="s">
        <v>221</v>
      </c>
      <c r="D891" s="12" t="s">
        <v>222</v>
      </c>
      <c r="E891" s="12" t="s">
        <v>289</v>
      </c>
      <c r="F891" s="12" t="s">
        <v>36</v>
      </c>
      <c r="G891" s="12" t="n">
        <v>41</v>
      </c>
      <c r="H891" s="12" t="n">
        <v>44.7</v>
      </c>
      <c r="I891" s="12" t="s">
        <v>294</v>
      </c>
      <c r="J891" s="12" t="n">
        <v>11</v>
      </c>
      <c r="K891" s="12" t="n">
        <v>11</v>
      </c>
      <c r="L891" s="28" t="n">
        <v>1</v>
      </c>
      <c r="M891" s="12" t="n">
        <f aca="false">IF(L891=1,COUNTIFS($C$2:$C$1090,C891,$L$2:$L$1090,1),"")</f>
        <v>11</v>
      </c>
      <c r="N891" s="12" t="n">
        <f aca="false">IF(L891=1,1+COUNTIFS($C$2:$C$1090,C891,$L$2:$L$1090,1,$G$2:$G$1090,"&gt;"&amp;G891),"")</f>
        <v>11</v>
      </c>
      <c r="O891" s="12" t="n">
        <f aca="false">IF(L891=1,1+COUNTIFS($C$2:$C$1090,C891,$L$2:$L$1090,1,$H$2:$H$1090,"&gt;"&amp;H891),"")</f>
        <v>11</v>
      </c>
      <c r="P891" s="12" t="n">
        <f aca="false">IF(L891=1,N891-O891,"")</f>
        <v>0</v>
      </c>
      <c r="Q891" s="12" t="n">
        <f aca="false">INDEX(Directions!$D$2:$D$100,MATCH(C891,Directions!$A$2:$A$100,0))</f>
        <v>1</v>
      </c>
      <c r="R891" s="12" t="n">
        <f aca="false">IF(L891=1,P891*Q891,"")</f>
        <v>0</v>
      </c>
      <c r="S891" s="12" t="str">
        <f aca="false">IF(L891&lt;&gt;1,"Excluded",IF(Q891=0,"No direction",IF(R891&gt;0,"Better",IF(R891&lt;0,"Worse","No change"))))</f>
        <v>No change</v>
      </c>
      <c r="T891" s="12"/>
      <c r="U891" s="12" t="str">
        <f aca="false">C891&amp;"|"&amp;E891</f>
        <v>F10_08|JPN</v>
      </c>
    </row>
    <row r="892" customFormat="false" ht="15" hidden="false" customHeight="false" outlineLevel="0" collapsed="false">
      <c r="A892" s="12" t="n">
        <v>10</v>
      </c>
      <c r="B892" s="12" t="s">
        <v>40</v>
      </c>
      <c r="C892" s="12" t="s">
        <v>221</v>
      </c>
      <c r="D892" s="12" t="s">
        <v>222</v>
      </c>
      <c r="E892" s="12" t="s">
        <v>290</v>
      </c>
      <c r="F892" s="12" t="s">
        <v>37</v>
      </c>
      <c r="G892" s="12" t="n">
        <v>55</v>
      </c>
      <c r="H892" s="12" t="n">
        <v>52</v>
      </c>
      <c r="I892" s="12" t="s">
        <v>293</v>
      </c>
      <c r="J892" s="12" t="n">
        <v>8</v>
      </c>
      <c r="K892" s="12" t="n">
        <v>8</v>
      </c>
      <c r="L892" s="28" t="n">
        <v>1</v>
      </c>
      <c r="M892" s="12" t="n">
        <f aca="false">IF(L892=1,COUNTIFS($C$2:$C$1090,C892,$L$2:$L$1090,1),"")</f>
        <v>11</v>
      </c>
      <c r="N892" s="12" t="n">
        <f aca="false">IF(L892=1,1+COUNTIFS($C$2:$C$1090,C892,$L$2:$L$1090,1,$G$2:$G$1090,"&gt;"&amp;G892),"")</f>
        <v>8</v>
      </c>
      <c r="O892" s="12" t="n">
        <f aca="false">IF(L892=1,1+COUNTIFS($C$2:$C$1090,C892,$L$2:$L$1090,1,$H$2:$H$1090,"&gt;"&amp;H892),"")</f>
        <v>8</v>
      </c>
      <c r="P892" s="12" t="n">
        <f aca="false">IF(L892=1,N892-O892,"")</f>
        <v>0</v>
      </c>
      <c r="Q892" s="12" t="n">
        <f aca="false">INDEX(Directions!$D$2:$D$100,MATCH(C892,Directions!$A$2:$A$100,0))</f>
        <v>1</v>
      </c>
      <c r="R892" s="12" t="n">
        <f aca="false">IF(L892=1,P892*Q892,"")</f>
        <v>0</v>
      </c>
      <c r="S892" s="12" t="str">
        <f aca="false">IF(L892&lt;&gt;1,"Excluded",IF(Q892=0,"No direction",IF(R892&gt;0,"Better",IF(R892&lt;0,"Worse","No change"))))</f>
        <v>No change</v>
      </c>
      <c r="T892" s="12"/>
      <c r="U892" s="12" t="str">
        <f aca="false">C892&amp;"|"&amp;E892</f>
        <v>F10_08|AUS</v>
      </c>
    </row>
    <row r="893" customFormat="false" ht="15" hidden="false" customHeight="false" outlineLevel="0" collapsed="false">
      <c r="A893" s="12" t="n">
        <v>10</v>
      </c>
      <c r="B893" s="12" t="s">
        <v>40</v>
      </c>
      <c r="C893" s="12" t="s">
        <v>223</v>
      </c>
      <c r="D893" s="12" t="s">
        <v>224</v>
      </c>
      <c r="E893" s="12" t="s">
        <v>281</v>
      </c>
      <c r="F893" s="12" t="s">
        <v>27</v>
      </c>
      <c r="G893" s="12" t="n">
        <v>4.2</v>
      </c>
      <c r="H893" s="12" t="n">
        <v>4.5</v>
      </c>
      <c r="I893" s="12" t="s">
        <v>294</v>
      </c>
      <c r="J893" s="12" t="n">
        <v>8</v>
      </c>
      <c r="K893" s="12" t="n">
        <v>9</v>
      </c>
      <c r="L893" s="28" t="n">
        <v>1</v>
      </c>
      <c r="M893" s="12" t="n">
        <f aca="false">IF(L893=1,COUNTIFS($C$2:$C$1090,C893,$L$2:$L$1090,1),"")</f>
        <v>8</v>
      </c>
      <c r="N893" s="12" t="n">
        <f aca="false">IF(L893=1,1+COUNTIFS($C$2:$C$1090,C893,$L$2:$L$1090,1,$G$2:$G$1090,"&gt;"&amp;G893),"")</f>
        <v>8</v>
      </c>
      <c r="O893" s="12" t="n">
        <f aca="false">IF(L893=1,1+COUNTIFS($C$2:$C$1090,C893,$L$2:$L$1090,1,$H$2:$H$1090,"&gt;"&amp;H893),"")</f>
        <v>7</v>
      </c>
      <c r="P893" s="12" t="n">
        <f aca="false">IF(L893=1,N893-O893,"")</f>
        <v>1</v>
      </c>
      <c r="Q893" s="12" t="n">
        <f aca="false">INDEX(Directions!$D$2:$D$100,MATCH(C893,Directions!$A$2:$A$100,0))</f>
        <v>-1</v>
      </c>
      <c r="R893" s="12" t="n">
        <f aca="false">IF(L893=1,P893*Q893,"")</f>
        <v>-1</v>
      </c>
      <c r="S893" s="12" t="str">
        <f aca="false">IF(L893&lt;&gt;1,"Excluded",IF(Q893=0,"No direction",IF(R893&gt;0,"Better",IF(R893&lt;0,"Worse","No change"))))</f>
        <v>Worse</v>
      </c>
      <c r="T893" s="12"/>
      <c r="U893" s="12" t="str">
        <f aca="false">C893&amp;"|"&amp;E893</f>
        <v>F10_09|USA</v>
      </c>
    </row>
    <row r="894" customFormat="false" ht="15" hidden="false" customHeight="false" outlineLevel="0" collapsed="false">
      <c r="A894" s="12" t="n">
        <v>10</v>
      </c>
      <c r="B894" s="12" t="s">
        <v>40</v>
      </c>
      <c r="C894" s="12" t="s">
        <v>223</v>
      </c>
      <c r="D894" s="12" t="s">
        <v>224</v>
      </c>
      <c r="E894" s="12" t="s">
        <v>283</v>
      </c>
      <c r="F894" s="12" t="s">
        <v>28</v>
      </c>
      <c r="G894" s="12" t="n">
        <v>9.2</v>
      </c>
      <c r="H894" s="12" t="n">
        <v>8.5</v>
      </c>
      <c r="I894" s="12" t="s">
        <v>291</v>
      </c>
      <c r="J894" s="12" t="n">
        <v>4</v>
      </c>
      <c r="K894" s="12" t="n">
        <v>1</v>
      </c>
      <c r="L894" s="28" t="n">
        <v>1</v>
      </c>
      <c r="M894" s="12" t="n">
        <f aca="false">IF(L894=1,COUNTIFS($C$2:$C$1090,C894,$L$2:$L$1090,1),"")</f>
        <v>8</v>
      </c>
      <c r="N894" s="12" t="n">
        <f aca="false">IF(L894=1,1+COUNTIFS($C$2:$C$1090,C894,$L$2:$L$1090,1,$G$2:$G$1090,"&gt;"&amp;G894),"")</f>
        <v>4</v>
      </c>
      <c r="O894" s="12" t="n">
        <f aca="false">IF(L894=1,1+COUNTIFS($C$2:$C$1090,C894,$L$2:$L$1090,1,$H$2:$H$1090,"&gt;"&amp;H894),"")</f>
        <v>1</v>
      </c>
      <c r="P894" s="12" t="n">
        <f aca="false">IF(L894=1,N894-O894,"")</f>
        <v>3</v>
      </c>
      <c r="Q894" s="12" t="n">
        <f aca="false">INDEX(Directions!$D$2:$D$100,MATCH(C894,Directions!$A$2:$A$100,0))</f>
        <v>-1</v>
      </c>
      <c r="R894" s="12" t="n">
        <f aca="false">IF(L894=1,P894*Q894,"")</f>
        <v>-3</v>
      </c>
      <c r="S894" s="12" t="str">
        <f aca="false">IF(L894&lt;&gt;1,"Excluded",IF(Q894=0,"No direction",IF(R894&gt;0,"Better",IF(R894&lt;0,"Worse","No change"))))</f>
        <v>Worse</v>
      </c>
      <c r="T894" s="12"/>
      <c r="U894" s="12" t="str">
        <f aca="false">C894&amp;"|"&amp;E894</f>
        <v>F10_09|GBR</v>
      </c>
    </row>
    <row r="895" customFormat="false" ht="15" hidden="false" customHeight="false" outlineLevel="0" collapsed="false">
      <c r="A895" s="12" t="n">
        <v>10</v>
      </c>
      <c r="B895" s="12" t="s">
        <v>40</v>
      </c>
      <c r="C895" s="12" t="s">
        <v>223</v>
      </c>
      <c r="D895" s="12" t="s">
        <v>224</v>
      </c>
      <c r="E895" s="12" t="s">
        <v>284</v>
      </c>
      <c r="F895" s="12" t="s">
        <v>29</v>
      </c>
      <c r="G895" s="12" t="n">
        <v>6.4</v>
      </c>
      <c r="H895" s="12" t="n">
        <v>7</v>
      </c>
      <c r="I895" s="12" t="s">
        <v>291</v>
      </c>
      <c r="J895" s="12" t="n">
        <v>7</v>
      </c>
      <c r="K895" s="12" t="n">
        <v>5</v>
      </c>
      <c r="L895" s="28" t="n">
        <v>1</v>
      </c>
      <c r="M895" s="12" t="n">
        <f aca="false">IF(L895=1,COUNTIFS($C$2:$C$1090,C895,$L$2:$L$1090,1),"")</f>
        <v>8</v>
      </c>
      <c r="N895" s="12" t="n">
        <f aca="false">IF(L895=1,1+COUNTIFS($C$2:$C$1090,C895,$L$2:$L$1090,1,$G$2:$G$1090,"&gt;"&amp;G895),"")</f>
        <v>7</v>
      </c>
      <c r="O895" s="12" t="n">
        <f aca="false">IF(L895=1,1+COUNTIFS($C$2:$C$1090,C895,$L$2:$L$1090,1,$H$2:$H$1090,"&gt;"&amp;H895),"")</f>
        <v>5</v>
      </c>
      <c r="P895" s="12" t="n">
        <f aca="false">IF(L895=1,N895-O895,"")</f>
        <v>2</v>
      </c>
      <c r="Q895" s="12" t="n">
        <f aca="false">INDEX(Directions!$D$2:$D$100,MATCH(C895,Directions!$A$2:$A$100,0))</f>
        <v>-1</v>
      </c>
      <c r="R895" s="12" t="n">
        <f aca="false">IF(L895=1,P895*Q895,"")</f>
        <v>-2</v>
      </c>
      <c r="S895" s="12" t="str">
        <f aca="false">IF(L895&lt;&gt;1,"Excluded",IF(Q895=0,"No direction",IF(R895&gt;0,"Better",IF(R895&lt;0,"Worse","No change"))))</f>
        <v>Worse</v>
      </c>
      <c r="T895" s="12"/>
      <c r="U895" s="12" t="str">
        <f aca="false">C895&amp;"|"&amp;E895</f>
        <v>F10_09|DEU</v>
      </c>
    </row>
    <row r="896" customFormat="false" ht="15" hidden="false" customHeight="false" outlineLevel="0" collapsed="false">
      <c r="A896" s="12" t="n">
        <v>10</v>
      </c>
      <c r="B896" s="12" t="s">
        <v>40</v>
      </c>
      <c r="C896" s="12" t="s">
        <v>223</v>
      </c>
      <c r="D896" s="12" t="s">
        <v>224</v>
      </c>
      <c r="E896" s="12" t="s">
        <v>285</v>
      </c>
      <c r="F896" s="12" t="s">
        <v>30</v>
      </c>
      <c r="G896" s="12" t="n">
        <v>9.6</v>
      </c>
      <c r="H896" s="12" t="n">
        <v>4.9</v>
      </c>
      <c r="I896" s="12" t="s">
        <v>291</v>
      </c>
      <c r="J896" s="12" t="n">
        <v>2</v>
      </c>
      <c r="K896" s="12" t="n">
        <v>6</v>
      </c>
      <c r="L896" s="28" t="n">
        <v>1</v>
      </c>
      <c r="M896" s="12" t="n">
        <f aca="false">IF(L896=1,COUNTIFS($C$2:$C$1090,C896,$L$2:$L$1090,1),"")</f>
        <v>8</v>
      </c>
      <c r="N896" s="12" t="n">
        <f aca="false">IF(L896=1,1+COUNTIFS($C$2:$C$1090,C896,$L$2:$L$1090,1,$G$2:$G$1090,"&gt;"&amp;G896),"")</f>
        <v>2</v>
      </c>
      <c r="O896" s="12" t="n">
        <f aca="false">IF(L896=1,1+COUNTIFS($C$2:$C$1090,C896,$L$2:$L$1090,1,$H$2:$H$1090,"&gt;"&amp;H896),"")</f>
        <v>6</v>
      </c>
      <c r="P896" s="12" t="n">
        <f aca="false">IF(L896=1,N896-O896,"")</f>
        <v>-4</v>
      </c>
      <c r="Q896" s="12" t="n">
        <f aca="false">INDEX(Directions!$D$2:$D$100,MATCH(C896,Directions!$A$2:$A$100,0))</f>
        <v>-1</v>
      </c>
      <c r="R896" s="12" t="n">
        <f aca="false">IF(L896=1,P896*Q896,"")</f>
        <v>4</v>
      </c>
      <c r="S896" s="12" t="str">
        <f aca="false">IF(L896&lt;&gt;1,"Excluded",IF(Q896=0,"No direction",IF(R896&gt;0,"Better",IF(R896&lt;0,"Worse","No change"))))</f>
        <v>Better</v>
      </c>
      <c r="T896" s="12"/>
      <c r="U896" s="12" t="str">
        <f aca="false">C896&amp;"|"&amp;E896</f>
        <v>F10_09|SWE</v>
      </c>
    </row>
    <row r="897" customFormat="false" ht="15" hidden="false" customHeight="false" outlineLevel="0" collapsed="false">
      <c r="A897" s="12" t="n">
        <v>10</v>
      </c>
      <c r="B897" s="12" t="s">
        <v>40</v>
      </c>
      <c r="C897" s="12" t="s">
        <v>223</v>
      </c>
      <c r="D897" s="12" t="s">
        <v>224</v>
      </c>
      <c r="E897" s="12" t="s">
        <v>286</v>
      </c>
      <c r="F897" s="12" t="s">
        <v>31</v>
      </c>
      <c r="G897" s="12" t="n">
        <v>7.9</v>
      </c>
      <c r="H897" s="12" t="n">
        <v>7.3</v>
      </c>
      <c r="I897" s="12" t="s">
        <v>331</v>
      </c>
      <c r="J897" s="12" t="n">
        <v>5</v>
      </c>
      <c r="K897" s="12" t="n">
        <v>4</v>
      </c>
      <c r="L897" s="28" t="n">
        <v>1</v>
      </c>
      <c r="M897" s="12" t="n">
        <f aca="false">IF(L897=1,COUNTIFS($C$2:$C$1090,C897,$L$2:$L$1090,1),"")</f>
        <v>8</v>
      </c>
      <c r="N897" s="12" t="n">
        <f aca="false">IF(L897=1,1+COUNTIFS($C$2:$C$1090,C897,$L$2:$L$1090,1,$G$2:$G$1090,"&gt;"&amp;G897),"")</f>
        <v>5</v>
      </c>
      <c r="O897" s="12" t="n">
        <f aca="false">IF(L897=1,1+COUNTIFS($C$2:$C$1090,C897,$L$2:$L$1090,1,$H$2:$H$1090,"&gt;"&amp;H897),"")</f>
        <v>4</v>
      </c>
      <c r="P897" s="12" t="n">
        <f aca="false">IF(L897=1,N897-O897,"")</f>
        <v>1</v>
      </c>
      <c r="Q897" s="12" t="n">
        <f aca="false">INDEX(Directions!$D$2:$D$100,MATCH(C897,Directions!$A$2:$A$100,0))</f>
        <v>-1</v>
      </c>
      <c r="R897" s="12" t="n">
        <f aca="false">IF(L897=1,P897*Q897,"")</f>
        <v>-1</v>
      </c>
      <c r="S897" s="12" t="str">
        <f aca="false">IF(L897&lt;&gt;1,"Excluded",IF(Q897=0,"No direction",IF(R897&gt;0,"Better",IF(R897&lt;0,"Worse","No change"))))</f>
        <v>Worse</v>
      </c>
      <c r="T897" s="12"/>
      <c r="U897" s="12" t="str">
        <f aca="false">C897&amp;"|"&amp;E897</f>
        <v>F10_09|FRA</v>
      </c>
    </row>
    <row r="898" customFormat="false" ht="15" hidden="false" customHeight="false" outlineLevel="0" collapsed="false">
      <c r="A898" s="12" t="n">
        <v>10</v>
      </c>
      <c r="B898" s="12" t="s">
        <v>40</v>
      </c>
      <c r="C898" s="12" t="s">
        <v>223</v>
      </c>
      <c r="D898" s="12" t="s">
        <v>224</v>
      </c>
      <c r="E898" s="12" t="s">
        <v>32</v>
      </c>
      <c r="F898" s="12" t="s">
        <v>32</v>
      </c>
      <c r="G898" s="12" t="s">
        <v>302</v>
      </c>
      <c r="H898" s="12" t="n">
        <v>4.9</v>
      </c>
      <c r="I898" s="12" t="s">
        <v>295</v>
      </c>
      <c r="J898" s="12" t="s">
        <v>302</v>
      </c>
      <c r="K898" s="12" t="n">
        <v>7</v>
      </c>
      <c r="L898" s="28" t="n">
        <v>0</v>
      </c>
      <c r="M898" s="12" t="str">
        <f aca="false">IF(L898=1,COUNTIFS($C$2:$C$1090,C898,$L$2:$L$1090,1),"")</f>
        <v/>
      </c>
      <c r="N898" s="12" t="str">
        <f aca="false">IF(L898=1,1+COUNTIFS($C$2:$C$1090,C898,$L$2:$L$1090,1,$G$2:$G$1090,"&gt;"&amp;G898),"")</f>
        <v/>
      </c>
      <c r="O898" s="12" t="str">
        <f aca="false">IF(L898=1,1+COUNTIFS($C$2:$C$1090,C898,$L$2:$L$1090,1,$H$2:$H$1090,"&gt;"&amp;H898),"")</f>
        <v/>
      </c>
      <c r="P898" s="12" t="str">
        <f aca="false">IF(L898=1,N898-O898,"")</f>
        <v/>
      </c>
      <c r="Q898" s="12" t="n">
        <f aca="false">INDEX(Directions!$D$2:$D$100,MATCH(C898,Directions!$A$2:$A$100,0))</f>
        <v>-1</v>
      </c>
      <c r="R898" s="12" t="str">
        <f aca="false">IF(L898=1,P898*Q898,"")</f>
        <v/>
      </c>
      <c r="S898" s="12" t="str">
        <f aca="false">IF(L898&lt;&gt;1,"Excluded",IF(Q898=0,"No direction",IF(R898&gt;0,"Better",IF(R898&lt;0,"Worse","No change"))))</f>
        <v>Excluded</v>
      </c>
      <c r="T898" s="12" t="s">
        <v>311</v>
      </c>
      <c r="U898" s="12" t="str">
        <f aca="false">C898&amp;"|"&amp;E898</f>
        <v>F10_09|NLD</v>
      </c>
    </row>
    <row r="899" customFormat="false" ht="15" hidden="false" customHeight="false" outlineLevel="0" collapsed="false">
      <c r="A899" s="12" t="n">
        <v>10</v>
      </c>
      <c r="B899" s="12" t="s">
        <v>40</v>
      </c>
      <c r="C899" s="12" t="s">
        <v>223</v>
      </c>
      <c r="D899" s="12" t="s">
        <v>224</v>
      </c>
      <c r="E899" s="12" t="s">
        <v>33</v>
      </c>
      <c r="F899" s="12" t="s">
        <v>33</v>
      </c>
      <c r="G899" s="12" t="n">
        <v>6.9</v>
      </c>
      <c r="H899" s="12" t="n">
        <v>7.9</v>
      </c>
      <c r="I899" s="12" t="s">
        <v>291</v>
      </c>
      <c r="J899" s="12" t="n">
        <v>6</v>
      </c>
      <c r="K899" s="12" t="n">
        <v>2</v>
      </c>
      <c r="L899" s="28" t="n">
        <v>1</v>
      </c>
      <c r="M899" s="12" t="n">
        <f aca="false">IF(L899=1,COUNTIFS($C$2:$C$1090,C899,$L$2:$L$1090,1),"")</f>
        <v>8</v>
      </c>
      <c r="N899" s="12" t="n">
        <f aca="false">IF(L899=1,1+COUNTIFS($C$2:$C$1090,C899,$L$2:$L$1090,1,$G$2:$G$1090,"&gt;"&amp;G899),"")</f>
        <v>6</v>
      </c>
      <c r="O899" s="12" t="n">
        <f aca="false">IF(L899=1,1+COUNTIFS($C$2:$C$1090,C899,$L$2:$L$1090,1,$H$2:$H$1090,"&gt;"&amp;H899),"")</f>
        <v>2</v>
      </c>
      <c r="P899" s="12" t="n">
        <f aca="false">IF(L899=1,N899-O899,"")</f>
        <v>4</v>
      </c>
      <c r="Q899" s="12" t="n">
        <f aca="false">INDEX(Directions!$D$2:$D$100,MATCH(C899,Directions!$A$2:$A$100,0))</f>
        <v>-1</v>
      </c>
      <c r="R899" s="12" t="n">
        <f aca="false">IF(L899=1,P899*Q899,"")</f>
        <v>-4</v>
      </c>
      <c r="S899" s="12" t="str">
        <f aca="false">IF(L899&lt;&gt;1,"Excluded",IF(Q899=0,"No direction",IF(R899&gt;0,"Better",IF(R899&lt;0,"Worse","No change"))))</f>
        <v>Worse</v>
      </c>
      <c r="T899" s="12"/>
      <c r="U899" s="12" t="str">
        <f aca="false">C899&amp;"|"&amp;E899</f>
        <v>F10_09|CHE</v>
      </c>
    </row>
    <row r="900" customFormat="false" ht="15" hidden="false" customHeight="false" outlineLevel="0" collapsed="false">
      <c r="A900" s="12" t="n">
        <v>10</v>
      </c>
      <c r="B900" s="12" t="s">
        <v>40</v>
      </c>
      <c r="C900" s="12" t="s">
        <v>223</v>
      </c>
      <c r="D900" s="12" t="s">
        <v>224</v>
      </c>
      <c r="E900" s="12" t="s">
        <v>287</v>
      </c>
      <c r="F900" s="12" t="s">
        <v>34</v>
      </c>
      <c r="G900" s="12" t="s">
        <v>302</v>
      </c>
      <c r="H900" s="12" t="n">
        <v>4.9</v>
      </c>
      <c r="I900" s="12" t="s">
        <v>295</v>
      </c>
      <c r="J900" s="12" t="s">
        <v>302</v>
      </c>
      <c r="K900" s="12" t="n">
        <v>8</v>
      </c>
      <c r="L900" s="28" t="n">
        <v>0</v>
      </c>
      <c r="M900" s="12" t="str">
        <f aca="false">IF(L900=1,COUNTIFS($C$2:$C$1090,C900,$L$2:$L$1090,1),"")</f>
        <v/>
      </c>
      <c r="N900" s="12" t="str">
        <f aca="false">IF(L900=1,1+COUNTIFS($C$2:$C$1090,C900,$L$2:$L$1090,1,$G$2:$G$1090,"&gt;"&amp;G900),"")</f>
        <v/>
      </c>
      <c r="O900" s="12" t="str">
        <f aca="false">IF(L900=1,1+COUNTIFS($C$2:$C$1090,C900,$L$2:$L$1090,1,$H$2:$H$1090,"&gt;"&amp;H900),"")</f>
        <v/>
      </c>
      <c r="P900" s="12" t="str">
        <f aca="false">IF(L900=1,N900-O900,"")</f>
        <v/>
      </c>
      <c r="Q900" s="12" t="n">
        <f aca="false">INDEX(Directions!$D$2:$D$100,MATCH(C900,Directions!$A$2:$A$100,0))</f>
        <v>-1</v>
      </c>
      <c r="R900" s="12" t="str">
        <f aca="false">IF(L900=1,P900*Q900,"")</f>
        <v/>
      </c>
      <c r="S900" s="12" t="str">
        <f aca="false">IF(L900&lt;&gt;1,"Excluded",IF(Q900=0,"No direction",IF(R900&gt;0,"Better",IF(R900&lt;0,"Worse","No change"))))</f>
        <v>Excluded</v>
      </c>
      <c r="T900" s="12" t="s">
        <v>311</v>
      </c>
      <c r="U900" s="12" t="str">
        <f aca="false">C900&amp;"|"&amp;E900</f>
        <v>F10_09|DNK</v>
      </c>
    </row>
    <row r="901" customFormat="false" ht="15" hidden="false" customHeight="false" outlineLevel="0" collapsed="false">
      <c r="A901" s="12" t="n">
        <v>10</v>
      </c>
      <c r="B901" s="12" t="s">
        <v>40</v>
      </c>
      <c r="C901" s="12" t="s">
        <v>223</v>
      </c>
      <c r="D901" s="12" t="s">
        <v>224</v>
      </c>
      <c r="E901" s="12" t="s">
        <v>288</v>
      </c>
      <c r="F901" s="12" t="s">
        <v>35</v>
      </c>
      <c r="G901" s="12" t="n">
        <v>10</v>
      </c>
      <c r="H901" s="12" t="n">
        <v>7.6</v>
      </c>
      <c r="I901" s="12" t="s">
        <v>291</v>
      </c>
      <c r="J901" s="12" t="n">
        <v>1</v>
      </c>
      <c r="K901" s="12" t="n">
        <v>3</v>
      </c>
      <c r="L901" s="28" t="n">
        <v>1</v>
      </c>
      <c r="M901" s="12" t="n">
        <f aca="false">IF(L901=1,COUNTIFS($C$2:$C$1090,C901,$L$2:$L$1090,1),"")</f>
        <v>8</v>
      </c>
      <c r="N901" s="12" t="n">
        <f aca="false">IF(L901=1,1+COUNTIFS($C$2:$C$1090,C901,$L$2:$L$1090,1,$G$2:$G$1090,"&gt;"&amp;G901),"")</f>
        <v>1</v>
      </c>
      <c r="O901" s="12" t="n">
        <f aca="false">IF(L901=1,1+COUNTIFS($C$2:$C$1090,C901,$L$2:$L$1090,1,$H$2:$H$1090,"&gt;"&amp;H901),"")</f>
        <v>3</v>
      </c>
      <c r="P901" s="12" t="n">
        <f aca="false">IF(L901=1,N901-O901,"")</f>
        <v>-2</v>
      </c>
      <c r="Q901" s="12" t="n">
        <f aca="false">INDEX(Directions!$D$2:$D$100,MATCH(C901,Directions!$A$2:$A$100,0))</f>
        <v>-1</v>
      </c>
      <c r="R901" s="12" t="n">
        <f aca="false">IF(L901=1,P901*Q901,"")</f>
        <v>2</v>
      </c>
      <c r="S901" s="12" t="str">
        <f aca="false">IF(L901&lt;&gt;1,"Excluded",IF(Q901=0,"No direction",IF(R901&gt;0,"Better",IF(R901&lt;0,"Worse","No change"))))</f>
        <v>Better</v>
      </c>
      <c r="T901" s="12"/>
      <c r="U901" s="12" t="str">
        <f aca="false">C901&amp;"|"&amp;E901</f>
        <v>F10_09|CAN</v>
      </c>
    </row>
    <row r="902" customFormat="false" ht="15" hidden="false" customHeight="false" outlineLevel="0" collapsed="false">
      <c r="A902" s="12" t="n">
        <v>10</v>
      </c>
      <c r="B902" s="12" t="s">
        <v>40</v>
      </c>
      <c r="C902" s="12" t="s">
        <v>223</v>
      </c>
      <c r="D902" s="12" t="s">
        <v>224</v>
      </c>
      <c r="E902" s="12" t="s">
        <v>289</v>
      </c>
      <c r="F902" s="12" t="s">
        <v>36</v>
      </c>
      <c r="G902" s="12" t="s">
        <v>302</v>
      </c>
      <c r="H902" s="12" t="n">
        <v>2.1</v>
      </c>
      <c r="I902" s="12" t="s">
        <v>291</v>
      </c>
      <c r="J902" s="12" t="s">
        <v>302</v>
      </c>
      <c r="K902" s="12" t="n">
        <v>11</v>
      </c>
      <c r="L902" s="28" t="n">
        <v>0</v>
      </c>
      <c r="M902" s="12" t="str">
        <f aca="false">IF(L902=1,COUNTIFS($C$2:$C$1090,C902,$L$2:$L$1090,1),"")</f>
        <v/>
      </c>
      <c r="N902" s="12" t="str">
        <f aca="false">IF(L902=1,1+COUNTIFS($C$2:$C$1090,C902,$L$2:$L$1090,1,$G$2:$G$1090,"&gt;"&amp;G902),"")</f>
        <v/>
      </c>
      <c r="O902" s="12" t="str">
        <f aca="false">IF(L902=1,1+COUNTIFS($C$2:$C$1090,C902,$L$2:$L$1090,1,$H$2:$H$1090,"&gt;"&amp;H902),"")</f>
        <v/>
      </c>
      <c r="P902" s="12" t="str">
        <f aca="false">IF(L902=1,N902-O902,"")</f>
        <v/>
      </c>
      <c r="Q902" s="12" t="n">
        <f aca="false">INDEX(Directions!$D$2:$D$100,MATCH(C902,Directions!$A$2:$A$100,0))</f>
        <v>-1</v>
      </c>
      <c r="R902" s="12" t="str">
        <f aca="false">IF(L902=1,P902*Q902,"")</f>
        <v/>
      </c>
      <c r="S902" s="12" t="str">
        <f aca="false">IF(L902&lt;&gt;1,"Excluded",IF(Q902=0,"No direction",IF(R902&gt;0,"Better",IF(R902&lt;0,"Worse","No change"))))</f>
        <v>Excluded</v>
      </c>
      <c r="T902" s="12" t="s">
        <v>311</v>
      </c>
      <c r="U902" s="12" t="str">
        <f aca="false">C902&amp;"|"&amp;E902</f>
        <v>F10_09|JPN</v>
      </c>
    </row>
    <row r="903" customFormat="false" ht="15" hidden="false" customHeight="false" outlineLevel="0" collapsed="false">
      <c r="A903" s="12" t="n">
        <v>10</v>
      </c>
      <c r="B903" s="12" t="s">
        <v>40</v>
      </c>
      <c r="C903" s="12" t="s">
        <v>223</v>
      </c>
      <c r="D903" s="12" t="s">
        <v>224</v>
      </c>
      <c r="E903" s="12" t="s">
        <v>290</v>
      </c>
      <c r="F903" s="12" t="s">
        <v>37</v>
      </c>
      <c r="G903" s="12" t="n">
        <v>9.3</v>
      </c>
      <c r="H903" s="12" t="n">
        <v>4.1</v>
      </c>
      <c r="I903" s="12" t="s">
        <v>291</v>
      </c>
      <c r="J903" s="12" t="n">
        <v>3</v>
      </c>
      <c r="K903" s="12" t="n">
        <v>10</v>
      </c>
      <c r="L903" s="28" t="n">
        <v>1</v>
      </c>
      <c r="M903" s="12" t="n">
        <f aca="false">IF(L903=1,COUNTIFS($C$2:$C$1090,C903,$L$2:$L$1090,1),"")</f>
        <v>8</v>
      </c>
      <c r="N903" s="12" t="n">
        <f aca="false">IF(L903=1,1+COUNTIFS($C$2:$C$1090,C903,$L$2:$L$1090,1,$G$2:$G$1090,"&gt;"&amp;G903),"")</f>
        <v>3</v>
      </c>
      <c r="O903" s="12" t="n">
        <f aca="false">IF(L903=1,1+COUNTIFS($C$2:$C$1090,C903,$L$2:$L$1090,1,$H$2:$H$1090,"&gt;"&amp;H903),"")</f>
        <v>8</v>
      </c>
      <c r="P903" s="12" t="n">
        <f aca="false">IF(L903=1,N903-O903,"")</f>
        <v>-5</v>
      </c>
      <c r="Q903" s="12" t="n">
        <f aca="false">INDEX(Directions!$D$2:$D$100,MATCH(C903,Directions!$A$2:$A$100,0))</f>
        <v>-1</v>
      </c>
      <c r="R903" s="12" t="n">
        <f aca="false">IF(L903=1,P903*Q903,"")</f>
        <v>5</v>
      </c>
      <c r="S903" s="12" t="str">
        <f aca="false">IF(L903&lt;&gt;1,"Excluded",IF(Q903=0,"No direction",IF(R903&gt;0,"Better",IF(R903&lt;0,"Worse","No change"))))</f>
        <v>Better</v>
      </c>
      <c r="T903" s="12"/>
      <c r="U903" s="12" t="str">
        <f aca="false">C903&amp;"|"&amp;E903</f>
        <v>F10_09|AUS</v>
      </c>
    </row>
    <row r="904" customFormat="false" ht="15" hidden="false" customHeight="false" outlineLevel="0" collapsed="false">
      <c r="A904" s="12" t="n">
        <v>10</v>
      </c>
      <c r="B904" s="12" t="s">
        <v>40</v>
      </c>
      <c r="C904" s="12" t="s">
        <v>226</v>
      </c>
      <c r="D904" s="12" t="s">
        <v>227</v>
      </c>
      <c r="E904" s="12" t="s">
        <v>281</v>
      </c>
      <c r="F904" s="12" t="s">
        <v>27</v>
      </c>
      <c r="G904" s="12" t="n">
        <v>5.5</v>
      </c>
      <c r="H904" s="12" t="n">
        <v>5.2</v>
      </c>
      <c r="I904" s="12" t="s">
        <v>294</v>
      </c>
      <c r="J904" s="12" t="n">
        <v>7</v>
      </c>
      <c r="K904" s="12" t="n">
        <v>5</v>
      </c>
      <c r="L904" s="28" t="n">
        <v>1</v>
      </c>
      <c r="M904" s="12" t="n">
        <f aca="false">IF(L904=1,COUNTIFS($C$2:$C$1090,C904,$L$2:$L$1090,1),"")</f>
        <v>8</v>
      </c>
      <c r="N904" s="12" t="n">
        <f aca="false">IF(L904=1,1+COUNTIFS($C$2:$C$1090,C904,$L$2:$L$1090,1,$G$2:$G$1090,"&gt;"&amp;G904),"")</f>
        <v>7</v>
      </c>
      <c r="O904" s="12" t="n">
        <f aca="false">IF(L904=1,1+COUNTIFS($C$2:$C$1090,C904,$L$2:$L$1090,1,$H$2:$H$1090,"&gt;"&amp;H904),"")</f>
        <v>5</v>
      </c>
      <c r="P904" s="12" t="n">
        <f aca="false">IF(L904=1,N904-O904,"")</f>
        <v>2</v>
      </c>
      <c r="Q904" s="12" t="n">
        <f aca="false">INDEX(Directions!$D$2:$D$100,MATCH(C904,Directions!$A$2:$A$100,0))</f>
        <v>-1</v>
      </c>
      <c r="R904" s="12" t="n">
        <f aca="false">IF(L904=1,P904*Q904,"")</f>
        <v>-2</v>
      </c>
      <c r="S904" s="12" t="str">
        <f aca="false">IF(L904&lt;&gt;1,"Excluded",IF(Q904=0,"No direction",IF(R904&gt;0,"Better",IF(R904&lt;0,"Worse","No change"))))</f>
        <v>Worse</v>
      </c>
      <c r="T904" s="12"/>
      <c r="U904" s="12" t="str">
        <f aca="false">C904&amp;"|"&amp;E904</f>
        <v>F10_10|USA</v>
      </c>
    </row>
    <row r="905" customFormat="false" ht="15" hidden="false" customHeight="false" outlineLevel="0" collapsed="false">
      <c r="A905" s="12" t="n">
        <v>10</v>
      </c>
      <c r="B905" s="12" t="s">
        <v>40</v>
      </c>
      <c r="C905" s="12" t="s">
        <v>226</v>
      </c>
      <c r="D905" s="12" t="s">
        <v>227</v>
      </c>
      <c r="E905" s="12" t="s">
        <v>283</v>
      </c>
      <c r="F905" s="12" t="s">
        <v>28</v>
      </c>
      <c r="G905" s="12" t="n">
        <v>7.6</v>
      </c>
      <c r="H905" s="12" t="n">
        <v>6.4</v>
      </c>
      <c r="I905" s="12" t="s">
        <v>291</v>
      </c>
      <c r="J905" s="12" t="n">
        <v>4</v>
      </c>
      <c r="K905" s="12" t="n">
        <v>2</v>
      </c>
      <c r="L905" s="28" t="n">
        <v>1</v>
      </c>
      <c r="M905" s="12" t="n">
        <f aca="false">IF(L905=1,COUNTIFS($C$2:$C$1090,C905,$L$2:$L$1090,1),"")</f>
        <v>8</v>
      </c>
      <c r="N905" s="12" t="n">
        <f aca="false">IF(L905=1,1+COUNTIFS($C$2:$C$1090,C905,$L$2:$L$1090,1,$G$2:$G$1090,"&gt;"&amp;G905),"")</f>
        <v>4</v>
      </c>
      <c r="O905" s="12" t="n">
        <f aca="false">IF(L905=1,1+COUNTIFS($C$2:$C$1090,C905,$L$2:$L$1090,1,$H$2:$H$1090,"&gt;"&amp;H905),"")</f>
        <v>2</v>
      </c>
      <c r="P905" s="12" t="n">
        <f aca="false">IF(L905=1,N905-O905,"")</f>
        <v>2</v>
      </c>
      <c r="Q905" s="12" t="n">
        <f aca="false">INDEX(Directions!$D$2:$D$100,MATCH(C905,Directions!$A$2:$A$100,0))</f>
        <v>-1</v>
      </c>
      <c r="R905" s="12" t="n">
        <f aca="false">IF(L905=1,P905*Q905,"")</f>
        <v>-2</v>
      </c>
      <c r="S905" s="12" t="str">
        <f aca="false">IF(L905&lt;&gt;1,"Excluded",IF(Q905=0,"No direction",IF(R905&gt;0,"Better",IF(R905&lt;0,"Worse","No change"))))</f>
        <v>Worse</v>
      </c>
      <c r="T905" s="12"/>
      <c r="U905" s="12" t="str">
        <f aca="false">C905&amp;"|"&amp;E905</f>
        <v>F10_10|GBR</v>
      </c>
    </row>
    <row r="906" customFormat="false" ht="15" hidden="false" customHeight="false" outlineLevel="0" collapsed="false">
      <c r="A906" s="12" t="n">
        <v>10</v>
      </c>
      <c r="B906" s="12" t="s">
        <v>40</v>
      </c>
      <c r="C906" s="12" t="s">
        <v>226</v>
      </c>
      <c r="D906" s="12" t="s">
        <v>227</v>
      </c>
      <c r="E906" s="12" t="s">
        <v>284</v>
      </c>
      <c r="F906" s="12" t="s">
        <v>29</v>
      </c>
      <c r="G906" s="12" t="n">
        <v>8.7</v>
      </c>
      <c r="H906" s="12" t="n">
        <v>7.9</v>
      </c>
      <c r="I906" s="12" t="s">
        <v>291</v>
      </c>
      <c r="J906" s="12" t="n">
        <v>1</v>
      </c>
      <c r="K906" s="12" t="n">
        <v>1</v>
      </c>
      <c r="L906" s="28" t="n">
        <v>1</v>
      </c>
      <c r="M906" s="12" t="n">
        <f aca="false">IF(L906=1,COUNTIFS($C$2:$C$1090,C906,$L$2:$L$1090,1),"")</f>
        <v>8</v>
      </c>
      <c r="N906" s="12" t="n">
        <f aca="false">IF(L906=1,1+COUNTIFS($C$2:$C$1090,C906,$L$2:$L$1090,1,$G$2:$G$1090,"&gt;"&amp;G906),"")</f>
        <v>1</v>
      </c>
      <c r="O906" s="12" t="n">
        <f aca="false">IF(L906=1,1+COUNTIFS($C$2:$C$1090,C906,$L$2:$L$1090,1,$H$2:$H$1090,"&gt;"&amp;H906),"")</f>
        <v>1</v>
      </c>
      <c r="P906" s="12" t="n">
        <f aca="false">IF(L906=1,N906-O906,"")</f>
        <v>0</v>
      </c>
      <c r="Q906" s="12" t="n">
        <f aca="false">INDEX(Directions!$D$2:$D$100,MATCH(C906,Directions!$A$2:$A$100,0))</f>
        <v>-1</v>
      </c>
      <c r="R906" s="12" t="n">
        <f aca="false">IF(L906=1,P906*Q906,"")</f>
        <v>-0</v>
      </c>
      <c r="S906" s="12" t="str">
        <f aca="false">IF(L906&lt;&gt;1,"Excluded",IF(Q906=0,"No direction",IF(R906&gt;0,"Better",IF(R906&lt;0,"Worse","No change"))))</f>
        <v>No change</v>
      </c>
      <c r="T906" s="12"/>
      <c r="U906" s="12" t="str">
        <f aca="false">C906&amp;"|"&amp;E906</f>
        <v>F10_10|DEU</v>
      </c>
    </row>
    <row r="907" customFormat="false" ht="15" hidden="false" customHeight="false" outlineLevel="0" collapsed="false">
      <c r="A907" s="12" t="n">
        <v>10</v>
      </c>
      <c r="B907" s="12" t="s">
        <v>40</v>
      </c>
      <c r="C907" s="12" t="s">
        <v>226</v>
      </c>
      <c r="D907" s="12" t="s">
        <v>227</v>
      </c>
      <c r="E907" s="12" t="s">
        <v>285</v>
      </c>
      <c r="F907" s="12" t="s">
        <v>30</v>
      </c>
      <c r="G907" s="12" t="n">
        <v>8.3</v>
      </c>
      <c r="H907" s="12" t="n">
        <v>3.4</v>
      </c>
      <c r="I907" s="12" t="s">
        <v>291</v>
      </c>
      <c r="J907" s="12" t="n">
        <v>2</v>
      </c>
      <c r="K907" s="12" t="n">
        <v>9</v>
      </c>
      <c r="L907" s="28" t="n">
        <v>1</v>
      </c>
      <c r="M907" s="12" t="n">
        <f aca="false">IF(L907=1,COUNTIFS($C$2:$C$1090,C907,$L$2:$L$1090,1),"")</f>
        <v>8</v>
      </c>
      <c r="N907" s="12" t="n">
        <f aca="false">IF(L907=1,1+COUNTIFS($C$2:$C$1090,C907,$L$2:$L$1090,1,$G$2:$G$1090,"&gt;"&amp;G907),"")</f>
        <v>2</v>
      </c>
      <c r="O907" s="12" t="n">
        <f aca="false">IF(L907=1,1+COUNTIFS($C$2:$C$1090,C907,$L$2:$L$1090,1,$H$2:$H$1090,"&gt;"&amp;H907),"")</f>
        <v>7</v>
      </c>
      <c r="P907" s="12" t="n">
        <f aca="false">IF(L907=1,N907-O907,"")</f>
        <v>-5</v>
      </c>
      <c r="Q907" s="12" t="n">
        <f aca="false">INDEX(Directions!$D$2:$D$100,MATCH(C907,Directions!$A$2:$A$100,0))</f>
        <v>-1</v>
      </c>
      <c r="R907" s="12" t="n">
        <f aca="false">IF(L907=1,P907*Q907,"")</f>
        <v>5</v>
      </c>
      <c r="S907" s="12" t="str">
        <f aca="false">IF(L907&lt;&gt;1,"Excluded",IF(Q907=0,"No direction",IF(R907&gt;0,"Better",IF(R907&lt;0,"Worse","No change"))))</f>
        <v>Better</v>
      </c>
      <c r="T907" s="12"/>
      <c r="U907" s="12" t="str">
        <f aca="false">C907&amp;"|"&amp;E907</f>
        <v>F10_10|SWE</v>
      </c>
    </row>
    <row r="908" customFormat="false" ht="15" hidden="false" customHeight="false" outlineLevel="0" collapsed="false">
      <c r="A908" s="12" t="n">
        <v>10</v>
      </c>
      <c r="B908" s="12" t="s">
        <v>40</v>
      </c>
      <c r="C908" s="12" t="s">
        <v>226</v>
      </c>
      <c r="D908" s="12" t="s">
        <v>227</v>
      </c>
      <c r="E908" s="12" t="s">
        <v>286</v>
      </c>
      <c r="F908" s="12" t="s">
        <v>31</v>
      </c>
      <c r="G908" s="12" t="n">
        <v>7.2</v>
      </c>
      <c r="H908" s="12" t="n">
        <v>5.5</v>
      </c>
      <c r="I908" s="12" t="s">
        <v>331</v>
      </c>
      <c r="J908" s="12" t="n">
        <v>5</v>
      </c>
      <c r="K908" s="12" t="n">
        <v>4</v>
      </c>
      <c r="L908" s="28" t="n">
        <v>1</v>
      </c>
      <c r="M908" s="12" t="n">
        <f aca="false">IF(L908=1,COUNTIFS($C$2:$C$1090,C908,$L$2:$L$1090,1),"")</f>
        <v>8</v>
      </c>
      <c r="N908" s="12" t="n">
        <f aca="false">IF(L908=1,1+COUNTIFS($C$2:$C$1090,C908,$L$2:$L$1090,1,$G$2:$G$1090,"&gt;"&amp;G908),"")</f>
        <v>5</v>
      </c>
      <c r="O908" s="12" t="n">
        <f aca="false">IF(L908=1,1+COUNTIFS($C$2:$C$1090,C908,$L$2:$L$1090,1,$H$2:$H$1090,"&gt;"&amp;H908),"")</f>
        <v>4</v>
      </c>
      <c r="P908" s="12" t="n">
        <f aca="false">IF(L908=1,N908-O908,"")</f>
        <v>1</v>
      </c>
      <c r="Q908" s="12" t="n">
        <f aca="false">INDEX(Directions!$D$2:$D$100,MATCH(C908,Directions!$A$2:$A$100,0))</f>
        <v>-1</v>
      </c>
      <c r="R908" s="12" t="n">
        <f aca="false">IF(L908=1,P908*Q908,"")</f>
        <v>-1</v>
      </c>
      <c r="S908" s="12" t="str">
        <f aca="false">IF(L908&lt;&gt;1,"Excluded",IF(Q908=0,"No direction",IF(R908&gt;0,"Better",IF(R908&lt;0,"Worse","No change"))))</f>
        <v>Worse</v>
      </c>
      <c r="T908" s="12"/>
      <c r="U908" s="12" t="str">
        <f aca="false">C908&amp;"|"&amp;E908</f>
        <v>F10_10|FRA</v>
      </c>
    </row>
    <row r="909" customFormat="false" ht="15" hidden="false" customHeight="false" outlineLevel="0" collapsed="false">
      <c r="A909" s="12" t="n">
        <v>10</v>
      </c>
      <c r="B909" s="12" t="s">
        <v>40</v>
      </c>
      <c r="C909" s="12" t="s">
        <v>226</v>
      </c>
      <c r="D909" s="12" t="s">
        <v>227</v>
      </c>
      <c r="E909" s="12" t="s">
        <v>32</v>
      </c>
      <c r="F909" s="12" t="s">
        <v>32</v>
      </c>
      <c r="G909" s="12" t="s">
        <v>302</v>
      </c>
      <c r="H909" s="12" t="n">
        <v>2.9</v>
      </c>
      <c r="I909" s="12" t="s">
        <v>291</v>
      </c>
      <c r="J909" s="12" t="s">
        <v>302</v>
      </c>
      <c r="K909" s="12" t="n">
        <v>11</v>
      </c>
      <c r="L909" s="28" t="n">
        <v>0</v>
      </c>
      <c r="M909" s="12" t="str">
        <f aca="false">IF(L909=1,COUNTIFS($C$2:$C$1090,C909,$L$2:$L$1090,1),"")</f>
        <v/>
      </c>
      <c r="N909" s="12" t="str">
        <f aca="false">IF(L909=1,1+COUNTIFS($C$2:$C$1090,C909,$L$2:$L$1090,1,$G$2:$G$1090,"&gt;"&amp;G909),"")</f>
        <v/>
      </c>
      <c r="O909" s="12" t="str">
        <f aca="false">IF(L909=1,1+COUNTIFS($C$2:$C$1090,C909,$L$2:$L$1090,1,$H$2:$H$1090,"&gt;"&amp;H909),"")</f>
        <v/>
      </c>
      <c r="P909" s="12" t="str">
        <f aca="false">IF(L909=1,N909-O909,"")</f>
        <v/>
      </c>
      <c r="Q909" s="12" t="n">
        <f aca="false">INDEX(Directions!$D$2:$D$100,MATCH(C909,Directions!$A$2:$A$100,0))</f>
        <v>-1</v>
      </c>
      <c r="R909" s="12" t="str">
        <f aca="false">IF(L909=1,P909*Q909,"")</f>
        <v/>
      </c>
      <c r="S909" s="12" t="str">
        <f aca="false">IF(L909&lt;&gt;1,"Excluded",IF(Q909=0,"No direction",IF(R909&gt;0,"Better",IF(R909&lt;0,"Worse","No change"))))</f>
        <v>Excluded</v>
      </c>
      <c r="T909" s="12" t="s">
        <v>311</v>
      </c>
      <c r="U909" s="12" t="str">
        <f aca="false">C909&amp;"|"&amp;E909</f>
        <v>F10_10|NLD</v>
      </c>
    </row>
    <row r="910" customFormat="false" ht="15" hidden="false" customHeight="false" outlineLevel="0" collapsed="false">
      <c r="A910" s="12" t="n">
        <v>10</v>
      </c>
      <c r="B910" s="12" t="s">
        <v>40</v>
      </c>
      <c r="C910" s="12" t="s">
        <v>226</v>
      </c>
      <c r="D910" s="12" t="s">
        <v>227</v>
      </c>
      <c r="E910" s="12" t="s">
        <v>33</v>
      </c>
      <c r="F910" s="12" t="s">
        <v>33</v>
      </c>
      <c r="G910" s="12" t="n">
        <v>7.7</v>
      </c>
      <c r="H910" s="12" t="n">
        <v>6.2</v>
      </c>
      <c r="I910" s="12" t="s">
        <v>291</v>
      </c>
      <c r="J910" s="12" t="n">
        <v>3</v>
      </c>
      <c r="K910" s="12" t="n">
        <v>3</v>
      </c>
      <c r="L910" s="28" t="n">
        <v>1</v>
      </c>
      <c r="M910" s="12" t="n">
        <f aca="false">IF(L910=1,COUNTIFS($C$2:$C$1090,C910,$L$2:$L$1090,1),"")</f>
        <v>8</v>
      </c>
      <c r="N910" s="12" t="n">
        <f aca="false">IF(L910=1,1+COUNTIFS($C$2:$C$1090,C910,$L$2:$L$1090,1,$G$2:$G$1090,"&gt;"&amp;G910),"")</f>
        <v>3</v>
      </c>
      <c r="O910" s="12" t="n">
        <f aca="false">IF(L910=1,1+COUNTIFS($C$2:$C$1090,C910,$L$2:$L$1090,1,$H$2:$H$1090,"&gt;"&amp;H910),"")</f>
        <v>3</v>
      </c>
      <c r="P910" s="12" t="n">
        <f aca="false">IF(L910=1,N910-O910,"")</f>
        <v>0</v>
      </c>
      <c r="Q910" s="12" t="n">
        <f aca="false">INDEX(Directions!$D$2:$D$100,MATCH(C910,Directions!$A$2:$A$100,0))</f>
        <v>-1</v>
      </c>
      <c r="R910" s="12" t="n">
        <f aca="false">IF(L910=1,P910*Q910,"")</f>
        <v>-0</v>
      </c>
      <c r="S910" s="12" t="str">
        <f aca="false">IF(L910&lt;&gt;1,"Excluded",IF(Q910=0,"No direction",IF(R910&gt;0,"Better",IF(R910&lt;0,"Worse","No change"))))</f>
        <v>No change</v>
      </c>
      <c r="T910" s="12"/>
      <c r="U910" s="12" t="str">
        <f aca="false">C910&amp;"|"&amp;E910</f>
        <v>F10_10|CHE</v>
      </c>
    </row>
    <row r="911" customFormat="false" ht="15" hidden="false" customHeight="false" outlineLevel="0" collapsed="false">
      <c r="A911" s="12" t="n">
        <v>10</v>
      </c>
      <c r="B911" s="12" t="s">
        <v>40</v>
      </c>
      <c r="C911" s="12" t="s">
        <v>226</v>
      </c>
      <c r="D911" s="12" t="s">
        <v>227</v>
      </c>
      <c r="E911" s="12" t="s">
        <v>287</v>
      </c>
      <c r="F911" s="12" t="s">
        <v>34</v>
      </c>
      <c r="G911" s="12" t="s">
        <v>302</v>
      </c>
      <c r="H911" s="12" t="n">
        <v>4.5</v>
      </c>
      <c r="I911" s="12" t="s">
        <v>291</v>
      </c>
      <c r="J911" s="12" t="s">
        <v>302</v>
      </c>
      <c r="K911" s="12" t="n">
        <v>7</v>
      </c>
      <c r="L911" s="28" t="n">
        <v>0</v>
      </c>
      <c r="M911" s="12" t="str">
        <f aca="false">IF(L911=1,COUNTIFS($C$2:$C$1090,C911,$L$2:$L$1090,1),"")</f>
        <v/>
      </c>
      <c r="N911" s="12" t="str">
        <f aca="false">IF(L911=1,1+COUNTIFS($C$2:$C$1090,C911,$L$2:$L$1090,1,$G$2:$G$1090,"&gt;"&amp;G911),"")</f>
        <v/>
      </c>
      <c r="O911" s="12" t="str">
        <f aca="false">IF(L911=1,1+COUNTIFS($C$2:$C$1090,C911,$L$2:$L$1090,1,$H$2:$H$1090,"&gt;"&amp;H911),"")</f>
        <v/>
      </c>
      <c r="P911" s="12" t="str">
        <f aca="false">IF(L911=1,N911-O911,"")</f>
        <v/>
      </c>
      <c r="Q911" s="12" t="n">
        <f aca="false">INDEX(Directions!$D$2:$D$100,MATCH(C911,Directions!$A$2:$A$100,0))</f>
        <v>-1</v>
      </c>
      <c r="R911" s="12" t="str">
        <f aca="false">IF(L911=1,P911*Q911,"")</f>
        <v/>
      </c>
      <c r="S911" s="12" t="str">
        <f aca="false">IF(L911&lt;&gt;1,"Excluded",IF(Q911=0,"No direction",IF(R911&gt;0,"Better",IF(R911&lt;0,"Worse","No change"))))</f>
        <v>Excluded</v>
      </c>
      <c r="T911" s="12" t="s">
        <v>311</v>
      </c>
      <c r="U911" s="12" t="str">
        <f aca="false">C911&amp;"|"&amp;E911</f>
        <v>F10_10|DNK</v>
      </c>
    </row>
    <row r="912" customFormat="false" ht="15" hidden="false" customHeight="false" outlineLevel="0" collapsed="false">
      <c r="A912" s="12" t="n">
        <v>10</v>
      </c>
      <c r="B912" s="12" t="s">
        <v>40</v>
      </c>
      <c r="C912" s="12" t="s">
        <v>226</v>
      </c>
      <c r="D912" s="12" t="s">
        <v>227</v>
      </c>
      <c r="E912" s="12" t="s">
        <v>288</v>
      </c>
      <c r="F912" s="12" t="s">
        <v>35</v>
      </c>
      <c r="G912" s="12" t="n">
        <v>6.7</v>
      </c>
      <c r="H912" s="12" t="n">
        <v>4.5</v>
      </c>
      <c r="I912" s="12" t="s">
        <v>291</v>
      </c>
      <c r="J912" s="12" t="n">
        <v>6</v>
      </c>
      <c r="K912" s="12" t="n">
        <v>8</v>
      </c>
      <c r="L912" s="28" t="n">
        <v>1</v>
      </c>
      <c r="M912" s="12" t="n">
        <f aca="false">IF(L912=1,COUNTIFS($C$2:$C$1090,C912,$L$2:$L$1090,1),"")</f>
        <v>8</v>
      </c>
      <c r="N912" s="12" t="n">
        <f aca="false">IF(L912=1,1+COUNTIFS($C$2:$C$1090,C912,$L$2:$L$1090,1,$G$2:$G$1090,"&gt;"&amp;G912),"")</f>
        <v>6</v>
      </c>
      <c r="O912" s="12" t="n">
        <f aca="false">IF(L912=1,1+COUNTIFS($C$2:$C$1090,C912,$L$2:$L$1090,1,$H$2:$H$1090,"&gt;"&amp;H912),"")</f>
        <v>6</v>
      </c>
      <c r="P912" s="12" t="n">
        <f aca="false">IF(L912=1,N912-O912,"")</f>
        <v>0</v>
      </c>
      <c r="Q912" s="12" t="n">
        <f aca="false">INDEX(Directions!$D$2:$D$100,MATCH(C912,Directions!$A$2:$A$100,0))</f>
        <v>-1</v>
      </c>
      <c r="R912" s="12" t="n">
        <f aca="false">IF(L912=1,P912*Q912,"")</f>
        <v>-0</v>
      </c>
      <c r="S912" s="12" t="str">
        <f aca="false">IF(L912&lt;&gt;1,"Excluded",IF(Q912=0,"No direction",IF(R912&gt;0,"Better",IF(R912&lt;0,"Worse","No change"))))</f>
        <v>No change</v>
      </c>
      <c r="T912" s="12"/>
      <c r="U912" s="12" t="str">
        <f aca="false">C912&amp;"|"&amp;E912</f>
        <v>F10_10|CAN</v>
      </c>
    </row>
    <row r="913" customFormat="false" ht="15" hidden="false" customHeight="false" outlineLevel="0" collapsed="false">
      <c r="A913" s="12" t="n">
        <v>10</v>
      </c>
      <c r="B913" s="12" t="s">
        <v>40</v>
      </c>
      <c r="C913" s="12" t="s">
        <v>226</v>
      </c>
      <c r="D913" s="12" t="s">
        <v>227</v>
      </c>
      <c r="E913" s="12" t="s">
        <v>289</v>
      </c>
      <c r="F913" s="12" t="s">
        <v>36</v>
      </c>
      <c r="G913" s="12" t="s">
        <v>302</v>
      </c>
      <c r="H913" s="12" t="n">
        <v>4.9</v>
      </c>
      <c r="I913" s="12" t="s">
        <v>291</v>
      </c>
      <c r="J913" s="12" t="s">
        <v>302</v>
      </c>
      <c r="K913" s="12" t="n">
        <v>6</v>
      </c>
      <c r="L913" s="28" t="n">
        <v>0</v>
      </c>
      <c r="M913" s="12" t="str">
        <f aca="false">IF(L913=1,COUNTIFS($C$2:$C$1090,C913,$L$2:$L$1090,1),"")</f>
        <v/>
      </c>
      <c r="N913" s="12" t="str">
        <f aca="false">IF(L913=1,1+COUNTIFS($C$2:$C$1090,C913,$L$2:$L$1090,1,$G$2:$G$1090,"&gt;"&amp;G913),"")</f>
        <v/>
      </c>
      <c r="O913" s="12" t="str">
        <f aca="false">IF(L913=1,1+COUNTIFS($C$2:$C$1090,C913,$L$2:$L$1090,1,$H$2:$H$1090,"&gt;"&amp;H913),"")</f>
        <v/>
      </c>
      <c r="P913" s="12" t="str">
        <f aca="false">IF(L913=1,N913-O913,"")</f>
        <v/>
      </c>
      <c r="Q913" s="12" t="n">
        <f aca="false">INDEX(Directions!$D$2:$D$100,MATCH(C913,Directions!$A$2:$A$100,0))</f>
        <v>-1</v>
      </c>
      <c r="R913" s="12" t="str">
        <f aca="false">IF(L913=1,P913*Q913,"")</f>
        <v/>
      </c>
      <c r="S913" s="12" t="str">
        <f aca="false">IF(L913&lt;&gt;1,"Excluded",IF(Q913=0,"No direction",IF(R913&gt;0,"Better",IF(R913&lt;0,"Worse","No change"))))</f>
        <v>Excluded</v>
      </c>
      <c r="T913" s="12" t="s">
        <v>311</v>
      </c>
      <c r="U913" s="12" t="str">
        <f aca="false">C913&amp;"|"&amp;E913</f>
        <v>F10_10|JPN</v>
      </c>
    </row>
    <row r="914" customFormat="false" ht="15" hidden="false" customHeight="false" outlineLevel="0" collapsed="false">
      <c r="A914" s="12" t="n">
        <v>10</v>
      </c>
      <c r="B914" s="12" t="s">
        <v>40</v>
      </c>
      <c r="C914" s="12" t="s">
        <v>226</v>
      </c>
      <c r="D914" s="12" t="s">
        <v>227</v>
      </c>
      <c r="E914" s="12" t="s">
        <v>290</v>
      </c>
      <c r="F914" s="12" t="s">
        <v>37</v>
      </c>
      <c r="G914" s="12" t="n">
        <v>4.1</v>
      </c>
      <c r="H914" s="12" t="n">
        <v>3.3</v>
      </c>
      <c r="I914" s="12" t="s">
        <v>291</v>
      </c>
      <c r="J914" s="12" t="n">
        <v>8</v>
      </c>
      <c r="K914" s="12" t="n">
        <v>10</v>
      </c>
      <c r="L914" s="28" t="n">
        <v>1</v>
      </c>
      <c r="M914" s="12" t="n">
        <f aca="false">IF(L914=1,COUNTIFS($C$2:$C$1090,C914,$L$2:$L$1090,1),"")</f>
        <v>8</v>
      </c>
      <c r="N914" s="12" t="n">
        <f aca="false">IF(L914=1,1+COUNTIFS($C$2:$C$1090,C914,$L$2:$L$1090,1,$G$2:$G$1090,"&gt;"&amp;G914),"")</f>
        <v>8</v>
      </c>
      <c r="O914" s="12" t="n">
        <f aca="false">IF(L914=1,1+COUNTIFS($C$2:$C$1090,C914,$L$2:$L$1090,1,$H$2:$H$1090,"&gt;"&amp;H914),"")</f>
        <v>8</v>
      </c>
      <c r="P914" s="12" t="n">
        <f aca="false">IF(L914=1,N914-O914,"")</f>
        <v>0</v>
      </c>
      <c r="Q914" s="12" t="n">
        <f aca="false">INDEX(Directions!$D$2:$D$100,MATCH(C914,Directions!$A$2:$A$100,0))</f>
        <v>-1</v>
      </c>
      <c r="R914" s="12" t="n">
        <f aca="false">IF(L914=1,P914*Q914,"")</f>
        <v>-0</v>
      </c>
      <c r="S914" s="12" t="str">
        <f aca="false">IF(L914&lt;&gt;1,"Excluded",IF(Q914=0,"No direction",IF(R914&gt;0,"Better",IF(R914&lt;0,"Worse","No change"))))</f>
        <v>No change</v>
      </c>
      <c r="T914" s="12"/>
      <c r="U914" s="12" t="str">
        <f aca="false">C914&amp;"|"&amp;E914</f>
        <v>F10_10|AUS</v>
      </c>
    </row>
    <row r="915" customFormat="false" ht="15" hidden="false" customHeight="false" outlineLevel="0" collapsed="false">
      <c r="A915" s="12" t="n">
        <v>10</v>
      </c>
      <c r="B915" s="12" t="s">
        <v>40</v>
      </c>
      <c r="C915" s="12" t="s">
        <v>228</v>
      </c>
      <c r="D915" s="12" t="s">
        <v>229</v>
      </c>
      <c r="E915" s="12" t="s">
        <v>281</v>
      </c>
      <c r="F915" s="12" t="s">
        <v>27</v>
      </c>
      <c r="G915" s="12" t="n">
        <v>4.1</v>
      </c>
      <c r="H915" s="12" t="s">
        <v>302</v>
      </c>
      <c r="I915" s="12"/>
      <c r="J915" s="12" t="n">
        <v>8</v>
      </c>
      <c r="K915" s="12" t="s">
        <v>302</v>
      </c>
      <c r="L915" s="28" t="n">
        <v>0</v>
      </c>
      <c r="M915" s="12" t="str">
        <f aca="false">IF(L915=1,COUNTIFS($C$2:$C$1090,C915,$L$2:$L$1090,1),"")</f>
        <v/>
      </c>
      <c r="N915" s="12" t="str">
        <f aca="false">IF(L915=1,1+COUNTIFS($C$2:$C$1090,C915,$L$2:$L$1090,1,$G$2:$G$1090,"&gt;"&amp;G915),"")</f>
        <v/>
      </c>
      <c r="O915" s="12" t="str">
        <f aca="false">IF(L915=1,1+COUNTIFS($C$2:$C$1090,C915,$L$2:$L$1090,1,$H$2:$H$1090,"&gt;"&amp;H915),"")</f>
        <v/>
      </c>
      <c r="P915" s="12" t="str">
        <f aca="false">IF(L915=1,N915-O915,"")</f>
        <v/>
      </c>
      <c r="Q915" s="12" t="n">
        <f aca="false">INDEX(Directions!$D$2:$D$100,MATCH(C915,Directions!$A$2:$A$100,0))</f>
        <v>-1</v>
      </c>
      <c r="R915" s="12" t="str">
        <f aca="false">IF(L915=1,P915*Q915,"")</f>
        <v/>
      </c>
      <c r="S915" s="12" t="str">
        <f aca="false">IF(L915&lt;&gt;1,"Excluded",IF(Q915=0,"No direction",IF(R915&gt;0,"Better",IF(R915&lt;0,"Worse","No change"))))</f>
        <v>Excluded</v>
      </c>
      <c r="T915" s="12" t="s">
        <v>303</v>
      </c>
      <c r="U915" s="12" t="str">
        <f aca="false">C915&amp;"|"&amp;E915</f>
        <v>F10_11|USA</v>
      </c>
    </row>
    <row r="916" customFormat="false" ht="15" hidden="false" customHeight="false" outlineLevel="0" collapsed="false">
      <c r="A916" s="12" t="n">
        <v>10</v>
      </c>
      <c r="B916" s="12" t="s">
        <v>40</v>
      </c>
      <c r="C916" s="12" t="s">
        <v>228</v>
      </c>
      <c r="D916" s="12" t="s">
        <v>229</v>
      </c>
      <c r="E916" s="12" t="s">
        <v>283</v>
      </c>
      <c r="F916" s="12" t="s">
        <v>28</v>
      </c>
      <c r="G916" s="12" t="n">
        <v>6.1</v>
      </c>
      <c r="H916" s="12" t="s">
        <v>302</v>
      </c>
      <c r="I916" s="12"/>
      <c r="J916" s="12" t="n">
        <v>5</v>
      </c>
      <c r="K916" s="12" t="s">
        <v>302</v>
      </c>
      <c r="L916" s="28" t="n">
        <v>0</v>
      </c>
      <c r="M916" s="12" t="str">
        <f aca="false">IF(L916=1,COUNTIFS($C$2:$C$1090,C916,$L$2:$L$1090,1),"")</f>
        <v/>
      </c>
      <c r="N916" s="12" t="str">
        <f aca="false">IF(L916=1,1+COUNTIFS($C$2:$C$1090,C916,$L$2:$L$1090,1,$G$2:$G$1090,"&gt;"&amp;G916),"")</f>
        <v/>
      </c>
      <c r="O916" s="12" t="str">
        <f aca="false">IF(L916=1,1+COUNTIFS($C$2:$C$1090,C916,$L$2:$L$1090,1,$H$2:$H$1090,"&gt;"&amp;H916),"")</f>
        <v/>
      </c>
      <c r="P916" s="12" t="str">
        <f aca="false">IF(L916=1,N916-O916,"")</f>
        <v/>
      </c>
      <c r="Q916" s="12" t="n">
        <f aca="false">INDEX(Directions!$D$2:$D$100,MATCH(C916,Directions!$A$2:$A$100,0))</f>
        <v>-1</v>
      </c>
      <c r="R916" s="12" t="str">
        <f aca="false">IF(L916=1,P916*Q916,"")</f>
        <v/>
      </c>
      <c r="S916" s="12" t="str">
        <f aca="false">IF(L916&lt;&gt;1,"Excluded",IF(Q916=0,"No direction",IF(R916&gt;0,"Better",IF(R916&lt;0,"Worse","No change"))))</f>
        <v>Excluded</v>
      </c>
      <c r="T916" s="12" t="s">
        <v>303</v>
      </c>
      <c r="U916" s="12" t="str">
        <f aca="false">C916&amp;"|"&amp;E916</f>
        <v>F10_11|GBR</v>
      </c>
    </row>
    <row r="917" customFormat="false" ht="15" hidden="false" customHeight="false" outlineLevel="0" collapsed="false">
      <c r="A917" s="12" t="n">
        <v>10</v>
      </c>
      <c r="B917" s="12" t="s">
        <v>40</v>
      </c>
      <c r="C917" s="12" t="s">
        <v>228</v>
      </c>
      <c r="D917" s="12" t="s">
        <v>229</v>
      </c>
      <c r="E917" s="12" t="s">
        <v>284</v>
      </c>
      <c r="F917" s="12" t="s">
        <v>29</v>
      </c>
      <c r="G917" s="12" t="n">
        <v>5.5</v>
      </c>
      <c r="H917" s="12" t="s">
        <v>302</v>
      </c>
      <c r="I917" s="12"/>
      <c r="J917" s="12" t="n">
        <v>6</v>
      </c>
      <c r="K917" s="12" t="s">
        <v>302</v>
      </c>
      <c r="L917" s="28" t="n">
        <v>0</v>
      </c>
      <c r="M917" s="12" t="str">
        <f aca="false">IF(L917=1,COUNTIFS($C$2:$C$1090,C917,$L$2:$L$1090,1),"")</f>
        <v/>
      </c>
      <c r="N917" s="12" t="str">
        <f aca="false">IF(L917=1,1+COUNTIFS($C$2:$C$1090,C917,$L$2:$L$1090,1,$G$2:$G$1090,"&gt;"&amp;G917),"")</f>
        <v/>
      </c>
      <c r="O917" s="12" t="str">
        <f aca="false">IF(L917=1,1+COUNTIFS($C$2:$C$1090,C917,$L$2:$L$1090,1,$H$2:$H$1090,"&gt;"&amp;H917),"")</f>
        <v/>
      </c>
      <c r="P917" s="12" t="str">
        <f aca="false">IF(L917=1,N917-O917,"")</f>
        <v/>
      </c>
      <c r="Q917" s="12" t="n">
        <f aca="false">INDEX(Directions!$D$2:$D$100,MATCH(C917,Directions!$A$2:$A$100,0))</f>
        <v>-1</v>
      </c>
      <c r="R917" s="12" t="str">
        <f aca="false">IF(L917=1,P917*Q917,"")</f>
        <v/>
      </c>
      <c r="S917" s="12" t="str">
        <f aca="false">IF(L917&lt;&gt;1,"Excluded",IF(Q917=0,"No direction",IF(R917&gt;0,"Better",IF(R917&lt;0,"Worse","No change"))))</f>
        <v>Excluded</v>
      </c>
      <c r="T917" s="12" t="s">
        <v>303</v>
      </c>
      <c r="U917" s="12" t="str">
        <f aca="false">C917&amp;"|"&amp;E917</f>
        <v>F10_11|DEU</v>
      </c>
    </row>
    <row r="918" customFormat="false" ht="15" hidden="false" customHeight="false" outlineLevel="0" collapsed="false">
      <c r="A918" s="12" t="n">
        <v>10</v>
      </c>
      <c r="B918" s="12" t="s">
        <v>40</v>
      </c>
      <c r="C918" s="12" t="s">
        <v>228</v>
      </c>
      <c r="D918" s="12" t="s">
        <v>229</v>
      </c>
      <c r="E918" s="12" t="s">
        <v>285</v>
      </c>
      <c r="F918" s="12" t="s">
        <v>30</v>
      </c>
      <c r="G918" s="12" t="n">
        <v>4.6</v>
      </c>
      <c r="H918" s="12" t="s">
        <v>302</v>
      </c>
      <c r="I918" s="12"/>
      <c r="J918" s="12" t="n">
        <v>7</v>
      </c>
      <c r="K918" s="12" t="s">
        <v>302</v>
      </c>
      <c r="L918" s="28" t="n">
        <v>0</v>
      </c>
      <c r="M918" s="12" t="str">
        <f aca="false">IF(L918=1,COUNTIFS($C$2:$C$1090,C918,$L$2:$L$1090,1),"")</f>
        <v/>
      </c>
      <c r="N918" s="12" t="str">
        <f aca="false">IF(L918=1,1+COUNTIFS($C$2:$C$1090,C918,$L$2:$L$1090,1,$G$2:$G$1090,"&gt;"&amp;G918),"")</f>
        <v/>
      </c>
      <c r="O918" s="12" t="str">
        <f aca="false">IF(L918=1,1+COUNTIFS($C$2:$C$1090,C918,$L$2:$L$1090,1,$H$2:$H$1090,"&gt;"&amp;H918),"")</f>
        <v/>
      </c>
      <c r="P918" s="12" t="str">
        <f aca="false">IF(L918=1,N918-O918,"")</f>
        <v/>
      </c>
      <c r="Q918" s="12" t="n">
        <f aca="false">INDEX(Directions!$D$2:$D$100,MATCH(C918,Directions!$A$2:$A$100,0))</f>
        <v>-1</v>
      </c>
      <c r="R918" s="12" t="str">
        <f aca="false">IF(L918=1,P918*Q918,"")</f>
        <v/>
      </c>
      <c r="S918" s="12" t="str">
        <f aca="false">IF(L918&lt;&gt;1,"Excluded",IF(Q918=0,"No direction",IF(R918&gt;0,"Better",IF(R918&lt;0,"Worse","No change"))))</f>
        <v>Excluded</v>
      </c>
      <c r="T918" s="12" t="s">
        <v>303</v>
      </c>
      <c r="U918" s="12" t="str">
        <f aca="false">C918&amp;"|"&amp;E918</f>
        <v>F10_11|SWE</v>
      </c>
    </row>
    <row r="919" customFormat="false" ht="15" hidden="false" customHeight="false" outlineLevel="0" collapsed="false">
      <c r="A919" s="12" t="n">
        <v>10</v>
      </c>
      <c r="B919" s="12" t="s">
        <v>40</v>
      </c>
      <c r="C919" s="12" t="s">
        <v>228</v>
      </c>
      <c r="D919" s="12" t="s">
        <v>229</v>
      </c>
      <c r="E919" s="12" t="s">
        <v>286</v>
      </c>
      <c r="F919" s="12" t="s">
        <v>31</v>
      </c>
      <c r="G919" s="12" t="n">
        <v>6.2</v>
      </c>
      <c r="H919" s="12" t="s">
        <v>302</v>
      </c>
      <c r="I919" s="12"/>
      <c r="J919" s="12" t="n">
        <v>4</v>
      </c>
      <c r="K919" s="12" t="s">
        <v>302</v>
      </c>
      <c r="L919" s="28" t="n">
        <v>0</v>
      </c>
      <c r="M919" s="12" t="str">
        <f aca="false">IF(L919=1,COUNTIFS($C$2:$C$1090,C919,$L$2:$L$1090,1),"")</f>
        <v/>
      </c>
      <c r="N919" s="12" t="str">
        <f aca="false">IF(L919=1,1+COUNTIFS($C$2:$C$1090,C919,$L$2:$L$1090,1,$G$2:$G$1090,"&gt;"&amp;G919),"")</f>
        <v/>
      </c>
      <c r="O919" s="12" t="str">
        <f aca="false">IF(L919=1,1+COUNTIFS($C$2:$C$1090,C919,$L$2:$L$1090,1,$H$2:$H$1090,"&gt;"&amp;H919),"")</f>
        <v/>
      </c>
      <c r="P919" s="12" t="str">
        <f aca="false">IF(L919=1,N919-O919,"")</f>
        <v/>
      </c>
      <c r="Q919" s="12" t="n">
        <f aca="false">INDEX(Directions!$D$2:$D$100,MATCH(C919,Directions!$A$2:$A$100,0))</f>
        <v>-1</v>
      </c>
      <c r="R919" s="12" t="str">
        <f aca="false">IF(L919=1,P919*Q919,"")</f>
        <v/>
      </c>
      <c r="S919" s="12" t="str">
        <f aca="false">IF(L919&lt;&gt;1,"Excluded",IF(Q919=0,"No direction",IF(R919&gt;0,"Better",IF(R919&lt;0,"Worse","No change"))))</f>
        <v>Excluded</v>
      </c>
      <c r="T919" s="12" t="s">
        <v>303</v>
      </c>
      <c r="U919" s="12" t="str">
        <f aca="false">C919&amp;"|"&amp;E919</f>
        <v>F10_11|FRA</v>
      </c>
    </row>
    <row r="920" customFormat="false" ht="15" hidden="false" customHeight="false" outlineLevel="0" collapsed="false">
      <c r="A920" s="12" t="n">
        <v>10</v>
      </c>
      <c r="B920" s="12" t="s">
        <v>40</v>
      </c>
      <c r="C920" s="12" t="s">
        <v>228</v>
      </c>
      <c r="D920" s="12" t="s">
        <v>229</v>
      </c>
      <c r="E920" s="12" t="s">
        <v>32</v>
      </c>
      <c r="F920" s="12" t="s">
        <v>32</v>
      </c>
      <c r="G920" s="12" t="s">
        <v>302</v>
      </c>
      <c r="H920" s="12" t="s">
        <v>302</v>
      </c>
      <c r="I920" s="12"/>
      <c r="J920" s="12" t="s">
        <v>302</v>
      </c>
      <c r="K920" s="12" t="s">
        <v>302</v>
      </c>
      <c r="L920" s="28" t="n">
        <v>0</v>
      </c>
      <c r="M920" s="12" t="str">
        <f aca="false">IF(L920=1,COUNTIFS($C$2:$C$1090,C920,$L$2:$L$1090,1),"")</f>
        <v/>
      </c>
      <c r="N920" s="12" t="str">
        <f aca="false">IF(L920=1,1+COUNTIFS($C$2:$C$1090,C920,$L$2:$L$1090,1,$G$2:$G$1090,"&gt;"&amp;G920),"")</f>
        <v/>
      </c>
      <c r="O920" s="12" t="str">
        <f aca="false">IF(L920=1,1+COUNTIFS($C$2:$C$1090,C920,$L$2:$L$1090,1,$H$2:$H$1090,"&gt;"&amp;H920),"")</f>
        <v/>
      </c>
      <c r="P920" s="12" t="str">
        <f aca="false">IF(L920=1,N920-O920,"")</f>
        <v/>
      </c>
      <c r="Q920" s="12" t="n">
        <f aca="false">INDEX(Directions!$D$2:$D$100,MATCH(C920,Directions!$A$2:$A$100,0))</f>
        <v>-1</v>
      </c>
      <c r="R920" s="12" t="str">
        <f aca="false">IF(L920=1,P920*Q920,"")</f>
        <v/>
      </c>
      <c r="S920" s="12" t="str">
        <f aca="false">IF(L920&lt;&gt;1,"Excluded",IF(Q920=0,"No direction",IF(R920&gt;0,"Better",IF(R920&lt;0,"Worse","No change"))))</f>
        <v>Excluded</v>
      </c>
      <c r="T920" s="12" t="s">
        <v>304</v>
      </c>
      <c r="U920" s="12" t="str">
        <f aca="false">C920&amp;"|"&amp;E920</f>
        <v>F10_11|NLD</v>
      </c>
    </row>
    <row r="921" customFormat="false" ht="15" hidden="false" customHeight="false" outlineLevel="0" collapsed="false">
      <c r="A921" s="12" t="n">
        <v>10</v>
      </c>
      <c r="B921" s="12" t="s">
        <v>40</v>
      </c>
      <c r="C921" s="12" t="s">
        <v>228</v>
      </c>
      <c r="D921" s="12" t="s">
        <v>229</v>
      </c>
      <c r="E921" s="12" t="s">
        <v>33</v>
      </c>
      <c r="F921" s="12" t="s">
        <v>33</v>
      </c>
      <c r="G921" s="12" t="n">
        <v>12.3</v>
      </c>
      <c r="H921" s="12" t="s">
        <v>302</v>
      </c>
      <c r="I921" s="12"/>
      <c r="J921" s="12" t="n">
        <v>1</v>
      </c>
      <c r="K921" s="12" t="s">
        <v>302</v>
      </c>
      <c r="L921" s="28" t="n">
        <v>0</v>
      </c>
      <c r="M921" s="12" t="str">
        <f aca="false">IF(L921=1,COUNTIFS($C$2:$C$1090,C921,$L$2:$L$1090,1),"")</f>
        <v/>
      </c>
      <c r="N921" s="12" t="str">
        <f aca="false">IF(L921=1,1+COUNTIFS($C$2:$C$1090,C921,$L$2:$L$1090,1,$G$2:$G$1090,"&gt;"&amp;G921),"")</f>
        <v/>
      </c>
      <c r="O921" s="12" t="str">
        <f aca="false">IF(L921=1,1+COUNTIFS($C$2:$C$1090,C921,$L$2:$L$1090,1,$H$2:$H$1090,"&gt;"&amp;H921),"")</f>
        <v/>
      </c>
      <c r="P921" s="12" t="str">
        <f aca="false">IF(L921=1,N921-O921,"")</f>
        <v/>
      </c>
      <c r="Q921" s="12" t="n">
        <f aca="false">INDEX(Directions!$D$2:$D$100,MATCH(C921,Directions!$A$2:$A$100,0))</f>
        <v>-1</v>
      </c>
      <c r="R921" s="12" t="str">
        <f aca="false">IF(L921=1,P921*Q921,"")</f>
        <v/>
      </c>
      <c r="S921" s="12" t="str">
        <f aca="false">IF(L921&lt;&gt;1,"Excluded",IF(Q921=0,"No direction",IF(R921&gt;0,"Better",IF(R921&lt;0,"Worse","No change"))))</f>
        <v>Excluded</v>
      </c>
      <c r="T921" s="12" t="s">
        <v>303</v>
      </c>
      <c r="U921" s="12" t="str">
        <f aca="false">C921&amp;"|"&amp;E921</f>
        <v>F10_11|CHE</v>
      </c>
    </row>
    <row r="922" customFormat="false" ht="15" hidden="false" customHeight="false" outlineLevel="0" collapsed="false">
      <c r="A922" s="12" t="n">
        <v>10</v>
      </c>
      <c r="B922" s="12" t="s">
        <v>40</v>
      </c>
      <c r="C922" s="12" t="s">
        <v>228</v>
      </c>
      <c r="D922" s="12" t="s">
        <v>229</v>
      </c>
      <c r="E922" s="12" t="s">
        <v>287</v>
      </c>
      <c r="F922" s="12" t="s">
        <v>34</v>
      </c>
      <c r="G922" s="12" t="s">
        <v>302</v>
      </c>
      <c r="H922" s="12" t="s">
        <v>302</v>
      </c>
      <c r="I922" s="12"/>
      <c r="J922" s="12" t="s">
        <v>302</v>
      </c>
      <c r="K922" s="12" t="s">
        <v>302</v>
      </c>
      <c r="L922" s="28" t="n">
        <v>0</v>
      </c>
      <c r="M922" s="12" t="str">
        <f aca="false">IF(L922=1,COUNTIFS($C$2:$C$1090,C922,$L$2:$L$1090,1),"")</f>
        <v/>
      </c>
      <c r="N922" s="12" t="str">
        <f aca="false">IF(L922=1,1+COUNTIFS($C$2:$C$1090,C922,$L$2:$L$1090,1,$G$2:$G$1090,"&gt;"&amp;G922),"")</f>
        <v/>
      </c>
      <c r="O922" s="12" t="str">
        <f aca="false">IF(L922=1,1+COUNTIFS($C$2:$C$1090,C922,$L$2:$L$1090,1,$H$2:$H$1090,"&gt;"&amp;H922),"")</f>
        <v/>
      </c>
      <c r="P922" s="12" t="str">
        <f aca="false">IF(L922=1,N922-O922,"")</f>
        <v/>
      </c>
      <c r="Q922" s="12" t="n">
        <f aca="false">INDEX(Directions!$D$2:$D$100,MATCH(C922,Directions!$A$2:$A$100,0))</f>
        <v>-1</v>
      </c>
      <c r="R922" s="12" t="str">
        <f aca="false">IF(L922=1,P922*Q922,"")</f>
        <v/>
      </c>
      <c r="S922" s="12" t="str">
        <f aca="false">IF(L922&lt;&gt;1,"Excluded",IF(Q922=0,"No direction",IF(R922&gt;0,"Better",IF(R922&lt;0,"Worse","No change"))))</f>
        <v>Excluded</v>
      </c>
      <c r="T922" s="12" t="s">
        <v>304</v>
      </c>
      <c r="U922" s="12" t="str">
        <f aca="false">C922&amp;"|"&amp;E922</f>
        <v>F10_11|DNK</v>
      </c>
    </row>
    <row r="923" customFormat="false" ht="15" hidden="false" customHeight="false" outlineLevel="0" collapsed="false">
      <c r="A923" s="12" t="n">
        <v>10</v>
      </c>
      <c r="B923" s="12" t="s">
        <v>40</v>
      </c>
      <c r="C923" s="12" t="s">
        <v>228</v>
      </c>
      <c r="D923" s="12" t="s">
        <v>229</v>
      </c>
      <c r="E923" s="12" t="s">
        <v>288</v>
      </c>
      <c r="F923" s="12" t="s">
        <v>35</v>
      </c>
      <c r="G923" s="12" t="n">
        <v>8.6</v>
      </c>
      <c r="H923" s="12" t="s">
        <v>302</v>
      </c>
      <c r="I923" s="12"/>
      <c r="J923" s="12" t="n">
        <v>2</v>
      </c>
      <c r="K923" s="12" t="s">
        <v>302</v>
      </c>
      <c r="L923" s="28" t="n">
        <v>0</v>
      </c>
      <c r="M923" s="12" t="str">
        <f aca="false">IF(L923=1,COUNTIFS($C$2:$C$1090,C923,$L$2:$L$1090,1),"")</f>
        <v/>
      </c>
      <c r="N923" s="12" t="str">
        <f aca="false">IF(L923=1,1+COUNTIFS($C$2:$C$1090,C923,$L$2:$L$1090,1,$G$2:$G$1090,"&gt;"&amp;G923),"")</f>
        <v/>
      </c>
      <c r="O923" s="12" t="str">
        <f aca="false">IF(L923=1,1+COUNTIFS($C$2:$C$1090,C923,$L$2:$L$1090,1,$H$2:$H$1090,"&gt;"&amp;H923),"")</f>
        <v/>
      </c>
      <c r="P923" s="12" t="str">
        <f aca="false">IF(L923=1,N923-O923,"")</f>
        <v/>
      </c>
      <c r="Q923" s="12" t="n">
        <f aca="false">INDEX(Directions!$D$2:$D$100,MATCH(C923,Directions!$A$2:$A$100,0))</f>
        <v>-1</v>
      </c>
      <c r="R923" s="12" t="str">
        <f aca="false">IF(L923=1,P923*Q923,"")</f>
        <v/>
      </c>
      <c r="S923" s="12" t="str">
        <f aca="false">IF(L923&lt;&gt;1,"Excluded",IF(Q923=0,"No direction",IF(R923&gt;0,"Better",IF(R923&lt;0,"Worse","No change"))))</f>
        <v>Excluded</v>
      </c>
      <c r="T923" s="12" t="s">
        <v>303</v>
      </c>
      <c r="U923" s="12" t="str">
        <f aca="false">C923&amp;"|"&amp;E923</f>
        <v>F10_11|CAN</v>
      </c>
    </row>
    <row r="924" customFormat="false" ht="15" hidden="false" customHeight="false" outlineLevel="0" collapsed="false">
      <c r="A924" s="12" t="n">
        <v>10</v>
      </c>
      <c r="B924" s="12" t="s">
        <v>40</v>
      </c>
      <c r="C924" s="12" t="s">
        <v>228</v>
      </c>
      <c r="D924" s="12" t="s">
        <v>229</v>
      </c>
      <c r="E924" s="12" t="s">
        <v>289</v>
      </c>
      <c r="F924" s="12" t="s">
        <v>36</v>
      </c>
      <c r="G924" s="12" t="s">
        <v>302</v>
      </c>
      <c r="H924" s="12" t="s">
        <v>302</v>
      </c>
      <c r="I924" s="12"/>
      <c r="J924" s="12" t="s">
        <v>302</v>
      </c>
      <c r="K924" s="12" t="s">
        <v>302</v>
      </c>
      <c r="L924" s="28" t="n">
        <v>0</v>
      </c>
      <c r="M924" s="12" t="str">
        <f aca="false">IF(L924=1,COUNTIFS($C$2:$C$1090,C924,$L$2:$L$1090,1),"")</f>
        <v/>
      </c>
      <c r="N924" s="12" t="str">
        <f aca="false">IF(L924=1,1+COUNTIFS($C$2:$C$1090,C924,$L$2:$L$1090,1,$G$2:$G$1090,"&gt;"&amp;G924),"")</f>
        <v/>
      </c>
      <c r="O924" s="12" t="str">
        <f aca="false">IF(L924=1,1+COUNTIFS($C$2:$C$1090,C924,$L$2:$L$1090,1,$H$2:$H$1090,"&gt;"&amp;H924),"")</f>
        <v/>
      </c>
      <c r="P924" s="12" t="str">
        <f aca="false">IF(L924=1,N924-O924,"")</f>
        <v/>
      </c>
      <c r="Q924" s="12" t="n">
        <f aca="false">INDEX(Directions!$D$2:$D$100,MATCH(C924,Directions!$A$2:$A$100,0))</f>
        <v>-1</v>
      </c>
      <c r="R924" s="12" t="str">
        <f aca="false">IF(L924=1,P924*Q924,"")</f>
        <v/>
      </c>
      <c r="S924" s="12" t="str">
        <f aca="false">IF(L924&lt;&gt;1,"Excluded",IF(Q924=0,"No direction",IF(R924&gt;0,"Better",IF(R924&lt;0,"Worse","No change"))))</f>
        <v>Excluded</v>
      </c>
      <c r="T924" s="12" t="s">
        <v>304</v>
      </c>
      <c r="U924" s="12" t="str">
        <f aca="false">C924&amp;"|"&amp;E924</f>
        <v>F10_11|JPN</v>
      </c>
    </row>
    <row r="925" customFormat="false" ht="15" hidden="false" customHeight="false" outlineLevel="0" collapsed="false">
      <c r="A925" s="12" t="n">
        <v>10</v>
      </c>
      <c r="B925" s="12" t="s">
        <v>40</v>
      </c>
      <c r="C925" s="12" t="s">
        <v>228</v>
      </c>
      <c r="D925" s="12" t="s">
        <v>229</v>
      </c>
      <c r="E925" s="12" t="s">
        <v>290</v>
      </c>
      <c r="F925" s="12" t="s">
        <v>37</v>
      </c>
      <c r="G925" s="12" t="n">
        <v>8.6</v>
      </c>
      <c r="H925" s="12" t="s">
        <v>302</v>
      </c>
      <c r="I925" s="12"/>
      <c r="J925" s="12" t="n">
        <v>3</v>
      </c>
      <c r="K925" s="12" t="s">
        <v>302</v>
      </c>
      <c r="L925" s="28" t="n">
        <v>0</v>
      </c>
      <c r="M925" s="12" t="str">
        <f aca="false">IF(L925=1,COUNTIFS($C$2:$C$1090,C925,$L$2:$L$1090,1),"")</f>
        <v/>
      </c>
      <c r="N925" s="12" t="str">
        <f aca="false">IF(L925=1,1+COUNTIFS($C$2:$C$1090,C925,$L$2:$L$1090,1,$G$2:$G$1090,"&gt;"&amp;G925),"")</f>
        <v/>
      </c>
      <c r="O925" s="12" t="str">
        <f aca="false">IF(L925=1,1+COUNTIFS($C$2:$C$1090,C925,$L$2:$L$1090,1,$H$2:$H$1090,"&gt;"&amp;H925),"")</f>
        <v/>
      </c>
      <c r="P925" s="12" t="str">
        <f aca="false">IF(L925=1,N925-O925,"")</f>
        <v/>
      </c>
      <c r="Q925" s="12" t="n">
        <f aca="false">INDEX(Directions!$D$2:$D$100,MATCH(C925,Directions!$A$2:$A$100,0))</f>
        <v>-1</v>
      </c>
      <c r="R925" s="12" t="str">
        <f aca="false">IF(L925=1,P925*Q925,"")</f>
        <v/>
      </c>
      <c r="S925" s="12" t="str">
        <f aca="false">IF(L925&lt;&gt;1,"Excluded",IF(Q925=0,"No direction",IF(R925&gt;0,"Better",IF(R925&lt;0,"Worse","No change"))))</f>
        <v>Excluded</v>
      </c>
      <c r="T925" s="12" t="s">
        <v>303</v>
      </c>
      <c r="U925" s="12" t="str">
        <f aca="false">C925&amp;"|"&amp;E925</f>
        <v>F10_11|AUS</v>
      </c>
    </row>
    <row r="926" customFormat="false" ht="15" hidden="false" customHeight="false" outlineLevel="0" collapsed="false">
      <c r="A926" s="12" t="n">
        <v>10</v>
      </c>
      <c r="B926" s="12" t="s">
        <v>40</v>
      </c>
      <c r="C926" s="12" t="s">
        <v>230</v>
      </c>
      <c r="D926" s="12" t="s">
        <v>231</v>
      </c>
      <c r="E926" s="12" t="s">
        <v>281</v>
      </c>
      <c r="F926" s="12" t="s">
        <v>27</v>
      </c>
      <c r="G926" s="12" t="n">
        <v>1.5</v>
      </c>
      <c r="H926" s="12" t="n">
        <v>1.7</v>
      </c>
      <c r="I926" s="12" t="s">
        <v>294</v>
      </c>
      <c r="J926" s="12" t="n">
        <v>9</v>
      </c>
      <c r="K926" s="12" t="n">
        <v>6</v>
      </c>
      <c r="L926" s="28" t="n">
        <v>1</v>
      </c>
      <c r="M926" s="12" t="n">
        <f aca="false">IF(L926=1,COUNTIFS($C$2:$C$1090,C926,$L$2:$L$1090,1),"")</f>
        <v>9</v>
      </c>
      <c r="N926" s="12" t="n">
        <f aca="false">IF(L926=1,1+COUNTIFS($C$2:$C$1090,C926,$L$2:$L$1090,1,$G$2:$G$1090,"&gt;"&amp;G926),"")</f>
        <v>9</v>
      </c>
      <c r="O926" s="12" t="n">
        <f aca="false">IF(L926=1,1+COUNTIFS($C$2:$C$1090,C926,$L$2:$L$1090,1,$H$2:$H$1090,"&gt;"&amp;H926),"")</f>
        <v>6</v>
      </c>
      <c r="P926" s="12" t="n">
        <f aca="false">IF(L926=1,N926-O926,"")</f>
        <v>3</v>
      </c>
      <c r="Q926" s="12" t="n">
        <f aca="false">INDEX(Directions!$D$2:$D$100,MATCH(C926,Directions!$A$2:$A$100,0))</f>
        <v>-1</v>
      </c>
      <c r="R926" s="12" t="n">
        <f aca="false">IF(L926=1,P926*Q926,"")</f>
        <v>-3</v>
      </c>
      <c r="S926" s="12" t="str">
        <f aca="false">IF(L926&lt;&gt;1,"Excluded",IF(Q926=0,"No direction",IF(R926&gt;0,"Better",IF(R926&lt;0,"Worse","No change"))))</f>
        <v>Worse</v>
      </c>
      <c r="T926" s="12"/>
      <c r="U926" s="12" t="str">
        <f aca="false">C926&amp;"|"&amp;E926</f>
        <v>F10_12|USA</v>
      </c>
    </row>
    <row r="927" customFormat="false" ht="15" hidden="false" customHeight="false" outlineLevel="0" collapsed="false">
      <c r="A927" s="12" t="n">
        <v>10</v>
      </c>
      <c r="B927" s="12" t="s">
        <v>40</v>
      </c>
      <c r="C927" s="12" t="s">
        <v>230</v>
      </c>
      <c r="D927" s="12" t="s">
        <v>231</v>
      </c>
      <c r="E927" s="12" t="s">
        <v>283</v>
      </c>
      <c r="F927" s="12" t="s">
        <v>28</v>
      </c>
      <c r="G927" s="12" t="n">
        <v>2.8</v>
      </c>
      <c r="H927" s="12" t="n">
        <v>2.3</v>
      </c>
      <c r="I927" s="12" t="s">
        <v>291</v>
      </c>
      <c r="J927" s="12" t="n">
        <v>2</v>
      </c>
      <c r="K927" s="12" t="n">
        <v>4</v>
      </c>
      <c r="L927" s="28" t="n">
        <v>1</v>
      </c>
      <c r="M927" s="12" t="n">
        <f aca="false">IF(L927=1,COUNTIFS($C$2:$C$1090,C927,$L$2:$L$1090,1),"")</f>
        <v>9</v>
      </c>
      <c r="N927" s="12" t="n">
        <f aca="false">IF(L927=1,1+COUNTIFS($C$2:$C$1090,C927,$L$2:$L$1090,1,$G$2:$G$1090,"&gt;"&amp;G927),"")</f>
        <v>2</v>
      </c>
      <c r="O927" s="12" t="n">
        <f aca="false">IF(L927=1,1+COUNTIFS($C$2:$C$1090,C927,$L$2:$L$1090,1,$H$2:$H$1090,"&gt;"&amp;H927),"")</f>
        <v>4</v>
      </c>
      <c r="P927" s="12" t="n">
        <f aca="false">IF(L927=1,N927-O927,"")</f>
        <v>-2</v>
      </c>
      <c r="Q927" s="12" t="n">
        <f aca="false">INDEX(Directions!$D$2:$D$100,MATCH(C927,Directions!$A$2:$A$100,0))</f>
        <v>-1</v>
      </c>
      <c r="R927" s="12" t="n">
        <f aca="false">IF(L927=1,P927*Q927,"")</f>
        <v>2</v>
      </c>
      <c r="S927" s="12" t="str">
        <f aca="false">IF(L927&lt;&gt;1,"Excluded",IF(Q927=0,"No direction",IF(R927&gt;0,"Better",IF(R927&lt;0,"Worse","No change"))))</f>
        <v>Better</v>
      </c>
      <c r="T927" s="12"/>
      <c r="U927" s="12" t="str">
        <f aca="false">C927&amp;"|"&amp;E927</f>
        <v>F10_12|GBR</v>
      </c>
    </row>
    <row r="928" customFormat="false" ht="15" hidden="false" customHeight="false" outlineLevel="0" collapsed="false">
      <c r="A928" s="12" t="n">
        <v>10</v>
      </c>
      <c r="B928" s="12" t="s">
        <v>40</v>
      </c>
      <c r="C928" s="12" t="s">
        <v>230</v>
      </c>
      <c r="D928" s="12" t="s">
        <v>231</v>
      </c>
      <c r="E928" s="12" t="s">
        <v>284</v>
      </c>
      <c r="F928" s="12" t="s">
        <v>29</v>
      </c>
      <c r="G928" s="12" t="n">
        <v>2.1</v>
      </c>
      <c r="H928" s="12" t="n">
        <v>1.5</v>
      </c>
      <c r="I928" s="12" t="s">
        <v>291</v>
      </c>
      <c r="J928" s="12" t="n">
        <v>8</v>
      </c>
      <c r="K928" s="12" t="n">
        <v>9</v>
      </c>
      <c r="L928" s="28" t="n">
        <v>1</v>
      </c>
      <c r="M928" s="12" t="n">
        <f aca="false">IF(L928=1,COUNTIFS($C$2:$C$1090,C928,$L$2:$L$1090,1),"")</f>
        <v>9</v>
      </c>
      <c r="N928" s="12" t="n">
        <f aca="false">IF(L928=1,1+COUNTIFS($C$2:$C$1090,C928,$L$2:$L$1090,1,$G$2:$G$1090,"&gt;"&amp;G928),"")</f>
        <v>8</v>
      </c>
      <c r="O928" s="12" t="n">
        <f aca="false">IF(L928=1,1+COUNTIFS($C$2:$C$1090,C928,$L$2:$L$1090,1,$H$2:$H$1090,"&gt;"&amp;H928),"")</f>
        <v>9</v>
      </c>
      <c r="P928" s="12" t="n">
        <f aca="false">IF(L928=1,N928-O928,"")</f>
        <v>-1</v>
      </c>
      <c r="Q928" s="12" t="n">
        <f aca="false">INDEX(Directions!$D$2:$D$100,MATCH(C928,Directions!$A$2:$A$100,0))</f>
        <v>-1</v>
      </c>
      <c r="R928" s="12" t="n">
        <f aca="false">IF(L928=1,P928*Q928,"")</f>
        <v>1</v>
      </c>
      <c r="S928" s="12" t="str">
        <f aca="false">IF(L928&lt;&gt;1,"Excluded",IF(Q928=0,"No direction",IF(R928&gt;0,"Better",IF(R928&lt;0,"Worse","No change"))))</f>
        <v>Better</v>
      </c>
      <c r="T928" s="12"/>
      <c r="U928" s="12" t="str">
        <f aca="false">C928&amp;"|"&amp;E928</f>
        <v>F10_12|DEU</v>
      </c>
    </row>
    <row r="929" customFormat="false" ht="15" hidden="false" customHeight="false" outlineLevel="0" collapsed="false">
      <c r="A929" s="12" t="n">
        <v>10</v>
      </c>
      <c r="B929" s="12" t="s">
        <v>40</v>
      </c>
      <c r="C929" s="12" t="s">
        <v>230</v>
      </c>
      <c r="D929" s="12" t="s">
        <v>231</v>
      </c>
      <c r="E929" s="12" t="s">
        <v>285</v>
      </c>
      <c r="F929" s="12" t="s">
        <v>30</v>
      </c>
      <c r="G929" s="12" t="n">
        <v>2.8</v>
      </c>
      <c r="H929" s="12" t="n">
        <v>1.7</v>
      </c>
      <c r="I929" s="12" t="s">
        <v>291</v>
      </c>
      <c r="J929" s="12" t="n">
        <v>3</v>
      </c>
      <c r="K929" s="12" t="n">
        <v>7</v>
      </c>
      <c r="L929" s="28" t="n">
        <v>1</v>
      </c>
      <c r="M929" s="12" t="n">
        <f aca="false">IF(L929=1,COUNTIFS($C$2:$C$1090,C929,$L$2:$L$1090,1),"")</f>
        <v>9</v>
      </c>
      <c r="N929" s="12" t="n">
        <f aca="false">IF(L929=1,1+COUNTIFS($C$2:$C$1090,C929,$L$2:$L$1090,1,$G$2:$G$1090,"&gt;"&amp;G929),"")</f>
        <v>2</v>
      </c>
      <c r="O929" s="12" t="n">
        <f aca="false">IF(L929=1,1+COUNTIFS($C$2:$C$1090,C929,$L$2:$L$1090,1,$H$2:$H$1090,"&gt;"&amp;H929),"")</f>
        <v>6</v>
      </c>
      <c r="P929" s="12" t="n">
        <f aca="false">IF(L929=1,N929-O929,"")</f>
        <v>-4</v>
      </c>
      <c r="Q929" s="12" t="n">
        <f aca="false">INDEX(Directions!$D$2:$D$100,MATCH(C929,Directions!$A$2:$A$100,0))</f>
        <v>-1</v>
      </c>
      <c r="R929" s="12" t="n">
        <f aca="false">IF(L929=1,P929*Q929,"")</f>
        <v>4</v>
      </c>
      <c r="S929" s="12" t="str">
        <f aca="false">IF(L929&lt;&gt;1,"Excluded",IF(Q929=0,"No direction",IF(R929&gt;0,"Better",IF(R929&lt;0,"Worse","No change"))))</f>
        <v>Better</v>
      </c>
      <c r="T929" s="12"/>
      <c r="U929" s="12" t="str">
        <f aca="false">C929&amp;"|"&amp;E929</f>
        <v>F10_12|SWE</v>
      </c>
    </row>
    <row r="930" customFormat="false" ht="15" hidden="false" customHeight="false" outlineLevel="0" collapsed="false">
      <c r="A930" s="12" t="n">
        <v>10</v>
      </c>
      <c r="B930" s="12" t="s">
        <v>40</v>
      </c>
      <c r="C930" s="12" t="s">
        <v>230</v>
      </c>
      <c r="D930" s="12" t="s">
        <v>231</v>
      </c>
      <c r="E930" s="12" t="s">
        <v>286</v>
      </c>
      <c r="F930" s="12" t="s">
        <v>31</v>
      </c>
      <c r="G930" s="12" t="n">
        <v>0.6</v>
      </c>
      <c r="H930" s="12" t="s">
        <v>302</v>
      </c>
      <c r="I930" s="12"/>
      <c r="J930" s="12" t="n">
        <v>10</v>
      </c>
      <c r="K930" s="12" t="s">
        <v>302</v>
      </c>
      <c r="L930" s="28" t="n">
        <v>0</v>
      </c>
      <c r="M930" s="12" t="str">
        <f aca="false">IF(L930=1,COUNTIFS($C$2:$C$1090,C930,$L$2:$L$1090,1),"")</f>
        <v/>
      </c>
      <c r="N930" s="12" t="str">
        <f aca="false">IF(L930=1,1+COUNTIFS($C$2:$C$1090,C930,$L$2:$L$1090,1,$G$2:$G$1090,"&gt;"&amp;G930),"")</f>
        <v/>
      </c>
      <c r="O930" s="12" t="str">
        <f aca="false">IF(L930=1,1+COUNTIFS($C$2:$C$1090,C930,$L$2:$L$1090,1,$H$2:$H$1090,"&gt;"&amp;H930),"")</f>
        <v/>
      </c>
      <c r="P930" s="12" t="str">
        <f aca="false">IF(L930=1,N930-O930,"")</f>
        <v/>
      </c>
      <c r="Q930" s="12" t="n">
        <f aca="false">INDEX(Directions!$D$2:$D$100,MATCH(C930,Directions!$A$2:$A$100,0))</f>
        <v>-1</v>
      </c>
      <c r="R930" s="12" t="str">
        <f aca="false">IF(L930=1,P930*Q930,"")</f>
        <v/>
      </c>
      <c r="S930" s="12" t="str">
        <f aca="false">IF(L930&lt;&gt;1,"Excluded",IF(Q930=0,"No direction",IF(R930&gt;0,"Better",IF(R930&lt;0,"Worse","No change"))))</f>
        <v>Excluded</v>
      </c>
      <c r="T930" s="12" t="s">
        <v>303</v>
      </c>
      <c r="U930" s="12" t="str">
        <f aca="false">C930&amp;"|"&amp;E930</f>
        <v>F10_12|FRA</v>
      </c>
    </row>
    <row r="931" customFormat="false" ht="15" hidden="false" customHeight="false" outlineLevel="0" collapsed="false">
      <c r="A931" s="12" t="n">
        <v>10</v>
      </c>
      <c r="B931" s="12" t="s">
        <v>40</v>
      </c>
      <c r="C931" s="12" t="s">
        <v>230</v>
      </c>
      <c r="D931" s="12" t="s">
        <v>231</v>
      </c>
      <c r="E931" s="12" t="s">
        <v>32</v>
      </c>
      <c r="F931" s="12" t="s">
        <v>32</v>
      </c>
      <c r="G931" s="12" t="n">
        <v>2.5</v>
      </c>
      <c r="H931" s="12" t="n">
        <v>2.7</v>
      </c>
      <c r="I931" s="12" t="s">
        <v>295</v>
      </c>
      <c r="J931" s="12" t="n">
        <v>6</v>
      </c>
      <c r="K931" s="12" t="n">
        <v>3</v>
      </c>
      <c r="L931" s="28" t="n">
        <v>1</v>
      </c>
      <c r="M931" s="12" t="n">
        <f aca="false">IF(L931=1,COUNTIFS($C$2:$C$1090,C931,$L$2:$L$1090,1),"")</f>
        <v>9</v>
      </c>
      <c r="N931" s="12" t="n">
        <f aca="false">IF(L931=1,1+COUNTIFS($C$2:$C$1090,C931,$L$2:$L$1090,1,$G$2:$G$1090,"&gt;"&amp;G931),"")</f>
        <v>6</v>
      </c>
      <c r="O931" s="12" t="n">
        <f aca="false">IF(L931=1,1+COUNTIFS($C$2:$C$1090,C931,$L$2:$L$1090,1,$H$2:$H$1090,"&gt;"&amp;H931),"")</f>
        <v>3</v>
      </c>
      <c r="P931" s="12" t="n">
        <f aca="false">IF(L931=1,N931-O931,"")</f>
        <v>3</v>
      </c>
      <c r="Q931" s="12" t="n">
        <f aca="false">INDEX(Directions!$D$2:$D$100,MATCH(C931,Directions!$A$2:$A$100,0))</f>
        <v>-1</v>
      </c>
      <c r="R931" s="12" t="n">
        <f aca="false">IF(L931=1,P931*Q931,"")</f>
        <v>-3</v>
      </c>
      <c r="S931" s="12" t="str">
        <f aca="false">IF(L931&lt;&gt;1,"Excluded",IF(Q931=0,"No direction",IF(R931&gt;0,"Better",IF(R931&lt;0,"Worse","No change"))))</f>
        <v>Worse</v>
      </c>
      <c r="T931" s="12"/>
      <c r="U931" s="12" t="str">
        <f aca="false">C931&amp;"|"&amp;E931</f>
        <v>F10_12|NLD</v>
      </c>
    </row>
    <row r="932" customFormat="false" ht="15" hidden="false" customHeight="false" outlineLevel="0" collapsed="false">
      <c r="A932" s="12" t="n">
        <v>10</v>
      </c>
      <c r="B932" s="12" t="s">
        <v>40</v>
      </c>
      <c r="C932" s="12" t="s">
        <v>230</v>
      </c>
      <c r="D932" s="12" t="s">
        <v>231</v>
      </c>
      <c r="E932" s="12" t="s">
        <v>33</v>
      </c>
      <c r="F932" s="12" t="s">
        <v>33</v>
      </c>
      <c r="G932" s="12" t="n">
        <v>2.6</v>
      </c>
      <c r="H932" s="12" t="n">
        <v>1.9</v>
      </c>
      <c r="I932" s="12" t="s">
        <v>291</v>
      </c>
      <c r="J932" s="12" t="n">
        <v>4</v>
      </c>
      <c r="K932" s="12" t="n">
        <v>5</v>
      </c>
      <c r="L932" s="28" t="n">
        <v>1</v>
      </c>
      <c r="M932" s="12" t="n">
        <f aca="false">IF(L932=1,COUNTIFS($C$2:$C$1090,C932,$L$2:$L$1090,1),"")</f>
        <v>9</v>
      </c>
      <c r="N932" s="12" t="n">
        <f aca="false">IF(L932=1,1+COUNTIFS($C$2:$C$1090,C932,$L$2:$L$1090,1,$G$2:$G$1090,"&gt;"&amp;G932),"")</f>
        <v>4</v>
      </c>
      <c r="O932" s="12" t="n">
        <f aca="false">IF(L932=1,1+COUNTIFS($C$2:$C$1090,C932,$L$2:$L$1090,1,$H$2:$H$1090,"&gt;"&amp;H932),"")</f>
        <v>5</v>
      </c>
      <c r="P932" s="12" t="n">
        <f aca="false">IF(L932=1,N932-O932,"")</f>
        <v>-1</v>
      </c>
      <c r="Q932" s="12" t="n">
        <f aca="false">INDEX(Directions!$D$2:$D$100,MATCH(C932,Directions!$A$2:$A$100,0))</f>
        <v>-1</v>
      </c>
      <c r="R932" s="12" t="n">
        <f aca="false">IF(L932=1,P932*Q932,"")</f>
        <v>1</v>
      </c>
      <c r="S932" s="12" t="str">
        <f aca="false">IF(L932&lt;&gt;1,"Excluded",IF(Q932=0,"No direction",IF(R932&gt;0,"Better",IF(R932&lt;0,"Worse","No change"))))</f>
        <v>Better</v>
      </c>
      <c r="T932" s="12"/>
      <c r="U932" s="12" t="str">
        <f aca="false">C932&amp;"|"&amp;E932</f>
        <v>F10_12|CHE</v>
      </c>
    </row>
    <row r="933" customFormat="false" ht="15" hidden="false" customHeight="false" outlineLevel="0" collapsed="false">
      <c r="A933" s="12" t="n">
        <v>10</v>
      </c>
      <c r="B933" s="12" t="s">
        <v>40</v>
      </c>
      <c r="C933" s="12" t="s">
        <v>230</v>
      </c>
      <c r="D933" s="12" t="s">
        <v>231</v>
      </c>
      <c r="E933" s="12" t="s">
        <v>287</v>
      </c>
      <c r="F933" s="12" t="s">
        <v>34</v>
      </c>
      <c r="G933" s="12" t="n">
        <v>2.6</v>
      </c>
      <c r="H933" s="12" t="n">
        <v>3</v>
      </c>
      <c r="I933" s="12" t="s">
        <v>296</v>
      </c>
      <c r="J933" s="12" t="n">
        <v>5</v>
      </c>
      <c r="K933" s="12" t="n">
        <v>2</v>
      </c>
      <c r="L933" s="28" t="n">
        <v>1</v>
      </c>
      <c r="M933" s="12" t="n">
        <f aca="false">IF(L933=1,COUNTIFS($C$2:$C$1090,C933,$L$2:$L$1090,1),"")</f>
        <v>9</v>
      </c>
      <c r="N933" s="12" t="n">
        <f aca="false">IF(L933=1,1+COUNTIFS($C$2:$C$1090,C933,$L$2:$L$1090,1,$G$2:$G$1090,"&gt;"&amp;G933),"")</f>
        <v>4</v>
      </c>
      <c r="O933" s="12" t="n">
        <f aca="false">IF(L933=1,1+COUNTIFS($C$2:$C$1090,C933,$L$2:$L$1090,1,$H$2:$H$1090,"&gt;"&amp;H933),"")</f>
        <v>2</v>
      </c>
      <c r="P933" s="12" t="n">
        <f aca="false">IF(L933=1,N933-O933,"")</f>
        <v>2</v>
      </c>
      <c r="Q933" s="12" t="n">
        <f aca="false">INDEX(Directions!$D$2:$D$100,MATCH(C933,Directions!$A$2:$A$100,0))</f>
        <v>-1</v>
      </c>
      <c r="R933" s="12" t="n">
        <f aca="false">IF(L933=1,P933*Q933,"")</f>
        <v>-2</v>
      </c>
      <c r="S933" s="12" t="str">
        <f aca="false">IF(L933&lt;&gt;1,"Excluded",IF(Q933=0,"No direction",IF(R933&gt;0,"Better",IF(R933&lt;0,"Worse","No change"))))</f>
        <v>Worse</v>
      </c>
      <c r="T933" s="12"/>
      <c r="U933" s="12" t="str">
        <f aca="false">C933&amp;"|"&amp;E933</f>
        <v>F10_12|DNK</v>
      </c>
    </row>
    <row r="934" customFormat="false" ht="15" hidden="false" customHeight="false" outlineLevel="0" collapsed="false">
      <c r="A934" s="12" t="n">
        <v>10</v>
      </c>
      <c r="B934" s="12" t="s">
        <v>40</v>
      </c>
      <c r="C934" s="12" t="s">
        <v>230</v>
      </c>
      <c r="D934" s="12" t="s">
        <v>231</v>
      </c>
      <c r="E934" s="12" t="s">
        <v>288</v>
      </c>
      <c r="F934" s="12" t="s">
        <v>35</v>
      </c>
      <c r="G934" s="12" t="n">
        <v>3.1</v>
      </c>
      <c r="H934" s="12" t="n">
        <v>4</v>
      </c>
      <c r="I934" s="12" t="s">
        <v>291</v>
      </c>
      <c r="J934" s="12" t="n">
        <v>1</v>
      </c>
      <c r="K934" s="12" t="n">
        <v>1</v>
      </c>
      <c r="L934" s="28" t="n">
        <v>1</v>
      </c>
      <c r="M934" s="12" t="n">
        <f aca="false">IF(L934=1,COUNTIFS($C$2:$C$1090,C934,$L$2:$L$1090,1),"")</f>
        <v>9</v>
      </c>
      <c r="N934" s="12" t="n">
        <f aca="false">IF(L934=1,1+COUNTIFS($C$2:$C$1090,C934,$L$2:$L$1090,1,$G$2:$G$1090,"&gt;"&amp;G934),"")</f>
        <v>1</v>
      </c>
      <c r="O934" s="12" t="n">
        <f aca="false">IF(L934=1,1+COUNTIFS($C$2:$C$1090,C934,$L$2:$L$1090,1,$H$2:$H$1090,"&gt;"&amp;H934),"")</f>
        <v>1</v>
      </c>
      <c r="P934" s="12" t="n">
        <f aca="false">IF(L934=1,N934-O934,"")</f>
        <v>0</v>
      </c>
      <c r="Q934" s="12" t="n">
        <f aca="false">INDEX(Directions!$D$2:$D$100,MATCH(C934,Directions!$A$2:$A$100,0))</f>
        <v>-1</v>
      </c>
      <c r="R934" s="12" t="n">
        <f aca="false">IF(L934=1,P934*Q934,"")</f>
        <v>-0</v>
      </c>
      <c r="S934" s="12" t="str">
        <f aca="false">IF(L934&lt;&gt;1,"Excluded",IF(Q934=0,"No direction",IF(R934&gt;0,"Better",IF(R934&lt;0,"Worse","No change"))))</f>
        <v>No change</v>
      </c>
      <c r="T934" s="12"/>
      <c r="U934" s="12" t="str">
        <f aca="false">C934&amp;"|"&amp;E934</f>
        <v>F10_12|CAN</v>
      </c>
    </row>
    <row r="935" customFormat="false" ht="15" hidden="false" customHeight="false" outlineLevel="0" collapsed="false">
      <c r="A935" s="12" t="n">
        <v>10</v>
      </c>
      <c r="B935" s="12" t="s">
        <v>40</v>
      </c>
      <c r="C935" s="12" t="s">
        <v>230</v>
      </c>
      <c r="D935" s="12" t="s">
        <v>231</v>
      </c>
      <c r="E935" s="12" t="s">
        <v>289</v>
      </c>
      <c r="F935" s="12" t="s">
        <v>36</v>
      </c>
      <c r="G935" s="12" t="s">
        <v>302</v>
      </c>
      <c r="H935" s="12" t="s">
        <v>302</v>
      </c>
      <c r="I935" s="12"/>
      <c r="J935" s="12" t="s">
        <v>302</v>
      </c>
      <c r="K935" s="12" t="s">
        <v>302</v>
      </c>
      <c r="L935" s="28" t="n">
        <v>0</v>
      </c>
      <c r="M935" s="12" t="str">
        <f aca="false">IF(L935=1,COUNTIFS($C$2:$C$1090,C935,$L$2:$L$1090,1),"")</f>
        <v/>
      </c>
      <c r="N935" s="12" t="str">
        <f aca="false">IF(L935=1,1+COUNTIFS($C$2:$C$1090,C935,$L$2:$L$1090,1,$G$2:$G$1090,"&gt;"&amp;G935),"")</f>
        <v/>
      </c>
      <c r="O935" s="12" t="str">
        <f aca="false">IF(L935=1,1+COUNTIFS($C$2:$C$1090,C935,$L$2:$L$1090,1,$H$2:$H$1090,"&gt;"&amp;H935),"")</f>
        <v/>
      </c>
      <c r="P935" s="12" t="str">
        <f aca="false">IF(L935=1,N935-O935,"")</f>
        <v/>
      </c>
      <c r="Q935" s="12" t="n">
        <f aca="false">INDEX(Directions!$D$2:$D$100,MATCH(C935,Directions!$A$2:$A$100,0))</f>
        <v>-1</v>
      </c>
      <c r="R935" s="12" t="str">
        <f aca="false">IF(L935=1,P935*Q935,"")</f>
        <v/>
      </c>
      <c r="S935" s="12" t="str">
        <f aca="false">IF(L935&lt;&gt;1,"Excluded",IF(Q935=0,"No direction",IF(R935&gt;0,"Better",IF(R935&lt;0,"Worse","No change"))))</f>
        <v>Excluded</v>
      </c>
      <c r="T935" s="12" t="s">
        <v>304</v>
      </c>
      <c r="U935" s="12" t="str">
        <f aca="false">C935&amp;"|"&amp;E935</f>
        <v>F10_12|JPN</v>
      </c>
    </row>
    <row r="936" customFormat="false" ht="15" hidden="false" customHeight="false" outlineLevel="0" collapsed="false">
      <c r="A936" s="12" t="n">
        <v>10</v>
      </c>
      <c r="B936" s="12" t="s">
        <v>40</v>
      </c>
      <c r="C936" s="12" t="s">
        <v>230</v>
      </c>
      <c r="D936" s="12" t="s">
        <v>231</v>
      </c>
      <c r="E936" s="12" t="s">
        <v>290</v>
      </c>
      <c r="F936" s="12" t="s">
        <v>37</v>
      </c>
      <c r="G936" s="12" t="n">
        <v>2.4</v>
      </c>
      <c r="H936" s="12" t="n">
        <v>1.6</v>
      </c>
      <c r="I936" s="12" t="s">
        <v>291</v>
      </c>
      <c r="J936" s="12" t="n">
        <v>7</v>
      </c>
      <c r="K936" s="12" t="n">
        <v>8</v>
      </c>
      <c r="L936" s="28" t="n">
        <v>1</v>
      </c>
      <c r="M936" s="12" t="n">
        <f aca="false">IF(L936=1,COUNTIFS($C$2:$C$1090,C936,$L$2:$L$1090,1),"")</f>
        <v>9</v>
      </c>
      <c r="N936" s="12" t="n">
        <f aca="false">IF(L936=1,1+COUNTIFS($C$2:$C$1090,C936,$L$2:$L$1090,1,$G$2:$G$1090,"&gt;"&amp;G936),"")</f>
        <v>7</v>
      </c>
      <c r="O936" s="12" t="n">
        <f aca="false">IF(L936=1,1+COUNTIFS($C$2:$C$1090,C936,$L$2:$L$1090,1,$H$2:$H$1090,"&gt;"&amp;H936),"")</f>
        <v>8</v>
      </c>
      <c r="P936" s="12" t="n">
        <f aca="false">IF(L936=1,N936-O936,"")</f>
        <v>-1</v>
      </c>
      <c r="Q936" s="12" t="n">
        <f aca="false">INDEX(Directions!$D$2:$D$100,MATCH(C936,Directions!$A$2:$A$100,0))</f>
        <v>-1</v>
      </c>
      <c r="R936" s="12" t="n">
        <f aca="false">IF(L936=1,P936*Q936,"")</f>
        <v>1</v>
      </c>
      <c r="S936" s="12" t="str">
        <f aca="false">IF(L936&lt;&gt;1,"Excluded",IF(Q936=0,"No direction",IF(R936&gt;0,"Better",IF(R936&lt;0,"Worse","No change"))))</f>
        <v>Better</v>
      </c>
      <c r="T936" s="12"/>
      <c r="U936" s="12" t="str">
        <f aca="false">C936&amp;"|"&amp;E936</f>
        <v>F10_12|AUS</v>
      </c>
    </row>
    <row r="937" customFormat="false" ht="15" hidden="false" customHeight="false" outlineLevel="0" collapsed="false">
      <c r="A937" s="12" t="n">
        <v>10</v>
      </c>
      <c r="B937" s="12" t="s">
        <v>40</v>
      </c>
      <c r="C937" s="12" t="s">
        <v>232</v>
      </c>
      <c r="D937" s="12" t="s">
        <v>233</v>
      </c>
      <c r="E937" s="12" t="s">
        <v>281</v>
      </c>
      <c r="F937" s="12" t="s">
        <v>27</v>
      </c>
      <c r="G937" s="12" t="n">
        <v>191</v>
      </c>
      <c r="H937" s="12" t="n">
        <v>223.4</v>
      </c>
      <c r="I937" s="12" t="s">
        <v>294</v>
      </c>
      <c r="J937" s="12" t="n">
        <v>2</v>
      </c>
      <c r="K937" s="12" t="n">
        <v>1</v>
      </c>
      <c r="L937" s="28" t="n">
        <v>1</v>
      </c>
      <c r="M937" s="12" t="n">
        <f aca="false">IF(L937=1,COUNTIFS($C$2:$C$1090,C937,$L$2:$L$1090,1),"")</f>
        <v>10</v>
      </c>
      <c r="N937" s="12" t="n">
        <f aca="false">IF(L937=1,1+COUNTIFS($C$2:$C$1090,C937,$L$2:$L$1090,1,$G$2:$G$1090,"&gt;"&amp;G937),"")</f>
        <v>2</v>
      </c>
      <c r="O937" s="12" t="n">
        <f aca="false">IF(L937=1,1+COUNTIFS($C$2:$C$1090,C937,$L$2:$L$1090,1,$H$2:$H$1090,"&gt;"&amp;H937),"")</f>
        <v>1</v>
      </c>
      <c r="P937" s="12" t="n">
        <f aca="false">IF(L937=1,N937-O937,"")</f>
        <v>1</v>
      </c>
      <c r="Q937" s="12" t="n">
        <f aca="false">INDEX(Directions!$D$2:$D$100,MATCH(C937,Directions!$A$2:$A$100,0))</f>
        <v>-1</v>
      </c>
      <c r="R937" s="12" t="n">
        <f aca="false">IF(L937=1,P937*Q937,"")</f>
        <v>-1</v>
      </c>
      <c r="S937" s="12" t="str">
        <f aca="false">IF(L937&lt;&gt;1,"Excluded",IF(Q937=0,"No direction",IF(R937&gt;0,"Better",IF(R937&lt;0,"Worse","No change"))))</f>
        <v>Worse</v>
      </c>
      <c r="T937" s="12" t="s">
        <v>332</v>
      </c>
      <c r="U937" s="12" t="str">
        <f aca="false">C937&amp;"|"&amp;E937</f>
        <v>F10_13|USA</v>
      </c>
    </row>
    <row r="938" customFormat="false" ht="15" hidden="false" customHeight="false" outlineLevel="0" collapsed="false">
      <c r="A938" s="12" t="n">
        <v>10</v>
      </c>
      <c r="B938" s="12" t="s">
        <v>40</v>
      </c>
      <c r="C938" s="12" t="s">
        <v>232</v>
      </c>
      <c r="D938" s="12" t="s">
        <v>233</v>
      </c>
      <c r="E938" s="12" t="s">
        <v>283</v>
      </c>
      <c r="F938" s="12" t="s">
        <v>28</v>
      </c>
      <c r="G938" s="12" t="n">
        <v>72.8</v>
      </c>
      <c r="H938" s="12" t="n">
        <v>82.1</v>
      </c>
      <c r="I938" s="12" t="s">
        <v>291</v>
      </c>
      <c r="J938" s="12" t="n">
        <v>9</v>
      </c>
      <c r="K938" s="12" t="n">
        <v>8</v>
      </c>
      <c r="L938" s="28" t="n">
        <v>1</v>
      </c>
      <c r="M938" s="12" t="n">
        <f aca="false">IF(L938=1,COUNTIFS($C$2:$C$1090,C938,$L$2:$L$1090,1),"")</f>
        <v>10</v>
      </c>
      <c r="N938" s="12" t="n">
        <f aca="false">IF(L938=1,1+COUNTIFS($C$2:$C$1090,C938,$L$2:$L$1090,1,$G$2:$G$1090,"&gt;"&amp;G938),"")</f>
        <v>8</v>
      </c>
      <c r="O938" s="12" t="n">
        <f aca="false">IF(L938=1,1+COUNTIFS($C$2:$C$1090,C938,$L$2:$L$1090,1,$H$2:$H$1090,"&gt;"&amp;H938),"")</f>
        <v>8</v>
      </c>
      <c r="P938" s="12" t="n">
        <f aca="false">IF(L938=1,N938-O938,"")</f>
        <v>0</v>
      </c>
      <c r="Q938" s="12" t="n">
        <f aca="false">INDEX(Directions!$D$2:$D$100,MATCH(C938,Directions!$A$2:$A$100,0))</f>
        <v>-1</v>
      </c>
      <c r="R938" s="12" t="n">
        <f aca="false">IF(L938=1,P938*Q938,"")</f>
        <v>-0</v>
      </c>
      <c r="S938" s="12" t="str">
        <f aca="false">IF(L938&lt;&gt;1,"Excluded",IF(Q938=0,"No direction",IF(R938&gt;0,"Better",IF(R938&lt;0,"Worse","No change"))))</f>
        <v>No change</v>
      </c>
      <c r="T938" s="12"/>
      <c r="U938" s="12" t="str">
        <f aca="false">C938&amp;"|"&amp;E938</f>
        <v>F10_13|GBR</v>
      </c>
    </row>
    <row r="939" customFormat="false" ht="15" hidden="false" customHeight="false" outlineLevel="0" collapsed="false">
      <c r="A939" s="12" t="n">
        <v>10</v>
      </c>
      <c r="B939" s="12" t="s">
        <v>40</v>
      </c>
      <c r="C939" s="12" t="s">
        <v>232</v>
      </c>
      <c r="D939" s="12" t="s">
        <v>233</v>
      </c>
      <c r="E939" s="12" t="s">
        <v>284</v>
      </c>
      <c r="F939" s="12" t="s">
        <v>29</v>
      </c>
      <c r="G939" s="12" t="n">
        <v>218.3</v>
      </c>
      <c r="H939" s="12" t="n">
        <v>179.5</v>
      </c>
      <c r="I939" s="12" t="s">
        <v>291</v>
      </c>
      <c r="J939" s="12" t="n">
        <v>1</v>
      </c>
      <c r="K939" s="12" t="n">
        <v>2</v>
      </c>
      <c r="L939" s="28" t="n">
        <v>1</v>
      </c>
      <c r="M939" s="12" t="n">
        <f aca="false">IF(L939=1,COUNTIFS($C$2:$C$1090,C939,$L$2:$L$1090,1),"")</f>
        <v>10</v>
      </c>
      <c r="N939" s="12" t="n">
        <f aca="false">IF(L939=1,1+COUNTIFS($C$2:$C$1090,C939,$L$2:$L$1090,1,$G$2:$G$1090,"&gt;"&amp;G939),"")</f>
        <v>1</v>
      </c>
      <c r="O939" s="12" t="n">
        <f aca="false">IF(L939=1,1+COUNTIFS($C$2:$C$1090,C939,$L$2:$L$1090,1,$H$2:$H$1090,"&gt;"&amp;H939),"")</f>
        <v>2</v>
      </c>
      <c r="P939" s="12" t="n">
        <f aca="false">IF(L939=1,N939-O939,"")</f>
        <v>-1</v>
      </c>
      <c r="Q939" s="12" t="n">
        <f aca="false">INDEX(Directions!$D$2:$D$100,MATCH(C939,Directions!$A$2:$A$100,0))</f>
        <v>-1</v>
      </c>
      <c r="R939" s="12" t="n">
        <f aca="false">IF(L939=1,P939*Q939,"")</f>
        <v>1</v>
      </c>
      <c r="S939" s="12" t="str">
        <f aca="false">IF(L939&lt;&gt;1,"Excluded",IF(Q939=0,"No direction",IF(R939&gt;0,"Better",IF(R939&lt;0,"Worse","No change"))))</f>
        <v>Better</v>
      </c>
      <c r="T939" s="12"/>
      <c r="U939" s="12" t="str">
        <f aca="false">C939&amp;"|"&amp;E939</f>
        <v>F10_13|DEU</v>
      </c>
    </row>
    <row r="940" customFormat="false" ht="15" hidden="false" customHeight="false" outlineLevel="0" collapsed="false">
      <c r="A940" s="12" t="n">
        <v>10</v>
      </c>
      <c r="B940" s="12" t="s">
        <v>40</v>
      </c>
      <c r="C940" s="12" t="s">
        <v>232</v>
      </c>
      <c r="D940" s="12" t="s">
        <v>233</v>
      </c>
      <c r="E940" s="12" t="s">
        <v>285</v>
      </c>
      <c r="F940" s="12" t="s">
        <v>30</v>
      </c>
      <c r="G940" s="12" t="n">
        <v>96</v>
      </c>
      <c r="H940" s="12" t="n">
        <v>60.4</v>
      </c>
      <c r="I940" s="12" t="s">
        <v>291</v>
      </c>
      <c r="J940" s="12" t="n">
        <v>7</v>
      </c>
      <c r="K940" s="12" t="n">
        <v>9</v>
      </c>
      <c r="L940" s="28" t="n">
        <v>1</v>
      </c>
      <c r="M940" s="12" t="n">
        <f aca="false">IF(L940=1,COUNTIFS($C$2:$C$1090,C940,$L$2:$L$1090,1),"")</f>
        <v>10</v>
      </c>
      <c r="N940" s="12" t="n">
        <f aca="false">IF(L940=1,1+COUNTIFS($C$2:$C$1090,C940,$L$2:$L$1090,1,$G$2:$G$1090,"&gt;"&amp;G940),"")</f>
        <v>6</v>
      </c>
      <c r="O940" s="12" t="n">
        <f aca="false">IF(L940=1,1+COUNTIFS($C$2:$C$1090,C940,$L$2:$L$1090,1,$H$2:$H$1090,"&gt;"&amp;H940),"")</f>
        <v>9</v>
      </c>
      <c r="P940" s="12" t="n">
        <f aca="false">IF(L940=1,N940-O940,"")</f>
        <v>-3</v>
      </c>
      <c r="Q940" s="12" t="n">
        <f aca="false">INDEX(Directions!$D$2:$D$100,MATCH(C940,Directions!$A$2:$A$100,0))</f>
        <v>-1</v>
      </c>
      <c r="R940" s="12" t="n">
        <f aca="false">IF(L940=1,P940*Q940,"")</f>
        <v>3</v>
      </c>
      <c r="S940" s="12" t="str">
        <f aca="false">IF(L940&lt;&gt;1,"Excluded",IF(Q940=0,"No direction",IF(R940&gt;0,"Better",IF(R940&lt;0,"Worse","No change"))))</f>
        <v>Better</v>
      </c>
      <c r="T940" s="12"/>
      <c r="U940" s="12" t="str">
        <f aca="false">C940&amp;"|"&amp;E940</f>
        <v>F10_13|SWE</v>
      </c>
    </row>
    <row r="941" customFormat="false" ht="15" hidden="false" customHeight="false" outlineLevel="0" collapsed="false">
      <c r="A941" s="12" t="n">
        <v>10</v>
      </c>
      <c r="B941" s="12" t="s">
        <v>40</v>
      </c>
      <c r="C941" s="12" t="s">
        <v>232</v>
      </c>
      <c r="D941" s="12" t="s">
        <v>233</v>
      </c>
      <c r="E941" s="12" t="s">
        <v>286</v>
      </c>
      <c r="F941" s="12" t="s">
        <v>31</v>
      </c>
      <c r="G941" s="12" t="n">
        <v>150.6</v>
      </c>
      <c r="H941" s="12" t="n">
        <v>155.6</v>
      </c>
      <c r="I941" s="12" t="s">
        <v>331</v>
      </c>
      <c r="J941" s="12" t="n">
        <v>4</v>
      </c>
      <c r="K941" s="12" t="n">
        <v>3</v>
      </c>
      <c r="L941" s="28" t="n">
        <v>1</v>
      </c>
      <c r="M941" s="12" t="n">
        <f aca="false">IF(L941=1,COUNTIFS($C$2:$C$1090,C941,$L$2:$L$1090,1),"")</f>
        <v>10</v>
      </c>
      <c r="N941" s="12" t="n">
        <f aca="false">IF(L941=1,1+COUNTIFS($C$2:$C$1090,C941,$L$2:$L$1090,1,$G$2:$G$1090,"&gt;"&amp;G941),"")</f>
        <v>3</v>
      </c>
      <c r="O941" s="12" t="n">
        <f aca="false">IF(L941=1,1+COUNTIFS($C$2:$C$1090,C941,$L$2:$L$1090,1,$H$2:$H$1090,"&gt;"&amp;H941),"")</f>
        <v>3</v>
      </c>
      <c r="P941" s="12" t="n">
        <f aca="false">IF(L941=1,N941-O941,"")</f>
        <v>0</v>
      </c>
      <c r="Q941" s="12" t="n">
        <f aca="false">INDEX(Directions!$D$2:$D$100,MATCH(C941,Directions!$A$2:$A$100,0))</f>
        <v>-1</v>
      </c>
      <c r="R941" s="12" t="n">
        <f aca="false">IF(L941=1,P941*Q941,"")</f>
        <v>-0</v>
      </c>
      <c r="S941" s="12" t="str">
        <f aca="false">IF(L941&lt;&gt;1,"Excluded",IF(Q941=0,"No direction",IF(R941&gt;0,"Better",IF(R941&lt;0,"Worse","No change"))))</f>
        <v>No change</v>
      </c>
      <c r="T941" s="12"/>
      <c r="U941" s="12" t="str">
        <f aca="false">C941&amp;"|"&amp;E941</f>
        <v>F10_13|FRA</v>
      </c>
    </row>
    <row r="942" customFormat="false" ht="15" hidden="false" customHeight="false" outlineLevel="0" collapsed="false">
      <c r="A942" s="12" t="n">
        <v>10</v>
      </c>
      <c r="B942" s="12" t="s">
        <v>40</v>
      </c>
      <c r="C942" s="12" t="s">
        <v>232</v>
      </c>
      <c r="D942" s="12" t="s">
        <v>233</v>
      </c>
      <c r="E942" s="12" t="s">
        <v>32</v>
      </c>
      <c r="F942" s="12" t="s">
        <v>32</v>
      </c>
      <c r="G942" s="12" t="n">
        <v>69.8</v>
      </c>
      <c r="H942" s="12" t="n">
        <v>42.3</v>
      </c>
      <c r="I942" s="12" t="s">
        <v>291</v>
      </c>
      <c r="J942" s="12" t="n">
        <v>11</v>
      </c>
      <c r="K942" s="12" t="n">
        <v>10</v>
      </c>
      <c r="L942" s="28" t="n">
        <v>1</v>
      </c>
      <c r="M942" s="12" t="n">
        <f aca="false">IF(L942=1,COUNTIFS($C$2:$C$1090,C942,$L$2:$L$1090,1),"")</f>
        <v>10</v>
      </c>
      <c r="N942" s="12" t="n">
        <f aca="false">IF(L942=1,1+COUNTIFS($C$2:$C$1090,C942,$L$2:$L$1090,1,$G$2:$G$1090,"&gt;"&amp;G942),"")</f>
        <v>10</v>
      </c>
      <c r="O942" s="12" t="n">
        <f aca="false">IF(L942=1,1+COUNTIFS($C$2:$C$1090,C942,$L$2:$L$1090,1,$H$2:$H$1090,"&gt;"&amp;H942),"")</f>
        <v>10</v>
      </c>
      <c r="P942" s="12" t="n">
        <f aca="false">IF(L942=1,N942-O942,"")</f>
        <v>0</v>
      </c>
      <c r="Q942" s="12" t="n">
        <f aca="false">INDEX(Directions!$D$2:$D$100,MATCH(C942,Directions!$A$2:$A$100,0))</f>
        <v>-1</v>
      </c>
      <c r="R942" s="12" t="n">
        <f aca="false">IF(L942=1,P942*Q942,"")</f>
        <v>-0</v>
      </c>
      <c r="S942" s="12" t="str">
        <f aca="false">IF(L942&lt;&gt;1,"Excluded",IF(Q942=0,"No direction",IF(R942&gt;0,"Better",IF(R942&lt;0,"Worse","No change"))))</f>
        <v>No change</v>
      </c>
      <c r="T942" s="12"/>
      <c r="U942" s="12" t="str">
        <f aca="false">C942&amp;"|"&amp;E942</f>
        <v>F10_13|NLD</v>
      </c>
    </row>
    <row r="943" customFormat="false" ht="15" hidden="false" customHeight="false" outlineLevel="0" collapsed="false">
      <c r="A943" s="12" t="n">
        <v>10</v>
      </c>
      <c r="B943" s="12" t="s">
        <v>40</v>
      </c>
      <c r="C943" s="12" t="s">
        <v>232</v>
      </c>
      <c r="D943" s="12" t="s">
        <v>233</v>
      </c>
      <c r="E943" s="12" t="s">
        <v>33</v>
      </c>
      <c r="F943" s="12" t="s">
        <v>33</v>
      </c>
      <c r="G943" s="12" t="n">
        <v>72.6</v>
      </c>
      <c r="H943" s="12" t="n">
        <v>82.6</v>
      </c>
      <c r="I943" s="12" t="s">
        <v>291</v>
      </c>
      <c r="J943" s="12" t="n">
        <v>10</v>
      </c>
      <c r="K943" s="12" t="n">
        <v>7</v>
      </c>
      <c r="L943" s="28" t="n">
        <v>1</v>
      </c>
      <c r="M943" s="12" t="n">
        <f aca="false">IF(L943=1,COUNTIFS($C$2:$C$1090,C943,$L$2:$L$1090,1),"")</f>
        <v>10</v>
      </c>
      <c r="N943" s="12" t="n">
        <f aca="false">IF(L943=1,1+COUNTIFS($C$2:$C$1090,C943,$L$2:$L$1090,1,$G$2:$G$1090,"&gt;"&amp;G943),"")</f>
        <v>9</v>
      </c>
      <c r="O943" s="12" t="n">
        <f aca="false">IF(L943=1,1+COUNTIFS($C$2:$C$1090,C943,$L$2:$L$1090,1,$H$2:$H$1090,"&gt;"&amp;H943),"")</f>
        <v>7</v>
      </c>
      <c r="P943" s="12" t="n">
        <f aca="false">IF(L943=1,N943-O943,"")</f>
        <v>2</v>
      </c>
      <c r="Q943" s="12" t="n">
        <f aca="false">INDEX(Directions!$D$2:$D$100,MATCH(C943,Directions!$A$2:$A$100,0))</f>
        <v>-1</v>
      </c>
      <c r="R943" s="12" t="n">
        <f aca="false">IF(L943=1,P943*Q943,"")</f>
        <v>-2</v>
      </c>
      <c r="S943" s="12" t="str">
        <f aca="false">IF(L943&lt;&gt;1,"Excluded",IF(Q943=0,"No direction",IF(R943&gt;0,"Better",IF(R943&lt;0,"Worse","No change"))))</f>
        <v>Worse</v>
      </c>
      <c r="T943" s="12"/>
      <c r="U943" s="12" t="str">
        <f aca="false">C943&amp;"|"&amp;E943</f>
        <v>F10_13|CHE</v>
      </c>
    </row>
    <row r="944" customFormat="false" ht="15" hidden="false" customHeight="false" outlineLevel="0" collapsed="false">
      <c r="A944" s="12" t="n">
        <v>10</v>
      </c>
      <c r="B944" s="12" t="s">
        <v>40</v>
      </c>
      <c r="C944" s="12" t="s">
        <v>232</v>
      </c>
      <c r="D944" s="12" t="s">
        <v>233</v>
      </c>
      <c r="E944" s="12" t="s">
        <v>287</v>
      </c>
      <c r="F944" s="12" t="s">
        <v>34</v>
      </c>
      <c r="G944" s="12" t="n">
        <v>113.4</v>
      </c>
      <c r="H944" s="12" t="n">
        <v>86.2</v>
      </c>
      <c r="I944" s="12" t="s">
        <v>293</v>
      </c>
      <c r="J944" s="12" t="n">
        <v>6</v>
      </c>
      <c r="K944" s="12" t="n">
        <v>6</v>
      </c>
      <c r="L944" s="28" t="n">
        <v>1</v>
      </c>
      <c r="M944" s="12" t="n">
        <f aca="false">IF(L944=1,COUNTIFS($C$2:$C$1090,C944,$L$2:$L$1090,1),"")</f>
        <v>10</v>
      </c>
      <c r="N944" s="12" t="n">
        <f aca="false">IF(L944=1,1+COUNTIFS($C$2:$C$1090,C944,$L$2:$L$1090,1,$G$2:$G$1090,"&gt;"&amp;G944),"")</f>
        <v>5</v>
      </c>
      <c r="O944" s="12" t="n">
        <f aca="false">IF(L944=1,1+COUNTIFS($C$2:$C$1090,C944,$L$2:$L$1090,1,$H$2:$H$1090,"&gt;"&amp;H944),"")</f>
        <v>6</v>
      </c>
      <c r="P944" s="12" t="n">
        <f aca="false">IF(L944=1,N944-O944,"")</f>
        <v>-1</v>
      </c>
      <c r="Q944" s="12" t="n">
        <f aca="false">INDEX(Directions!$D$2:$D$100,MATCH(C944,Directions!$A$2:$A$100,0))</f>
        <v>-1</v>
      </c>
      <c r="R944" s="12" t="n">
        <f aca="false">IF(L944=1,P944*Q944,"")</f>
        <v>1</v>
      </c>
      <c r="S944" s="12" t="str">
        <f aca="false">IF(L944&lt;&gt;1,"Excluded",IF(Q944=0,"No direction",IF(R944&gt;0,"Better",IF(R944&lt;0,"Worse","No change"))))</f>
        <v>Better</v>
      </c>
      <c r="T944" s="12"/>
      <c r="U944" s="12" t="str">
        <f aca="false">C944&amp;"|"&amp;E944</f>
        <v>F10_13|DNK</v>
      </c>
    </row>
    <row r="945" customFormat="false" ht="15" hidden="false" customHeight="false" outlineLevel="0" collapsed="false">
      <c r="A945" s="12" t="n">
        <v>10</v>
      </c>
      <c r="B945" s="12" t="s">
        <v>40</v>
      </c>
      <c r="C945" s="12" t="s">
        <v>232</v>
      </c>
      <c r="D945" s="12" t="s">
        <v>233</v>
      </c>
      <c r="E945" s="12" t="s">
        <v>288</v>
      </c>
      <c r="F945" s="12" t="s">
        <v>35</v>
      </c>
      <c r="G945" s="12" t="n">
        <v>93.7</v>
      </c>
      <c r="H945" s="12" t="n">
        <v>93.3</v>
      </c>
      <c r="I945" s="12" t="s">
        <v>291</v>
      </c>
      <c r="J945" s="12" t="n">
        <v>8</v>
      </c>
      <c r="K945" s="12" t="n">
        <v>5</v>
      </c>
      <c r="L945" s="28" t="n">
        <v>1</v>
      </c>
      <c r="M945" s="12" t="n">
        <f aca="false">IF(L945=1,COUNTIFS($C$2:$C$1090,C945,$L$2:$L$1090,1),"")</f>
        <v>10</v>
      </c>
      <c r="N945" s="12" t="n">
        <f aca="false">IF(L945=1,1+COUNTIFS($C$2:$C$1090,C945,$L$2:$L$1090,1,$G$2:$G$1090,"&gt;"&amp;G945),"")</f>
        <v>7</v>
      </c>
      <c r="O945" s="12" t="n">
        <f aca="false">IF(L945=1,1+COUNTIFS($C$2:$C$1090,C945,$L$2:$L$1090,1,$H$2:$H$1090,"&gt;"&amp;H945),"")</f>
        <v>5</v>
      </c>
      <c r="P945" s="12" t="n">
        <f aca="false">IF(L945=1,N945-O945,"")</f>
        <v>2</v>
      </c>
      <c r="Q945" s="12" t="n">
        <f aca="false">INDEX(Directions!$D$2:$D$100,MATCH(C945,Directions!$A$2:$A$100,0))</f>
        <v>-1</v>
      </c>
      <c r="R945" s="12" t="n">
        <f aca="false">IF(L945=1,P945*Q945,"")</f>
        <v>-2</v>
      </c>
      <c r="S945" s="12" t="str">
        <f aca="false">IF(L945&lt;&gt;1,"Excluded",IF(Q945=0,"No direction",IF(R945&gt;0,"Better",IF(R945&lt;0,"Worse","No change"))))</f>
        <v>Worse</v>
      </c>
      <c r="T945" s="12"/>
      <c r="U945" s="12" t="str">
        <f aca="false">C945&amp;"|"&amp;E945</f>
        <v>F10_13|CAN</v>
      </c>
    </row>
    <row r="946" customFormat="false" ht="15" hidden="false" customHeight="false" outlineLevel="0" collapsed="false">
      <c r="A946" s="12" t="n">
        <v>10</v>
      </c>
      <c r="B946" s="12" t="s">
        <v>40</v>
      </c>
      <c r="C946" s="12" t="s">
        <v>232</v>
      </c>
      <c r="D946" s="12" t="s">
        <v>233</v>
      </c>
      <c r="E946" s="12" t="s">
        <v>289</v>
      </c>
      <c r="F946" s="12" t="s">
        <v>36</v>
      </c>
      <c r="G946" s="12" t="n">
        <v>162.3</v>
      </c>
      <c r="H946" s="12" t="s">
        <v>302</v>
      </c>
      <c r="I946" s="12"/>
      <c r="J946" s="12" t="n">
        <v>3</v>
      </c>
      <c r="K946" s="12" t="s">
        <v>302</v>
      </c>
      <c r="L946" s="28" t="n">
        <v>0</v>
      </c>
      <c r="M946" s="12" t="str">
        <f aca="false">IF(L946=1,COUNTIFS($C$2:$C$1090,C946,$L$2:$L$1090,1),"")</f>
        <v/>
      </c>
      <c r="N946" s="12" t="str">
        <f aca="false">IF(L946=1,1+COUNTIFS($C$2:$C$1090,C946,$L$2:$L$1090,1,$G$2:$G$1090,"&gt;"&amp;G946),"")</f>
        <v/>
      </c>
      <c r="O946" s="12" t="str">
        <f aca="false">IF(L946=1,1+COUNTIFS($C$2:$C$1090,C946,$L$2:$L$1090,1,$H$2:$H$1090,"&gt;"&amp;H946),"")</f>
        <v/>
      </c>
      <c r="P946" s="12" t="str">
        <f aca="false">IF(L946=1,N946-O946,"")</f>
        <v/>
      </c>
      <c r="Q946" s="12" t="n">
        <f aca="false">INDEX(Directions!$D$2:$D$100,MATCH(C946,Directions!$A$2:$A$100,0))</f>
        <v>-1</v>
      </c>
      <c r="R946" s="12" t="str">
        <f aca="false">IF(L946=1,P946*Q946,"")</f>
        <v/>
      </c>
      <c r="S946" s="12" t="str">
        <f aca="false">IF(L946&lt;&gt;1,"Excluded",IF(Q946=0,"No direction",IF(R946&gt;0,"Better",IF(R946&lt;0,"Worse","No change"))))</f>
        <v>Excluded</v>
      </c>
      <c r="T946" s="12" t="s">
        <v>303</v>
      </c>
      <c r="U946" s="12" t="str">
        <f aca="false">C946&amp;"|"&amp;E946</f>
        <v>F10_13|JPN</v>
      </c>
    </row>
    <row r="947" customFormat="false" ht="15" hidden="false" customHeight="false" outlineLevel="0" collapsed="false">
      <c r="A947" s="12" t="n">
        <v>10</v>
      </c>
      <c r="B947" s="12" t="s">
        <v>40</v>
      </c>
      <c r="C947" s="12" t="s">
        <v>232</v>
      </c>
      <c r="D947" s="12" t="s">
        <v>233</v>
      </c>
      <c r="E947" s="12" t="s">
        <v>290</v>
      </c>
      <c r="F947" s="12" t="s">
        <v>37</v>
      </c>
      <c r="G947" s="12" t="n">
        <v>141.1</v>
      </c>
      <c r="H947" s="12" t="n">
        <v>140.6</v>
      </c>
      <c r="I947" s="12" t="s">
        <v>291</v>
      </c>
      <c r="J947" s="12" t="n">
        <v>5</v>
      </c>
      <c r="K947" s="12" t="n">
        <v>4</v>
      </c>
      <c r="L947" s="28" t="n">
        <v>1</v>
      </c>
      <c r="M947" s="12" t="n">
        <f aca="false">IF(L947=1,COUNTIFS($C$2:$C$1090,C947,$L$2:$L$1090,1),"")</f>
        <v>10</v>
      </c>
      <c r="N947" s="12" t="n">
        <f aca="false">IF(L947=1,1+COUNTIFS($C$2:$C$1090,C947,$L$2:$L$1090,1,$G$2:$G$1090,"&gt;"&amp;G947),"")</f>
        <v>4</v>
      </c>
      <c r="O947" s="12" t="n">
        <f aca="false">IF(L947=1,1+COUNTIFS($C$2:$C$1090,C947,$L$2:$L$1090,1,$H$2:$H$1090,"&gt;"&amp;H947),"")</f>
        <v>4</v>
      </c>
      <c r="P947" s="12" t="n">
        <f aca="false">IF(L947=1,N947-O947,"")</f>
        <v>0</v>
      </c>
      <c r="Q947" s="12" t="n">
        <f aca="false">INDEX(Directions!$D$2:$D$100,MATCH(C947,Directions!$A$2:$A$100,0))</f>
        <v>-1</v>
      </c>
      <c r="R947" s="12" t="n">
        <f aca="false">IF(L947=1,P947*Q947,"")</f>
        <v>-0</v>
      </c>
      <c r="S947" s="12" t="str">
        <f aca="false">IF(L947&lt;&gt;1,"Excluded",IF(Q947=0,"No direction",IF(R947&gt;0,"Better",IF(R947&lt;0,"Worse","No change"))))</f>
        <v>No change</v>
      </c>
      <c r="T947" s="12"/>
      <c r="U947" s="12" t="str">
        <f aca="false">C947&amp;"|"&amp;E947</f>
        <v>F10_13|AUS</v>
      </c>
    </row>
    <row r="948" customFormat="false" ht="15" hidden="false" customHeight="false" outlineLevel="0" collapsed="false">
      <c r="A948" s="12" t="n">
        <v>10</v>
      </c>
      <c r="B948" s="12" t="s">
        <v>40</v>
      </c>
      <c r="C948" s="12" t="s">
        <v>235</v>
      </c>
      <c r="D948" s="12" t="s">
        <v>236</v>
      </c>
      <c r="E948" s="12" t="s">
        <v>281</v>
      </c>
      <c r="F948" s="12" t="s">
        <v>27</v>
      </c>
      <c r="G948" s="12" t="n">
        <v>2</v>
      </c>
      <c r="H948" s="12" t="n">
        <v>1.6307</v>
      </c>
      <c r="I948" s="12" t="s">
        <v>294</v>
      </c>
      <c r="J948" s="12" t="n">
        <v>4</v>
      </c>
      <c r="K948" s="12" t="n">
        <v>4</v>
      </c>
      <c r="L948" s="28" t="n">
        <v>1</v>
      </c>
      <c r="M948" s="12" t="n">
        <f aca="false">IF(L948=1,COUNTIFS($C$2:$C$1090,C948,$L$2:$L$1090,1),"")</f>
        <v>10</v>
      </c>
      <c r="N948" s="12" t="n">
        <f aca="false">IF(L948=1,1+COUNTIFS($C$2:$C$1090,C948,$L$2:$L$1090,1,$G$2:$G$1090,"&gt;"&amp;G948),"")</f>
        <v>3</v>
      </c>
      <c r="O948" s="12" t="n">
        <f aca="false">IF(L948=1,1+COUNTIFS($C$2:$C$1090,C948,$L$2:$L$1090,1,$H$2:$H$1090,"&gt;"&amp;H948),"")</f>
        <v>4</v>
      </c>
      <c r="P948" s="12" t="n">
        <f aca="false">IF(L948=1,N948-O948,"")</f>
        <v>-1</v>
      </c>
      <c r="Q948" s="12" t="n">
        <f aca="false">INDEX(Directions!$D$2:$D$100,MATCH(C948,Directions!$A$2:$A$100,0))</f>
        <v>-1</v>
      </c>
      <c r="R948" s="12" t="n">
        <f aca="false">IF(L948=1,P948*Q948,"")</f>
        <v>1</v>
      </c>
      <c r="S948" s="12" t="str">
        <f aca="false">IF(L948&lt;&gt;1,"Excluded",IF(Q948=0,"No direction",IF(R948&gt;0,"Better",IF(R948&lt;0,"Worse","No change"))))</f>
        <v>Better</v>
      </c>
      <c r="T948" s="12" t="s">
        <v>333</v>
      </c>
      <c r="U948" s="12" t="str">
        <f aca="false">C948&amp;"|"&amp;E948</f>
        <v>F10_14|USA</v>
      </c>
    </row>
    <row r="949" customFormat="false" ht="15" hidden="false" customHeight="false" outlineLevel="0" collapsed="false">
      <c r="A949" s="12" t="n">
        <v>10</v>
      </c>
      <c r="B949" s="12" t="s">
        <v>40</v>
      </c>
      <c r="C949" s="12" t="s">
        <v>235</v>
      </c>
      <c r="D949" s="12" t="s">
        <v>236</v>
      </c>
      <c r="E949" s="12" t="s">
        <v>283</v>
      </c>
      <c r="F949" s="12" t="s">
        <v>28</v>
      </c>
      <c r="G949" s="12" t="n">
        <v>1.7</v>
      </c>
      <c r="H949" s="12" t="n">
        <v>1.1095</v>
      </c>
      <c r="I949" s="12" t="s">
        <v>291</v>
      </c>
      <c r="J949" s="12" t="n">
        <v>7</v>
      </c>
      <c r="K949" s="12" t="n">
        <v>8</v>
      </c>
      <c r="L949" s="28" t="n">
        <v>1</v>
      </c>
      <c r="M949" s="12" t="n">
        <f aca="false">IF(L949=1,COUNTIFS($C$2:$C$1090,C949,$L$2:$L$1090,1),"")</f>
        <v>10</v>
      </c>
      <c r="N949" s="12" t="n">
        <f aca="false">IF(L949=1,1+COUNTIFS($C$2:$C$1090,C949,$L$2:$L$1090,1,$G$2:$G$1090,"&gt;"&amp;G949),"")</f>
        <v>6</v>
      </c>
      <c r="O949" s="12" t="n">
        <f aca="false">IF(L949=1,1+COUNTIFS($C$2:$C$1090,C949,$L$2:$L$1090,1,$H$2:$H$1090,"&gt;"&amp;H949),"")</f>
        <v>8</v>
      </c>
      <c r="P949" s="12" t="n">
        <f aca="false">IF(L949=1,N949-O949,"")</f>
        <v>-2</v>
      </c>
      <c r="Q949" s="12" t="n">
        <f aca="false">INDEX(Directions!$D$2:$D$100,MATCH(C949,Directions!$A$2:$A$100,0))</f>
        <v>-1</v>
      </c>
      <c r="R949" s="12" t="n">
        <f aca="false">IF(L949=1,P949*Q949,"")</f>
        <v>2</v>
      </c>
      <c r="S949" s="12" t="str">
        <f aca="false">IF(L949&lt;&gt;1,"Excluded",IF(Q949=0,"No direction",IF(R949&gt;0,"Better",IF(R949&lt;0,"Worse","No change"))))</f>
        <v>Better</v>
      </c>
      <c r="T949" s="12" t="s">
        <v>333</v>
      </c>
      <c r="U949" s="12" t="str">
        <f aca="false">C949&amp;"|"&amp;E949</f>
        <v>F10_14|GBR</v>
      </c>
    </row>
    <row r="950" customFormat="false" ht="15" hidden="false" customHeight="false" outlineLevel="0" collapsed="false">
      <c r="A950" s="12" t="n">
        <v>10</v>
      </c>
      <c r="B950" s="12" t="s">
        <v>40</v>
      </c>
      <c r="C950" s="12" t="s">
        <v>235</v>
      </c>
      <c r="D950" s="12" t="s">
        <v>236</v>
      </c>
      <c r="E950" s="12" t="s">
        <v>284</v>
      </c>
      <c r="F950" s="12" t="s">
        <v>29</v>
      </c>
      <c r="G950" s="12" t="n">
        <v>2.4</v>
      </c>
      <c r="H950" s="12" t="n">
        <v>2.3013</v>
      </c>
      <c r="I950" s="12" t="s">
        <v>291</v>
      </c>
      <c r="J950" s="12" t="n">
        <v>3</v>
      </c>
      <c r="K950" s="12" t="n">
        <v>2</v>
      </c>
      <c r="L950" s="28" t="n">
        <v>1</v>
      </c>
      <c r="M950" s="12" t="n">
        <f aca="false">IF(L950=1,COUNTIFS($C$2:$C$1090,C950,$L$2:$L$1090,1),"")</f>
        <v>10</v>
      </c>
      <c r="N950" s="12" t="n">
        <f aca="false">IF(L950=1,1+COUNTIFS($C$2:$C$1090,C950,$L$2:$L$1090,1,$G$2:$G$1090,"&gt;"&amp;G950),"")</f>
        <v>2</v>
      </c>
      <c r="O950" s="12" t="n">
        <f aca="false">IF(L950=1,1+COUNTIFS($C$2:$C$1090,C950,$L$2:$L$1090,1,$H$2:$H$1090,"&gt;"&amp;H950),"")</f>
        <v>2</v>
      </c>
      <c r="P950" s="12" t="n">
        <f aca="false">IF(L950=1,N950-O950,"")</f>
        <v>0</v>
      </c>
      <c r="Q950" s="12" t="n">
        <f aca="false">INDEX(Directions!$D$2:$D$100,MATCH(C950,Directions!$A$2:$A$100,0))</f>
        <v>-1</v>
      </c>
      <c r="R950" s="12" t="n">
        <f aca="false">IF(L950=1,P950*Q950,"")</f>
        <v>-0</v>
      </c>
      <c r="S950" s="12" t="str">
        <f aca="false">IF(L950&lt;&gt;1,"Excluded",IF(Q950=0,"No direction",IF(R950&gt;0,"Better",IF(R950&lt;0,"Worse","No change"))))</f>
        <v>No change</v>
      </c>
      <c r="T950" s="12" t="s">
        <v>333</v>
      </c>
      <c r="U950" s="12" t="str">
        <f aca="false">C950&amp;"|"&amp;E950</f>
        <v>F10_14|DEU</v>
      </c>
    </row>
    <row r="951" customFormat="false" ht="15" hidden="false" customHeight="false" outlineLevel="0" collapsed="false">
      <c r="A951" s="12" t="n">
        <v>10</v>
      </c>
      <c r="B951" s="12" t="s">
        <v>40</v>
      </c>
      <c r="C951" s="12" t="s">
        <v>235</v>
      </c>
      <c r="D951" s="12" t="s">
        <v>236</v>
      </c>
      <c r="E951" s="12" t="s">
        <v>285</v>
      </c>
      <c r="F951" s="12" t="s">
        <v>30</v>
      </c>
      <c r="G951" s="12" t="n">
        <v>1.9</v>
      </c>
      <c r="H951" s="12" t="n">
        <v>1.0414</v>
      </c>
      <c r="I951" s="12" t="s">
        <v>291</v>
      </c>
      <c r="J951" s="12" t="n">
        <v>5</v>
      </c>
      <c r="K951" s="12" t="n">
        <v>9</v>
      </c>
      <c r="L951" s="28" t="n">
        <v>1</v>
      </c>
      <c r="M951" s="12" t="n">
        <f aca="false">IF(L951=1,COUNTIFS($C$2:$C$1090,C951,$L$2:$L$1090,1),"")</f>
        <v>10</v>
      </c>
      <c r="N951" s="12" t="n">
        <f aca="false">IF(L951=1,1+COUNTIFS($C$2:$C$1090,C951,$L$2:$L$1090,1,$G$2:$G$1090,"&gt;"&amp;G951),"")</f>
        <v>4</v>
      </c>
      <c r="O951" s="12" t="n">
        <f aca="false">IF(L951=1,1+COUNTIFS($C$2:$C$1090,C951,$L$2:$L$1090,1,$H$2:$H$1090,"&gt;"&amp;H951),"")</f>
        <v>9</v>
      </c>
      <c r="P951" s="12" t="n">
        <f aca="false">IF(L951=1,N951-O951,"")</f>
        <v>-5</v>
      </c>
      <c r="Q951" s="12" t="n">
        <f aca="false">INDEX(Directions!$D$2:$D$100,MATCH(C951,Directions!$A$2:$A$100,0))</f>
        <v>-1</v>
      </c>
      <c r="R951" s="12" t="n">
        <f aca="false">IF(L951=1,P951*Q951,"")</f>
        <v>5</v>
      </c>
      <c r="S951" s="12" t="str">
        <f aca="false">IF(L951&lt;&gt;1,"Excluded",IF(Q951=0,"No direction",IF(R951&gt;0,"Better",IF(R951&lt;0,"Worse","No change"))))</f>
        <v>Better</v>
      </c>
      <c r="T951" s="12" t="s">
        <v>333</v>
      </c>
      <c r="U951" s="12" t="str">
        <f aca="false">C951&amp;"|"&amp;E951</f>
        <v>F10_14|SWE</v>
      </c>
    </row>
    <row r="952" customFormat="false" ht="15" hidden="false" customHeight="false" outlineLevel="0" collapsed="false">
      <c r="A952" s="12" t="n">
        <v>10</v>
      </c>
      <c r="B952" s="12" t="s">
        <v>40</v>
      </c>
      <c r="C952" s="12" t="s">
        <v>235</v>
      </c>
      <c r="D952" s="12" t="s">
        <v>236</v>
      </c>
      <c r="E952" s="12" t="s">
        <v>286</v>
      </c>
      <c r="F952" s="12" t="s">
        <v>31</v>
      </c>
      <c r="G952" s="12" t="n">
        <v>1.2</v>
      </c>
      <c r="H952" s="12" t="n">
        <v>2.3938</v>
      </c>
      <c r="I952" s="12" t="s">
        <v>331</v>
      </c>
      <c r="J952" s="12" t="n">
        <v>9</v>
      </c>
      <c r="K952" s="12" t="n">
        <v>1</v>
      </c>
      <c r="L952" s="28" t="n">
        <v>1</v>
      </c>
      <c r="M952" s="12" t="n">
        <f aca="false">IF(L952=1,COUNTIFS($C$2:$C$1090,C952,$L$2:$L$1090,1),"")</f>
        <v>10</v>
      </c>
      <c r="N952" s="12" t="n">
        <f aca="false">IF(L952=1,1+COUNTIFS($C$2:$C$1090,C952,$L$2:$L$1090,1,$G$2:$G$1090,"&gt;"&amp;G952),"")</f>
        <v>8</v>
      </c>
      <c r="O952" s="12" t="n">
        <f aca="false">IF(L952=1,1+COUNTIFS($C$2:$C$1090,C952,$L$2:$L$1090,1,$H$2:$H$1090,"&gt;"&amp;H952),"")</f>
        <v>1</v>
      </c>
      <c r="P952" s="12" t="n">
        <f aca="false">IF(L952=1,N952-O952,"")</f>
        <v>7</v>
      </c>
      <c r="Q952" s="12" t="n">
        <f aca="false">INDEX(Directions!$D$2:$D$100,MATCH(C952,Directions!$A$2:$A$100,0))</f>
        <v>-1</v>
      </c>
      <c r="R952" s="12" t="n">
        <f aca="false">IF(L952=1,P952*Q952,"")</f>
        <v>-7</v>
      </c>
      <c r="S952" s="12" t="str">
        <f aca="false">IF(L952&lt;&gt;1,"Excluded",IF(Q952=0,"No direction",IF(R952&gt;0,"Better",IF(R952&lt;0,"Worse","No change"))))</f>
        <v>Worse</v>
      </c>
      <c r="T952" s="12" t="s">
        <v>333</v>
      </c>
      <c r="U952" s="12" t="str">
        <f aca="false">C952&amp;"|"&amp;E952</f>
        <v>F10_14|FRA</v>
      </c>
    </row>
    <row r="953" customFormat="false" ht="15" hidden="false" customHeight="false" outlineLevel="0" collapsed="false">
      <c r="A953" s="12" t="n">
        <v>10</v>
      </c>
      <c r="B953" s="12" t="s">
        <v>40</v>
      </c>
      <c r="C953" s="12" t="s">
        <v>235</v>
      </c>
      <c r="D953" s="12" t="s">
        <v>236</v>
      </c>
      <c r="E953" s="12" t="s">
        <v>32</v>
      </c>
      <c r="F953" s="12" t="s">
        <v>32</v>
      </c>
      <c r="G953" s="12" t="n">
        <v>1.2</v>
      </c>
      <c r="H953" s="12" t="n">
        <v>0.846</v>
      </c>
      <c r="I953" s="12" t="s">
        <v>291</v>
      </c>
      <c r="J953" s="12" t="n">
        <v>10</v>
      </c>
      <c r="K953" s="12" t="n">
        <v>10</v>
      </c>
      <c r="L953" s="28" t="n">
        <v>1</v>
      </c>
      <c r="M953" s="12" t="n">
        <f aca="false">IF(L953=1,COUNTIFS($C$2:$C$1090,C953,$L$2:$L$1090,1),"")</f>
        <v>10</v>
      </c>
      <c r="N953" s="12" t="n">
        <f aca="false">IF(L953=1,1+COUNTIFS($C$2:$C$1090,C953,$L$2:$L$1090,1,$G$2:$G$1090,"&gt;"&amp;G953),"")</f>
        <v>8</v>
      </c>
      <c r="O953" s="12" t="n">
        <f aca="false">IF(L953=1,1+COUNTIFS($C$2:$C$1090,C953,$L$2:$L$1090,1,$H$2:$H$1090,"&gt;"&amp;H953),"")</f>
        <v>10</v>
      </c>
      <c r="P953" s="12" t="n">
        <f aca="false">IF(L953=1,N953-O953,"")</f>
        <v>-2</v>
      </c>
      <c r="Q953" s="12" t="n">
        <f aca="false">INDEX(Directions!$D$2:$D$100,MATCH(C953,Directions!$A$2:$A$100,0))</f>
        <v>-1</v>
      </c>
      <c r="R953" s="12" t="n">
        <f aca="false">IF(L953=1,P953*Q953,"")</f>
        <v>2</v>
      </c>
      <c r="S953" s="12" t="str">
        <f aca="false">IF(L953&lt;&gt;1,"Excluded",IF(Q953=0,"No direction",IF(R953&gt;0,"Better",IF(R953&lt;0,"Worse","No change"))))</f>
        <v>Better</v>
      </c>
      <c r="T953" s="12" t="s">
        <v>333</v>
      </c>
      <c r="U953" s="12" t="str">
        <f aca="false">C953&amp;"|"&amp;E953</f>
        <v>F10_14|NLD</v>
      </c>
    </row>
    <row r="954" customFormat="false" ht="15" hidden="false" customHeight="false" outlineLevel="0" collapsed="false">
      <c r="A954" s="12" t="n">
        <v>10</v>
      </c>
      <c r="B954" s="12" t="s">
        <v>40</v>
      </c>
      <c r="C954" s="12" t="s">
        <v>235</v>
      </c>
      <c r="D954" s="12" t="s">
        <v>236</v>
      </c>
      <c r="E954" s="12" t="s">
        <v>33</v>
      </c>
      <c r="F954" s="12" t="s">
        <v>33</v>
      </c>
      <c r="G954" s="12" t="n">
        <v>1.2</v>
      </c>
      <c r="H954" s="12" t="n">
        <v>1.5585</v>
      </c>
      <c r="I954" s="12" t="s">
        <v>291</v>
      </c>
      <c r="J954" s="12" t="n">
        <v>11</v>
      </c>
      <c r="K954" s="12" t="n">
        <v>5</v>
      </c>
      <c r="L954" s="28" t="n">
        <v>1</v>
      </c>
      <c r="M954" s="12" t="n">
        <f aca="false">IF(L954=1,COUNTIFS($C$2:$C$1090,C954,$L$2:$L$1090,1),"")</f>
        <v>10</v>
      </c>
      <c r="N954" s="12" t="n">
        <f aca="false">IF(L954=1,1+COUNTIFS($C$2:$C$1090,C954,$L$2:$L$1090,1,$G$2:$G$1090,"&gt;"&amp;G954),"")</f>
        <v>8</v>
      </c>
      <c r="O954" s="12" t="n">
        <f aca="false">IF(L954=1,1+COUNTIFS($C$2:$C$1090,C954,$L$2:$L$1090,1,$H$2:$H$1090,"&gt;"&amp;H954),"")</f>
        <v>5</v>
      </c>
      <c r="P954" s="12" t="n">
        <f aca="false">IF(L954=1,N954-O954,"")</f>
        <v>3</v>
      </c>
      <c r="Q954" s="12" t="n">
        <f aca="false">INDEX(Directions!$D$2:$D$100,MATCH(C954,Directions!$A$2:$A$100,0))</f>
        <v>-1</v>
      </c>
      <c r="R954" s="12" t="n">
        <f aca="false">IF(L954=1,P954*Q954,"")</f>
        <v>-3</v>
      </c>
      <c r="S954" s="12" t="str">
        <f aca="false">IF(L954&lt;&gt;1,"Excluded",IF(Q954=0,"No direction",IF(R954&gt;0,"Better",IF(R954&lt;0,"Worse","No change"))))</f>
        <v>Worse</v>
      </c>
      <c r="T954" s="12" t="s">
        <v>333</v>
      </c>
      <c r="U954" s="12" t="str">
        <f aca="false">C954&amp;"|"&amp;E954</f>
        <v>F10_14|CHE</v>
      </c>
    </row>
    <row r="955" customFormat="false" ht="15" hidden="false" customHeight="false" outlineLevel="0" collapsed="false">
      <c r="A955" s="12" t="n">
        <v>10</v>
      </c>
      <c r="B955" s="12" t="s">
        <v>40</v>
      </c>
      <c r="C955" s="12" t="s">
        <v>235</v>
      </c>
      <c r="D955" s="12" t="s">
        <v>236</v>
      </c>
      <c r="E955" s="12" t="s">
        <v>287</v>
      </c>
      <c r="F955" s="12" t="s">
        <v>34</v>
      </c>
      <c r="G955" s="12" t="n">
        <v>1.8</v>
      </c>
      <c r="H955" s="12" t="n">
        <v>1.3469</v>
      </c>
      <c r="I955" s="12" t="s">
        <v>293</v>
      </c>
      <c r="J955" s="12" t="n">
        <v>6</v>
      </c>
      <c r="K955" s="12" t="n">
        <v>6</v>
      </c>
      <c r="L955" s="28" t="n">
        <v>1</v>
      </c>
      <c r="M955" s="12" t="n">
        <f aca="false">IF(L955=1,COUNTIFS($C$2:$C$1090,C955,$L$2:$L$1090,1),"")</f>
        <v>10</v>
      </c>
      <c r="N955" s="12" t="n">
        <f aca="false">IF(L955=1,1+COUNTIFS($C$2:$C$1090,C955,$L$2:$L$1090,1,$G$2:$G$1090,"&gt;"&amp;G955),"")</f>
        <v>5</v>
      </c>
      <c r="O955" s="12" t="n">
        <f aca="false">IF(L955=1,1+COUNTIFS($C$2:$C$1090,C955,$L$2:$L$1090,1,$H$2:$H$1090,"&gt;"&amp;H955),"")</f>
        <v>6</v>
      </c>
      <c r="P955" s="12" t="n">
        <f aca="false">IF(L955=1,N955-O955,"")</f>
        <v>-1</v>
      </c>
      <c r="Q955" s="12" t="n">
        <f aca="false">INDEX(Directions!$D$2:$D$100,MATCH(C955,Directions!$A$2:$A$100,0))</f>
        <v>-1</v>
      </c>
      <c r="R955" s="12" t="n">
        <f aca="false">IF(L955=1,P955*Q955,"")</f>
        <v>1</v>
      </c>
      <c r="S955" s="12" t="str">
        <f aca="false">IF(L955&lt;&gt;1,"Excluded",IF(Q955=0,"No direction",IF(R955&gt;0,"Better",IF(R955&lt;0,"Worse","No change"))))</f>
        <v>Better</v>
      </c>
      <c r="T955" s="12" t="s">
        <v>333</v>
      </c>
      <c r="U955" s="12" t="str">
        <f aca="false">C955&amp;"|"&amp;E955</f>
        <v>F10_14|DNK</v>
      </c>
    </row>
    <row r="956" customFormat="false" ht="15" hidden="false" customHeight="false" outlineLevel="0" collapsed="false">
      <c r="A956" s="12" t="n">
        <v>10</v>
      </c>
      <c r="B956" s="12" t="s">
        <v>40</v>
      </c>
      <c r="C956" s="12" t="s">
        <v>235</v>
      </c>
      <c r="D956" s="12" t="s">
        <v>236</v>
      </c>
      <c r="E956" s="12" t="s">
        <v>288</v>
      </c>
      <c r="F956" s="12" t="s">
        <v>35</v>
      </c>
      <c r="G956" s="12" t="n">
        <v>1.3</v>
      </c>
      <c r="H956" s="12" t="n">
        <v>1.2117</v>
      </c>
      <c r="I956" s="12" t="s">
        <v>291</v>
      </c>
      <c r="J956" s="12" t="n">
        <v>8</v>
      </c>
      <c r="K956" s="12" t="n">
        <v>7</v>
      </c>
      <c r="L956" s="28" t="n">
        <v>1</v>
      </c>
      <c r="M956" s="12" t="n">
        <f aca="false">IF(L956=1,COUNTIFS($C$2:$C$1090,C956,$L$2:$L$1090,1),"")</f>
        <v>10</v>
      </c>
      <c r="N956" s="12" t="n">
        <f aca="false">IF(L956=1,1+COUNTIFS($C$2:$C$1090,C956,$L$2:$L$1090,1,$G$2:$G$1090,"&gt;"&amp;G956),"")</f>
        <v>7</v>
      </c>
      <c r="O956" s="12" t="n">
        <f aca="false">IF(L956=1,1+COUNTIFS($C$2:$C$1090,C956,$L$2:$L$1090,1,$H$2:$H$1090,"&gt;"&amp;H956),"")</f>
        <v>7</v>
      </c>
      <c r="P956" s="12" t="n">
        <f aca="false">IF(L956=1,N956-O956,"")</f>
        <v>0</v>
      </c>
      <c r="Q956" s="12" t="n">
        <f aca="false">INDEX(Directions!$D$2:$D$100,MATCH(C956,Directions!$A$2:$A$100,0))</f>
        <v>-1</v>
      </c>
      <c r="R956" s="12" t="n">
        <f aca="false">IF(L956=1,P956*Q956,"")</f>
        <v>-0</v>
      </c>
      <c r="S956" s="12" t="str">
        <f aca="false">IF(L956&lt;&gt;1,"Excluded",IF(Q956=0,"No direction",IF(R956&gt;0,"Better",IF(R956&lt;0,"Worse","No change"))))</f>
        <v>No change</v>
      </c>
      <c r="T956" s="12" t="s">
        <v>333</v>
      </c>
      <c r="U956" s="12" t="str">
        <f aca="false">C956&amp;"|"&amp;E956</f>
        <v>F10_14|CAN</v>
      </c>
    </row>
    <row r="957" customFormat="false" ht="15" hidden="false" customHeight="false" outlineLevel="0" collapsed="false">
      <c r="A957" s="12" t="n">
        <v>10</v>
      </c>
      <c r="B957" s="12" t="s">
        <v>40</v>
      </c>
      <c r="C957" s="12" t="s">
        <v>235</v>
      </c>
      <c r="D957" s="12" t="s">
        <v>236</v>
      </c>
      <c r="E957" s="12" t="s">
        <v>289</v>
      </c>
      <c r="F957" s="12" t="s">
        <v>36</v>
      </c>
      <c r="G957" s="12" t="n">
        <v>2.8</v>
      </c>
      <c r="H957" s="12" t="s">
        <v>302</v>
      </c>
      <c r="I957" s="12"/>
      <c r="J957" s="12" t="n">
        <v>1</v>
      </c>
      <c r="K957" s="12" t="s">
        <v>302</v>
      </c>
      <c r="L957" s="28" t="n">
        <v>0</v>
      </c>
      <c r="M957" s="12" t="str">
        <f aca="false">IF(L957=1,COUNTIFS($C$2:$C$1090,C957,$L$2:$L$1090,1),"")</f>
        <v/>
      </c>
      <c r="N957" s="12" t="str">
        <f aca="false">IF(L957=1,1+COUNTIFS($C$2:$C$1090,C957,$L$2:$L$1090,1,$G$2:$G$1090,"&gt;"&amp;G957),"")</f>
        <v/>
      </c>
      <c r="O957" s="12" t="str">
        <f aca="false">IF(L957=1,1+COUNTIFS($C$2:$C$1090,C957,$L$2:$L$1090,1,$H$2:$H$1090,"&gt;"&amp;H957),"")</f>
        <v/>
      </c>
      <c r="P957" s="12" t="str">
        <f aca="false">IF(L957=1,N957-O957,"")</f>
        <v/>
      </c>
      <c r="Q957" s="12" t="n">
        <f aca="false">INDEX(Directions!$D$2:$D$100,MATCH(C957,Directions!$A$2:$A$100,0))</f>
        <v>-1</v>
      </c>
      <c r="R957" s="12" t="str">
        <f aca="false">IF(L957=1,P957*Q957,"")</f>
        <v/>
      </c>
      <c r="S957" s="12" t="str">
        <f aca="false">IF(L957&lt;&gt;1,"Excluded",IF(Q957=0,"No direction",IF(R957&gt;0,"Better",IF(R957&lt;0,"Worse","No change"))))</f>
        <v>Excluded</v>
      </c>
      <c r="T957" s="12" t="s">
        <v>303</v>
      </c>
      <c r="U957" s="12" t="str">
        <f aca="false">C957&amp;"|"&amp;E957</f>
        <v>F10_14|JPN</v>
      </c>
    </row>
    <row r="958" customFormat="false" ht="15" hidden="false" customHeight="false" outlineLevel="0" collapsed="false">
      <c r="A958" s="12" t="n">
        <v>10</v>
      </c>
      <c r="B958" s="12" t="s">
        <v>40</v>
      </c>
      <c r="C958" s="12" t="s">
        <v>235</v>
      </c>
      <c r="D958" s="12" t="s">
        <v>236</v>
      </c>
      <c r="E958" s="12" t="s">
        <v>290</v>
      </c>
      <c r="F958" s="12" t="s">
        <v>37</v>
      </c>
      <c r="G958" s="12" t="n">
        <v>2.8</v>
      </c>
      <c r="H958" s="12" t="n">
        <v>1.9</v>
      </c>
      <c r="I958" s="12" t="s">
        <v>291</v>
      </c>
      <c r="J958" s="12" t="n">
        <v>2</v>
      </c>
      <c r="K958" s="12" t="n">
        <v>3</v>
      </c>
      <c r="L958" s="28" t="n">
        <v>1</v>
      </c>
      <c r="M958" s="12" t="n">
        <f aca="false">IF(L958=1,COUNTIFS($C$2:$C$1090,C958,$L$2:$L$1090,1),"")</f>
        <v>10</v>
      </c>
      <c r="N958" s="12" t="n">
        <f aca="false">IF(L958=1,1+COUNTIFS($C$2:$C$1090,C958,$L$2:$L$1090,1,$G$2:$G$1090,"&gt;"&amp;G958),"")</f>
        <v>1</v>
      </c>
      <c r="O958" s="12" t="n">
        <f aca="false">IF(L958=1,1+COUNTIFS($C$2:$C$1090,C958,$L$2:$L$1090,1,$H$2:$H$1090,"&gt;"&amp;H958),"")</f>
        <v>3</v>
      </c>
      <c r="P958" s="12" t="n">
        <f aca="false">IF(L958=1,N958-O958,"")</f>
        <v>-2</v>
      </c>
      <c r="Q958" s="12" t="n">
        <f aca="false">INDEX(Directions!$D$2:$D$100,MATCH(C958,Directions!$A$2:$A$100,0))</f>
        <v>-1</v>
      </c>
      <c r="R958" s="12" t="n">
        <f aca="false">IF(L958=1,P958*Q958,"")</f>
        <v>2</v>
      </c>
      <c r="S958" s="12" t="str">
        <f aca="false">IF(L958&lt;&gt;1,"Excluded",IF(Q958=0,"No direction",IF(R958&gt;0,"Better",IF(R958&lt;0,"Worse","No change"))))</f>
        <v>Better</v>
      </c>
      <c r="T958" s="12" t="s">
        <v>333</v>
      </c>
      <c r="U958" s="12" t="str">
        <f aca="false">C958&amp;"|"&amp;E958</f>
        <v>F10_14|AUS</v>
      </c>
    </row>
    <row r="959" customFormat="false" ht="15" hidden="false" customHeight="false" outlineLevel="0" collapsed="false">
      <c r="A959" s="12" t="n">
        <v>10</v>
      </c>
      <c r="B959" s="12" t="s">
        <v>40</v>
      </c>
      <c r="C959" s="12" t="s">
        <v>237</v>
      </c>
      <c r="D959" s="12" t="s">
        <v>238</v>
      </c>
      <c r="E959" s="12" t="s">
        <v>281</v>
      </c>
      <c r="F959" s="12" t="s">
        <v>27</v>
      </c>
      <c r="G959" s="12" t="n">
        <v>89.7</v>
      </c>
      <c r="H959" s="12" t="n">
        <v>22.4</v>
      </c>
      <c r="I959" s="12" t="s">
        <v>294</v>
      </c>
      <c r="J959" s="12" t="n">
        <v>1</v>
      </c>
      <c r="K959" s="12" t="n">
        <v>8</v>
      </c>
      <c r="L959" s="28" t="n">
        <v>1</v>
      </c>
      <c r="M959" s="12" t="n">
        <f aca="false">IF(L959=1,COUNTIFS($C$2:$C$1090,C959,$L$2:$L$1090,1),"")</f>
        <v>10</v>
      </c>
      <c r="N959" s="12" t="n">
        <f aca="false">IF(L959=1,1+COUNTIFS($C$2:$C$1090,C959,$L$2:$L$1090,1,$G$2:$G$1090,"&gt;"&amp;G959),"")</f>
        <v>1</v>
      </c>
      <c r="O959" s="12" t="n">
        <f aca="false">IF(L959=1,1+COUNTIFS($C$2:$C$1090,C959,$L$2:$L$1090,1,$H$2:$H$1090,"&gt;"&amp;H959),"")</f>
        <v>8</v>
      </c>
      <c r="P959" s="12" t="n">
        <f aca="false">IF(L959=1,N959-O959,"")</f>
        <v>-7</v>
      </c>
      <c r="Q959" s="12" t="n">
        <f aca="false">INDEX(Directions!$D$2:$D$100,MATCH(C959,Directions!$A$2:$A$100,0))</f>
        <v>-1</v>
      </c>
      <c r="R959" s="12" t="n">
        <f aca="false">IF(L959=1,P959*Q959,"")</f>
        <v>7</v>
      </c>
      <c r="S959" s="12" t="str">
        <f aca="false">IF(L959&lt;&gt;1,"Excluded",IF(Q959=0,"No direction",IF(R959&gt;0,"Better",IF(R959&lt;0,"Worse","No change"))))</f>
        <v>Better</v>
      </c>
      <c r="T959" s="12" t="s">
        <v>332</v>
      </c>
      <c r="U959" s="12" t="str">
        <f aca="false">C959&amp;"|"&amp;E959</f>
        <v>F10_15|USA</v>
      </c>
    </row>
    <row r="960" customFormat="false" ht="15" hidden="false" customHeight="false" outlineLevel="0" collapsed="false">
      <c r="A960" s="12" t="n">
        <v>10</v>
      </c>
      <c r="B960" s="12" t="s">
        <v>40</v>
      </c>
      <c r="C960" s="12" t="s">
        <v>237</v>
      </c>
      <c r="D960" s="12" t="s">
        <v>238</v>
      </c>
      <c r="E960" s="12" t="s">
        <v>283</v>
      </c>
      <c r="F960" s="12" t="s">
        <v>28</v>
      </c>
      <c r="G960" s="12" t="n">
        <v>71</v>
      </c>
      <c r="H960" s="12" t="n">
        <v>60.5</v>
      </c>
      <c r="I960" s="12" t="s">
        <v>291</v>
      </c>
      <c r="J960" s="12" t="n">
        <v>2</v>
      </c>
      <c r="K960" s="12" t="n">
        <v>1</v>
      </c>
      <c r="L960" s="28" t="n">
        <v>1</v>
      </c>
      <c r="M960" s="12" t="n">
        <f aca="false">IF(L960=1,COUNTIFS($C$2:$C$1090,C960,$L$2:$L$1090,1),"")</f>
        <v>10</v>
      </c>
      <c r="N960" s="12" t="n">
        <f aca="false">IF(L960=1,1+COUNTIFS($C$2:$C$1090,C960,$L$2:$L$1090,1,$G$2:$G$1090,"&gt;"&amp;G960),"")</f>
        <v>2</v>
      </c>
      <c r="O960" s="12" t="n">
        <f aca="false">IF(L960=1,1+COUNTIFS($C$2:$C$1090,C960,$L$2:$L$1090,1,$H$2:$H$1090,"&gt;"&amp;H960),"")</f>
        <v>1</v>
      </c>
      <c r="P960" s="12" t="n">
        <f aca="false">IF(L960=1,N960-O960,"")</f>
        <v>1</v>
      </c>
      <c r="Q960" s="12" t="n">
        <f aca="false">INDEX(Directions!$D$2:$D$100,MATCH(C960,Directions!$A$2:$A$100,0))</f>
        <v>-1</v>
      </c>
      <c r="R960" s="12" t="n">
        <f aca="false">IF(L960=1,P960*Q960,"")</f>
        <v>-1</v>
      </c>
      <c r="S960" s="12" t="str">
        <f aca="false">IF(L960&lt;&gt;1,"Excluded",IF(Q960=0,"No direction",IF(R960&gt;0,"Better",IF(R960&lt;0,"Worse","No change"))))</f>
        <v>Worse</v>
      </c>
      <c r="T960" s="12"/>
      <c r="U960" s="12" t="str">
        <f aca="false">C960&amp;"|"&amp;E960</f>
        <v>F10_15|GBR</v>
      </c>
    </row>
    <row r="961" customFormat="false" ht="15" hidden="false" customHeight="false" outlineLevel="0" collapsed="false">
      <c r="A961" s="12" t="n">
        <v>10</v>
      </c>
      <c r="B961" s="12" t="s">
        <v>40</v>
      </c>
      <c r="C961" s="12" t="s">
        <v>237</v>
      </c>
      <c r="D961" s="12" t="s">
        <v>238</v>
      </c>
      <c r="E961" s="12" t="s">
        <v>284</v>
      </c>
      <c r="F961" s="12" t="s">
        <v>29</v>
      </c>
      <c r="G961" s="12" t="n">
        <v>28.7</v>
      </c>
      <c r="H961" s="12" t="n">
        <v>27.2</v>
      </c>
      <c r="I961" s="12" t="s">
        <v>291</v>
      </c>
      <c r="J961" s="12" t="n">
        <v>8</v>
      </c>
      <c r="K961" s="12" t="n">
        <v>5</v>
      </c>
      <c r="L961" s="28" t="n">
        <v>1</v>
      </c>
      <c r="M961" s="12" t="n">
        <f aca="false">IF(L961=1,COUNTIFS($C$2:$C$1090,C961,$L$2:$L$1090,1),"")</f>
        <v>10</v>
      </c>
      <c r="N961" s="12" t="n">
        <f aca="false">IF(L961=1,1+COUNTIFS($C$2:$C$1090,C961,$L$2:$L$1090,1,$G$2:$G$1090,"&gt;"&amp;G961),"")</f>
        <v>7</v>
      </c>
      <c r="O961" s="12" t="n">
        <f aca="false">IF(L961=1,1+COUNTIFS($C$2:$C$1090,C961,$L$2:$L$1090,1,$H$2:$H$1090,"&gt;"&amp;H961),"")</f>
        <v>5</v>
      </c>
      <c r="P961" s="12" t="n">
        <f aca="false">IF(L961=1,N961-O961,"")</f>
        <v>2</v>
      </c>
      <c r="Q961" s="12" t="n">
        <f aca="false">INDEX(Directions!$D$2:$D$100,MATCH(C961,Directions!$A$2:$A$100,0))</f>
        <v>-1</v>
      </c>
      <c r="R961" s="12" t="n">
        <f aca="false">IF(L961=1,P961*Q961,"")</f>
        <v>-2</v>
      </c>
      <c r="S961" s="12" t="str">
        <f aca="false">IF(L961&lt;&gt;1,"Excluded",IF(Q961=0,"No direction",IF(R961&gt;0,"Better",IF(R961&lt;0,"Worse","No change"))))</f>
        <v>Worse</v>
      </c>
      <c r="T961" s="12"/>
      <c r="U961" s="12" t="str">
        <f aca="false">C961&amp;"|"&amp;E961</f>
        <v>F10_15|DEU</v>
      </c>
    </row>
    <row r="962" customFormat="false" ht="15" hidden="false" customHeight="false" outlineLevel="0" collapsed="false">
      <c r="A962" s="12" t="n">
        <v>10</v>
      </c>
      <c r="B962" s="12" t="s">
        <v>40</v>
      </c>
      <c r="C962" s="12" t="s">
        <v>237</v>
      </c>
      <c r="D962" s="12" t="s">
        <v>238</v>
      </c>
      <c r="E962" s="12" t="s">
        <v>285</v>
      </c>
      <c r="F962" s="12" t="s">
        <v>30</v>
      </c>
      <c r="G962" s="12" t="n">
        <v>19</v>
      </c>
      <c r="H962" s="12" t="n">
        <v>11.6</v>
      </c>
      <c r="I962" s="12" t="s">
        <v>291</v>
      </c>
      <c r="J962" s="12" t="n">
        <v>10</v>
      </c>
      <c r="K962" s="12" t="n">
        <v>9</v>
      </c>
      <c r="L962" s="28" t="n">
        <v>1</v>
      </c>
      <c r="M962" s="12" t="n">
        <f aca="false">IF(L962=1,COUNTIFS($C$2:$C$1090,C962,$L$2:$L$1090,1),"")</f>
        <v>10</v>
      </c>
      <c r="N962" s="12" t="n">
        <f aca="false">IF(L962=1,1+COUNTIFS($C$2:$C$1090,C962,$L$2:$L$1090,1,$G$2:$G$1090,"&gt;"&amp;G962),"")</f>
        <v>9</v>
      </c>
      <c r="O962" s="12" t="n">
        <f aca="false">IF(L962=1,1+COUNTIFS($C$2:$C$1090,C962,$L$2:$L$1090,1,$H$2:$H$1090,"&gt;"&amp;H962),"")</f>
        <v>9</v>
      </c>
      <c r="P962" s="12" t="n">
        <f aca="false">IF(L962=1,N962-O962,"")</f>
        <v>0</v>
      </c>
      <c r="Q962" s="12" t="n">
        <f aca="false">INDEX(Directions!$D$2:$D$100,MATCH(C962,Directions!$A$2:$A$100,0))</f>
        <v>-1</v>
      </c>
      <c r="R962" s="12" t="n">
        <f aca="false">IF(L962=1,P962*Q962,"")</f>
        <v>-0</v>
      </c>
      <c r="S962" s="12" t="str">
        <f aca="false">IF(L962&lt;&gt;1,"Excluded",IF(Q962=0,"No direction",IF(R962&gt;0,"Better",IF(R962&lt;0,"Worse","No change"))))</f>
        <v>No change</v>
      </c>
      <c r="T962" s="12"/>
      <c r="U962" s="12" t="str">
        <f aca="false">C962&amp;"|"&amp;E962</f>
        <v>F10_15|SWE</v>
      </c>
    </row>
    <row r="963" customFormat="false" ht="15" hidden="false" customHeight="false" outlineLevel="0" collapsed="false">
      <c r="A963" s="12" t="n">
        <v>10</v>
      </c>
      <c r="B963" s="12" t="s">
        <v>40</v>
      </c>
      <c r="C963" s="12" t="s">
        <v>237</v>
      </c>
      <c r="D963" s="12" t="s">
        <v>238</v>
      </c>
      <c r="E963" s="12" t="s">
        <v>286</v>
      </c>
      <c r="F963" s="12" t="s">
        <v>31</v>
      </c>
      <c r="G963" s="12" t="n">
        <v>29.6</v>
      </c>
      <c r="H963" s="12" t="n">
        <v>29.8</v>
      </c>
      <c r="I963" s="12" t="s">
        <v>331</v>
      </c>
      <c r="J963" s="12" t="n">
        <v>7</v>
      </c>
      <c r="K963" s="12" t="n">
        <v>4</v>
      </c>
      <c r="L963" s="28" t="n">
        <v>1</v>
      </c>
      <c r="M963" s="12" t="n">
        <f aca="false">IF(L963=1,COUNTIFS($C$2:$C$1090,C963,$L$2:$L$1090,1),"")</f>
        <v>10</v>
      </c>
      <c r="N963" s="12" t="n">
        <f aca="false">IF(L963=1,1+COUNTIFS($C$2:$C$1090,C963,$L$2:$L$1090,1,$G$2:$G$1090,"&gt;"&amp;G963),"")</f>
        <v>6</v>
      </c>
      <c r="O963" s="12" t="n">
        <f aca="false">IF(L963=1,1+COUNTIFS($C$2:$C$1090,C963,$L$2:$L$1090,1,$H$2:$H$1090,"&gt;"&amp;H963),"")</f>
        <v>4</v>
      </c>
      <c r="P963" s="12" t="n">
        <f aca="false">IF(L963=1,N963-O963,"")</f>
        <v>2</v>
      </c>
      <c r="Q963" s="12" t="n">
        <f aca="false">INDEX(Directions!$D$2:$D$100,MATCH(C963,Directions!$A$2:$A$100,0))</f>
        <v>-1</v>
      </c>
      <c r="R963" s="12" t="n">
        <f aca="false">IF(L963=1,P963*Q963,"")</f>
        <v>-2</v>
      </c>
      <c r="S963" s="12" t="str">
        <f aca="false">IF(L963&lt;&gt;1,"Excluded",IF(Q963=0,"No direction",IF(R963&gt;0,"Better",IF(R963&lt;0,"Worse","No change"))))</f>
        <v>Worse</v>
      </c>
      <c r="T963" s="12"/>
      <c r="U963" s="12" t="str">
        <f aca="false">C963&amp;"|"&amp;E963</f>
        <v>F10_15|FRA</v>
      </c>
    </row>
    <row r="964" customFormat="false" ht="15" hidden="false" customHeight="false" outlineLevel="0" collapsed="false">
      <c r="A964" s="12" t="n">
        <v>10</v>
      </c>
      <c r="B964" s="12" t="s">
        <v>40</v>
      </c>
      <c r="C964" s="12" t="s">
        <v>237</v>
      </c>
      <c r="D964" s="12" t="s">
        <v>238</v>
      </c>
      <c r="E964" s="12" t="s">
        <v>32</v>
      </c>
      <c r="F964" s="12" t="s">
        <v>32</v>
      </c>
      <c r="G964" s="12" t="n">
        <v>36</v>
      </c>
      <c r="H964" s="12" t="n">
        <v>25.1</v>
      </c>
      <c r="I964" s="12" t="s">
        <v>291</v>
      </c>
      <c r="J964" s="12" t="n">
        <v>5</v>
      </c>
      <c r="K964" s="12" t="n">
        <v>6</v>
      </c>
      <c r="L964" s="28" t="n">
        <v>1</v>
      </c>
      <c r="M964" s="12" t="n">
        <f aca="false">IF(L964=1,COUNTIFS($C$2:$C$1090,C964,$L$2:$L$1090,1),"")</f>
        <v>10</v>
      </c>
      <c r="N964" s="12" t="n">
        <f aca="false">IF(L964=1,1+COUNTIFS($C$2:$C$1090,C964,$L$2:$L$1090,1,$G$2:$G$1090,"&gt;"&amp;G964),"")</f>
        <v>5</v>
      </c>
      <c r="O964" s="12" t="n">
        <f aca="false">IF(L964=1,1+COUNTIFS($C$2:$C$1090,C964,$L$2:$L$1090,1,$H$2:$H$1090,"&gt;"&amp;H964),"")</f>
        <v>6</v>
      </c>
      <c r="P964" s="12" t="n">
        <f aca="false">IF(L964=1,N964-O964,"")</f>
        <v>-1</v>
      </c>
      <c r="Q964" s="12" t="n">
        <f aca="false">INDEX(Directions!$D$2:$D$100,MATCH(C964,Directions!$A$2:$A$100,0))</f>
        <v>-1</v>
      </c>
      <c r="R964" s="12" t="n">
        <f aca="false">IF(L964=1,P964*Q964,"")</f>
        <v>1</v>
      </c>
      <c r="S964" s="12" t="str">
        <f aca="false">IF(L964&lt;&gt;1,"Excluded",IF(Q964=0,"No direction",IF(R964&gt;0,"Better",IF(R964&lt;0,"Worse","No change"))))</f>
        <v>Better</v>
      </c>
      <c r="T964" s="12"/>
      <c r="U964" s="12" t="str">
        <f aca="false">C964&amp;"|"&amp;E964</f>
        <v>F10_15|NLD</v>
      </c>
    </row>
    <row r="965" customFormat="false" ht="15" hidden="false" customHeight="false" outlineLevel="0" collapsed="false">
      <c r="A965" s="12" t="n">
        <v>10</v>
      </c>
      <c r="B965" s="12" t="s">
        <v>40</v>
      </c>
      <c r="C965" s="12" t="s">
        <v>237</v>
      </c>
      <c r="D965" s="12" t="s">
        <v>238</v>
      </c>
      <c r="E965" s="12" t="s">
        <v>33</v>
      </c>
      <c r="F965" s="12" t="s">
        <v>33</v>
      </c>
      <c r="G965" s="12" t="n">
        <v>27.5</v>
      </c>
      <c r="H965" s="12" t="n">
        <v>23</v>
      </c>
      <c r="I965" s="12" t="s">
        <v>291</v>
      </c>
      <c r="J965" s="12" t="n">
        <v>9</v>
      </c>
      <c r="K965" s="12" t="n">
        <v>7</v>
      </c>
      <c r="L965" s="28" t="n">
        <v>1</v>
      </c>
      <c r="M965" s="12" t="n">
        <f aca="false">IF(L965=1,COUNTIFS($C$2:$C$1090,C965,$L$2:$L$1090,1),"")</f>
        <v>10</v>
      </c>
      <c r="N965" s="12" t="n">
        <f aca="false">IF(L965=1,1+COUNTIFS($C$2:$C$1090,C965,$L$2:$L$1090,1,$G$2:$G$1090,"&gt;"&amp;G965),"")</f>
        <v>8</v>
      </c>
      <c r="O965" s="12" t="n">
        <f aca="false">IF(L965=1,1+COUNTIFS($C$2:$C$1090,C965,$L$2:$L$1090,1,$H$2:$H$1090,"&gt;"&amp;H965),"")</f>
        <v>7</v>
      </c>
      <c r="P965" s="12" t="n">
        <f aca="false">IF(L965=1,N965-O965,"")</f>
        <v>1</v>
      </c>
      <c r="Q965" s="12" t="n">
        <f aca="false">INDEX(Directions!$D$2:$D$100,MATCH(C965,Directions!$A$2:$A$100,0))</f>
        <v>-1</v>
      </c>
      <c r="R965" s="12" t="n">
        <f aca="false">IF(L965=1,P965*Q965,"")</f>
        <v>-1</v>
      </c>
      <c r="S965" s="12" t="str">
        <f aca="false">IF(L965&lt;&gt;1,"Excluded",IF(Q965=0,"No direction",IF(R965&gt;0,"Better",IF(R965&lt;0,"Worse","No change"))))</f>
        <v>Worse</v>
      </c>
      <c r="T965" s="12"/>
      <c r="U965" s="12" t="str">
        <f aca="false">C965&amp;"|"&amp;E965</f>
        <v>F10_15|CHE</v>
      </c>
    </row>
    <row r="966" customFormat="false" ht="15" hidden="false" customHeight="false" outlineLevel="0" collapsed="false">
      <c r="A966" s="12" t="n">
        <v>10</v>
      </c>
      <c r="B966" s="12" t="s">
        <v>40</v>
      </c>
      <c r="C966" s="12" t="s">
        <v>237</v>
      </c>
      <c r="D966" s="12" t="s">
        <v>238</v>
      </c>
      <c r="E966" s="12" t="s">
        <v>287</v>
      </c>
      <c r="F966" s="12" t="s">
        <v>34</v>
      </c>
      <c r="G966" s="12" t="n">
        <v>50.6</v>
      </c>
      <c r="H966" s="12" t="n">
        <v>59</v>
      </c>
      <c r="I966" s="12" t="s">
        <v>293</v>
      </c>
      <c r="J966" s="12" t="n">
        <v>4</v>
      </c>
      <c r="K966" s="12" t="n">
        <v>2</v>
      </c>
      <c r="L966" s="28" t="n">
        <v>1</v>
      </c>
      <c r="M966" s="12" t="n">
        <f aca="false">IF(L966=1,COUNTIFS($C$2:$C$1090,C966,$L$2:$L$1090,1),"")</f>
        <v>10</v>
      </c>
      <c r="N966" s="12" t="n">
        <f aca="false">IF(L966=1,1+COUNTIFS($C$2:$C$1090,C966,$L$2:$L$1090,1,$G$2:$G$1090,"&gt;"&amp;G966),"")</f>
        <v>4</v>
      </c>
      <c r="O966" s="12" t="n">
        <f aca="false">IF(L966=1,1+COUNTIFS($C$2:$C$1090,C966,$L$2:$L$1090,1,$H$2:$H$1090,"&gt;"&amp;H966),"")</f>
        <v>2</v>
      </c>
      <c r="P966" s="12" t="n">
        <f aca="false">IF(L966=1,N966-O966,"")</f>
        <v>2</v>
      </c>
      <c r="Q966" s="12" t="n">
        <f aca="false">INDEX(Directions!$D$2:$D$100,MATCH(C966,Directions!$A$2:$A$100,0))</f>
        <v>-1</v>
      </c>
      <c r="R966" s="12" t="n">
        <f aca="false">IF(L966=1,P966*Q966,"")</f>
        <v>-2</v>
      </c>
      <c r="S966" s="12" t="str">
        <f aca="false">IF(L966&lt;&gt;1,"Excluded",IF(Q966=0,"No direction",IF(R966&gt;0,"Better",IF(R966&lt;0,"Worse","No change"))))</f>
        <v>Worse</v>
      </c>
      <c r="T966" s="12"/>
      <c r="U966" s="12" t="str">
        <f aca="false">C966&amp;"|"&amp;E966</f>
        <v>F10_15|DNK</v>
      </c>
    </row>
    <row r="967" customFormat="false" ht="15" hidden="false" customHeight="false" outlineLevel="0" collapsed="false">
      <c r="A967" s="12" t="n">
        <v>10</v>
      </c>
      <c r="B967" s="12" t="s">
        <v>40</v>
      </c>
      <c r="C967" s="12" t="s">
        <v>237</v>
      </c>
      <c r="D967" s="12" t="s">
        <v>238</v>
      </c>
      <c r="E967" s="12" t="s">
        <v>288</v>
      </c>
      <c r="F967" s="12" t="s">
        <v>35</v>
      </c>
      <c r="G967" s="12" t="n">
        <v>14.6</v>
      </c>
      <c r="H967" s="12" t="n">
        <v>11.4</v>
      </c>
      <c r="I967" s="12" t="s">
        <v>291</v>
      </c>
      <c r="J967" s="12" t="n">
        <v>11</v>
      </c>
      <c r="K967" s="12" t="n">
        <v>10</v>
      </c>
      <c r="L967" s="28" t="n">
        <v>1</v>
      </c>
      <c r="M967" s="12" t="n">
        <f aca="false">IF(L967=1,COUNTIFS($C$2:$C$1090,C967,$L$2:$L$1090,1),"")</f>
        <v>10</v>
      </c>
      <c r="N967" s="12" t="n">
        <f aca="false">IF(L967=1,1+COUNTIFS($C$2:$C$1090,C967,$L$2:$L$1090,1,$G$2:$G$1090,"&gt;"&amp;G967),"")</f>
        <v>10</v>
      </c>
      <c r="O967" s="12" t="n">
        <f aca="false">IF(L967=1,1+COUNTIFS($C$2:$C$1090,C967,$L$2:$L$1090,1,$H$2:$H$1090,"&gt;"&amp;H967),"")</f>
        <v>10</v>
      </c>
      <c r="P967" s="12" t="n">
        <f aca="false">IF(L967=1,N967-O967,"")</f>
        <v>0</v>
      </c>
      <c r="Q967" s="12" t="n">
        <f aca="false">INDEX(Directions!$D$2:$D$100,MATCH(C967,Directions!$A$2:$A$100,0))</f>
        <v>-1</v>
      </c>
      <c r="R967" s="12" t="n">
        <f aca="false">IF(L967=1,P967*Q967,"")</f>
        <v>-0</v>
      </c>
      <c r="S967" s="12" t="str">
        <f aca="false">IF(L967&lt;&gt;1,"Excluded",IF(Q967=0,"No direction",IF(R967&gt;0,"Better",IF(R967&lt;0,"Worse","No change"))))</f>
        <v>No change</v>
      </c>
      <c r="T967" s="12"/>
      <c r="U967" s="12" t="str">
        <f aca="false">C967&amp;"|"&amp;E967</f>
        <v>F10_15|CAN</v>
      </c>
    </row>
    <row r="968" customFormat="false" ht="15" hidden="false" customHeight="false" outlineLevel="0" collapsed="false">
      <c r="A968" s="12" t="n">
        <v>10</v>
      </c>
      <c r="B968" s="12" t="s">
        <v>40</v>
      </c>
      <c r="C968" s="12" t="s">
        <v>237</v>
      </c>
      <c r="D968" s="12" t="s">
        <v>238</v>
      </c>
      <c r="E968" s="12" t="s">
        <v>289</v>
      </c>
      <c r="F968" s="12" t="s">
        <v>36</v>
      </c>
      <c r="G968" s="12" t="n">
        <v>34.7</v>
      </c>
      <c r="H968" s="12" t="s">
        <v>302</v>
      </c>
      <c r="I968" s="12"/>
      <c r="J968" s="12" t="n">
        <v>6</v>
      </c>
      <c r="K968" s="12" t="s">
        <v>302</v>
      </c>
      <c r="L968" s="28" t="n">
        <v>0</v>
      </c>
      <c r="M968" s="12" t="str">
        <f aca="false">IF(L968=1,COUNTIFS($C$2:$C$1090,C968,$L$2:$L$1090,1),"")</f>
        <v/>
      </c>
      <c r="N968" s="12" t="str">
        <f aca="false">IF(L968=1,1+COUNTIFS($C$2:$C$1090,C968,$L$2:$L$1090,1,$G$2:$G$1090,"&gt;"&amp;G968),"")</f>
        <v/>
      </c>
      <c r="O968" s="12" t="str">
        <f aca="false">IF(L968=1,1+COUNTIFS($C$2:$C$1090,C968,$L$2:$L$1090,1,$H$2:$H$1090,"&gt;"&amp;H968),"")</f>
        <v/>
      </c>
      <c r="P968" s="12" t="str">
        <f aca="false">IF(L968=1,N968-O968,"")</f>
        <v/>
      </c>
      <c r="Q968" s="12" t="n">
        <f aca="false">INDEX(Directions!$D$2:$D$100,MATCH(C968,Directions!$A$2:$A$100,0))</f>
        <v>-1</v>
      </c>
      <c r="R968" s="12" t="str">
        <f aca="false">IF(L968=1,P968*Q968,"")</f>
        <v/>
      </c>
      <c r="S968" s="12" t="str">
        <f aca="false">IF(L968&lt;&gt;1,"Excluded",IF(Q968=0,"No direction",IF(R968&gt;0,"Better",IF(R968&lt;0,"Worse","No change"))))</f>
        <v>Excluded</v>
      </c>
      <c r="T968" s="12" t="s">
        <v>303</v>
      </c>
      <c r="U968" s="12" t="str">
        <f aca="false">C968&amp;"|"&amp;E968</f>
        <v>F10_15|JPN</v>
      </c>
    </row>
    <row r="969" customFormat="false" ht="15" hidden="false" customHeight="false" outlineLevel="0" collapsed="false">
      <c r="A969" s="12" t="n">
        <v>10</v>
      </c>
      <c r="B969" s="12" t="s">
        <v>40</v>
      </c>
      <c r="C969" s="12" t="s">
        <v>237</v>
      </c>
      <c r="D969" s="12" t="s">
        <v>238</v>
      </c>
      <c r="E969" s="12" t="s">
        <v>290</v>
      </c>
      <c r="F969" s="12" t="s">
        <v>37</v>
      </c>
      <c r="G969" s="12" t="n">
        <v>64.8</v>
      </c>
      <c r="H969" s="12" t="n">
        <v>52</v>
      </c>
      <c r="I969" s="12" t="s">
        <v>291</v>
      </c>
      <c r="J969" s="12" t="n">
        <v>3</v>
      </c>
      <c r="K969" s="12" t="n">
        <v>3</v>
      </c>
      <c r="L969" s="28" t="n">
        <v>1</v>
      </c>
      <c r="M969" s="12" t="n">
        <f aca="false">IF(L969=1,COUNTIFS($C$2:$C$1090,C969,$L$2:$L$1090,1),"")</f>
        <v>10</v>
      </c>
      <c r="N969" s="12" t="n">
        <f aca="false">IF(L969=1,1+COUNTIFS($C$2:$C$1090,C969,$L$2:$L$1090,1,$G$2:$G$1090,"&gt;"&amp;G969),"")</f>
        <v>3</v>
      </c>
      <c r="O969" s="12" t="n">
        <f aca="false">IF(L969=1,1+COUNTIFS($C$2:$C$1090,C969,$L$2:$L$1090,1,$H$2:$H$1090,"&gt;"&amp;H969),"")</f>
        <v>3</v>
      </c>
      <c r="P969" s="12" t="n">
        <f aca="false">IF(L969=1,N969-O969,"")</f>
        <v>0</v>
      </c>
      <c r="Q969" s="12" t="n">
        <f aca="false">INDEX(Directions!$D$2:$D$100,MATCH(C969,Directions!$A$2:$A$100,0))</f>
        <v>-1</v>
      </c>
      <c r="R969" s="12" t="n">
        <f aca="false">IF(L969=1,P969*Q969,"")</f>
        <v>-0</v>
      </c>
      <c r="S969" s="12" t="str">
        <f aca="false">IF(L969&lt;&gt;1,"Excluded",IF(Q969=0,"No direction",IF(R969&gt;0,"Better",IF(R969&lt;0,"Worse","No change"))))</f>
        <v>No change</v>
      </c>
      <c r="T969" s="12"/>
      <c r="U969" s="12" t="str">
        <f aca="false">C969&amp;"|"&amp;E969</f>
        <v>F10_15|AUS</v>
      </c>
    </row>
    <row r="970" customFormat="false" ht="15" hidden="false" customHeight="false" outlineLevel="0" collapsed="false">
      <c r="A970" s="12" t="n">
        <v>10</v>
      </c>
      <c r="B970" s="12" t="s">
        <v>40</v>
      </c>
      <c r="C970" s="12" t="s">
        <v>239</v>
      </c>
      <c r="D970" s="12" t="s">
        <v>240</v>
      </c>
      <c r="E970" s="12" t="s">
        <v>281</v>
      </c>
      <c r="F970" s="12" t="s">
        <v>27</v>
      </c>
      <c r="G970" s="12" t="n">
        <v>1.2</v>
      </c>
      <c r="H970" s="12" t="s">
        <v>302</v>
      </c>
      <c r="I970" s="12"/>
      <c r="J970" s="12" t="n">
        <v>1</v>
      </c>
      <c r="K970" s="12" t="s">
        <v>302</v>
      </c>
      <c r="L970" s="28" t="n">
        <v>0</v>
      </c>
      <c r="M970" s="12" t="str">
        <f aca="false">IF(L970=1,COUNTIFS($C$2:$C$1090,C970,$L$2:$L$1090,1),"")</f>
        <v/>
      </c>
      <c r="N970" s="12" t="str">
        <f aca="false">IF(L970=1,1+COUNTIFS($C$2:$C$1090,C970,$L$2:$L$1090,1,$G$2:$G$1090,"&gt;"&amp;G970),"")</f>
        <v/>
      </c>
      <c r="O970" s="12" t="str">
        <f aca="false">IF(L970=1,1+COUNTIFS($C$2:$C$1090,C970,$L$2:$L$1090,1,$H$2:$H$1090,"&gt;"&amp;H970),"")</f>
        <v/>
      </c>
      <c r="P970" s="12" t="str">
        <f aca="false">IF(L970=1,N970-O970,"")</f>
        <v/>
      </c>
      <c r="Q970" s="12" t="n">
        <f aca="false">INDEX(Directions!$D$2:$D$100,MATCH(C970,Directions!$A$2:$A$100,0))</f>
        <v>-1</v>
      </c>
      <c r="R970" s="12" t="str">
        <f aca="false">IF(L970=1,P970*Q970,"")</f>
        <v/>
      </c>
      <c r="S970" s="12" t="str">
        <f aca="false">IF(L970&lt;&gt;1,"Excluded",IF(Q970=0,"No direction",IF(R970&gt;0,"Better",IF(R970&lt;0,"Worse","No change"))))</f>
        <v>Excluded</v>
      </c>
      <c r="T970" s="12" t="s">
        <v>303</v>
      </c>
      <c r="U970" s="12" t="str">
        <f aca="false">C970&amp;"|"&amp;E970</f>
        <v>F10_16|USA</v>
      </c>
    </row>
    <row r="971" customFormat="false" ht="15" hidden="false" customHeight="false" outlineLevel="0" collapsed="false">
      <c r="A971" s="12" t="n">
        <v>10</v>
      </c>
      <c r="B971" s="12" t="s">
        <v>40</v>
      </c>
      <c r="C971" s="12" t="s">
        <v>239</v>
      </c>
      <c r="D971" s="12" t="s">
        <v>240</v>
      </c>
      <c r="E971" s="12" t="s">
        <v>283</v>
      </c>
      <c r="F971" s="12" t="s">
        <v>28</v>
      </c>
      <c r="G971" s="12" t="n">
        <v>1</v>
      </c>
      <c r="H971" s="12" t="s">
        <v>302</v>
      </c>
      <c r="I971" s="12"/>
      <c r="J971" s="12" t="n">
        <v>2</v>
      </c>
      <c r="K971" s="12" t="s">
        <v>302</v>
      </c>
      <c r="L971" s="28" t="n">
        <v>0</v>
      </c>
      <c r="M971" s="12" t="str">
        <f aca="false">IF(L971=1,COUNTIFS($C$2:$C$1090,C971,$L$2:$L$1090,1),"")</f>
        <v/>
      </c>
      <c r="N971" s="12" t="str">
        <f aca="false">IF(L971=1,1+COUNTIFS($C$2:$C$1090,C971,$L$2:$L$1090,1,$G$2:$G$1090,"&gt;"&amp;G971),"")</f>
        <v/>
      </c>
      <c r="O971" s="12" t="str">
        <f aca="false">IF(L971=1,1+COUNTIFS($C$2:$C$1090,C971,$L$2:$L$1090,1,$H$2:$H$1090,"&gt;"&amp;H971),"")</f>
        <v/>
      </c>
      <c r="P971" s="12" t="str">
        <f aca="false">IF(L971=1,N971-O971,"")</f>
        <v/>
      </c>
      <c r="Q971" s="12" t="n">
        <f aca="false">INDEX(Directions!$D$2:$D$100,MATCH(C971,Directions!$A$2:$A$100,0))</f>
        <v>-1</v>
      </c>
      <c r="R971" s="12" t="str">
        <f aca="false">IF(L971=1,P971*Q971,"")</f>
        <v/>
      </c>
      <c r="S971" s="12" t="str">
        <f aca="false">IF(L971&lt;&gt;1,"Excluded",IF(Q971=0,"No direction",IF(R971&gt;0,"Better",IF(R971&lt;0,"Worse","No change"))))</f>
        <v>Excluded</v>
      </c>
      <c r="T971" s="12" t="s">
        <v>303</v>
      </c>
      <c r="U971" s="12" t="str">
        <f aca="false">C971&amp;"|"&amp;E971</f>
        <v>F10_16|GBR</v>
      </c>
    </row>
    <row r="972" customFormat="false" ht="15" hidden="false" customHeight="false" outlineLevel="0" collapsed="false">
      <c r="A972" s="12" t="n">
        <v>10</v>
      </c>
      <c r="B972" s="12" t="s">
        <v>40</v>
      </c>
      <c r="C972" s="12" t="s">
        <v>239</v>
      </c>
      <c r="D972" s="12" t="s">
        <v>240</v>
      </c>
      <c r="E972" s="12" t="s">
        <v>284</v>
      </c>
      <c r="F972" s="12" t="s">
        <v>29</v>
      </c>
      <c r="G972" s="12" t="n">
        <v>0.7</v>
      </c>
      <c r="H972" s="12" t="s">
        <v>302</v>
      </c>
      <c r="I972" s="12"/>
      <c r="J972" s="12" t="n">
        <v>5</v>
      </c>
      <c r="K972" s="12" t="s">
        <v>302</v>
      </c>
      <c r="L972" s="28" t="n">
        <v>0</v>
      </c>
      <c r="M972" s="12" t="str">
        <f aca="false">IF(L972=1,COUNTIFS($C$2:$C$1090,C972,$L$2:$L$1090,1),"")</f>
        <v/>
      </c>
      <c r="N972" s="12" t="str">
        <f aca="false">IF(L972=1,1+COUNTIFS($C$2:$C$1090,C972,$L$2:$L$1090,1,$G$2:$G$1090,"&gt;"&amp;G972),"")</f>
        <v/>
      </c>
      <c r="O972" s="12" t="str">
        <f aca="false">IF(L972=1,1+COUNTIFS($C$2:$C$1090,C972,$L$2:$L$1090,1,$H$2:$H$1090,"&gt;"&amp;H972),"")</f>
        <v/>
      </c>
      <c r="P972" s="12" t="str">
        <f aca="false">IF(L972=1,N972-O972,"")</f>
        <v/>
      </c>
      <c r="Q972" s="12" t="n">
        <f aca="false">INDEX(Directions!$D$2:$D$100,MATCH(C972,Directions!$A$2:$A$100,0))</f>
        <v>-1</v>
      </c>
      <c r="R972" s="12" t="str">
        <f aca="false">IF(L972=1,P972*Q972,"")</f>
        <v/>
      </c>
      <c r="S972" s="12" t="str">
        <f aca="false">IF(L972&lt;&gt;1,"Excluded",IF(Q972=0,"No direction",IF(R972&gt;0,"Better",IF(R972&lt;0,"Worse","No change"))))</f>
        <v>Excluded</v>
      </c>
      <c r="T972" s="12" t="s">
        <v>303</v>
      </c>
      <c r="U972" s="12" t="str">
        <f aca="false">C972&amp;"|"&amp;E972</f>
        <v>F10_16|DEU</v>
      </c>
    </row>
    <row r="973" customFormat="false" ht="15" hidden="false" customHeight="false" outlineLevel="0" collapsed="false">
      <c r="A973" s="12" t="n">
        <v>10</v>
      </c>
      <c r="B973" s="12" t="s">
        <v>40</v>
      </c>
      <c r="C973" s="12" t="s">
        <v>239</v>
      </c>
      <c r="D973" s="12" t="s">
        <v>240</v>
      </c>
      <c r="E973" s="12" t="s">
        <v>285</v>
      </c>
      <c r="F973" s="12" t="s">
        <v>30</v>
      </c>
      <c r="G973" s="12" t="n">
        <v>0.3</v>
      </c>
      <c r="H973" s="12" t="s">
        <v>302</v>
      </c>
      <c r="I973" s="12"/>
      <c r="J973" s="12" t="n">
        <v>9</v>
      </c>
      <c r="K973" s="12" t="s">
        <v>302</v>
      </c>
      <c r="L973" s="28" t="n">
        <v>0</v>
      </c>
      <c r="M973" s="12" t="str">
        <f aca="false">IF(L973=1,COUNTIFS($C$2:$C$1090,C973,$L$2:$L$1090,1),"")</f>
        <v/>
      </c>
      <c r="N973" s="12" t="str">
        <f aca="false">IF(L973=1,1+COUNTIFS($C$2:$C$1090,C973,$L$2:$L$1090,1,$G$2:$G$1090,"&gt;"&amp;G973),"")</f>
        <v/>
      </c>
      <c r="O973" s="12" t="str">
        <f aca="false">IF(L973=1,1+COUNTIFS($C$2:$C$1090,C973,$L$2:$L$1090,1,$H$2:$H$1090,"&gt;"&amp;H973),"")</f>
        <v/>
      </c>
      <c r="P973" s="12" t="str">
        <f aca="false">IF(L973=1,N973-O973,"")</f>
        <v/>
      </c>
      <c r="Q973" s="12" t="n">
        <f aca="false">INDEX(Directions!$D$2:$D$100,MATCH(C973,Directions!$A$2:$A$100,0))</f>
        <v>-1</v>
      </c>
      <c r="R973" s="12" t="str">
        <f aca="false">IF(L973=1,P973*Q973,"")</f>
        <v/>
      </c>
      <c r="S973" s="12" t="str">
        <f aca="false">IF(L973&lt;&gt;1,"Excluded",IF(Q973=0,"No direction",IF(R973&gt;0,"Better",IF(R973&lt;0,"Worse","No change"))))</f>
        <v>Excluded</v>
      </c>
      <c r="T973" s="12" t="s">
        <v>303</v>
      </c>
      <c r="U973" s="12" t="str">
        <f aca="false">C973&amp;"|"&amp;E973</f>
        <v>F10_16|SWE</v>
      </c>
    </row>
    <row r="974" customFormat="false" ht="15" hidden="false" customHeight="false" outlineLevel="0" collapsed="false">
      <c r="A974" s="12" t="n">
        <v>10</v>
      </c>
      <c r="B974" s="12" t="s">
        <v>40</v>
      </c>
      <c r="C974" s="12" t="s">
        <v>239</v>
      </c>
      <c r="D974" s="12" t="s">
        <v>240</v>
      </c>
      <c r="E974" s="12" t="s">
        <v>286</v>
      </c>
      <c r="F974" s="12" t="s">
        <v>31</v>
      </c>
      <c r="G974" s="12" t="n">
        <v>0.8</v>
      </c>
      <c r="H974" s="12" t="s">
        <v>302</v>
      </c>
      <c r="I974" s="12"/>
      <c r="J974" s="12" t="n">
        <v>3</v>
      </c>
      <c r="K974" s="12" t="s">
        <v>302</v>
      </c>
      <c r="L974" s="28" t="n">
        <v>0</v>
      </c>
      <c r="M974" s="12" t="str">
        <f aca="false">IF(L974=1,COUNTIFS($C$2:$C$1090,C974,$L$2:$L$1090,1),"")</f>
        <v/>
      </c>
      <c r="N974" s="12" t="str">
        <f aca="false">IF(L974=1,1+COUNTIFS($C$2:$C$1090,C974,$L$2:$L$1090,1,$G$2:$G$1090,"&gt;"&amp;G974),"")</f>
        <v/>
      </c>
      <c r="O974" s="12" t="str">
        <f aca="false">IF(L974=1,1+COUNTIFS($C$2:$C$1090,C974,$L$2:$L$1090,1,$H$2:$H$1090,"&gt;"&amp;H974),"")</f>
        <v/>
      </c>
      <c r="P974" s="12" t="str">
        <f aca="false">IF(L974=1,N974-O974,"")</f>
        <v/>
      </c>
      <c r="Q974" s="12" t="n">
        <f aca="false">INDEX(Directions!$D$2:$D$100,MATCH(C974,Directions!$A$2:$A$100,0))</f>
        <v>-1</v>
      </c>
      <c r="R974" s="12" t="str">
        <f aca="false">IF(L974=1,P974*Q974,"")</f>
        <v/>
      </c>
      <c r="S974" s="12" t="str">
        <f aca="false">IF(L974&lt;&gt;1,"Excluded",IF(Q974=0,"No direction",IF(R974&gt;0,"Better",IF(R974&lt;0,"Worse","No change"))))</f>
        <v>Excluded</v>
      </c>
      <c r="T974" s="12" t="s">
        <v>303</v>
      </c>
      <c r="U974" s="12" t="str">
        <f aca="false">C974&amp;"|"&amp;E974</f>
        <v>F10_16|FRA</v>
      </c>
    </row>
    <row r="975" customFormat="false" ht="15" hidden="false" customHeight="false" outlineLevel="0" collapsed="false">
      <c r="A975" s="12" t="n">
        <v>10</v>
      </c>
      <c r="B975" s="12" t="s">
        <v>40</v>
      </c>
      <c r="C975" s="12" t="s">
        <v>239</v>
      </c>
      <c r="D975" s="12" t="s">
        <v>240</v>
      </c>
      <c r="E975" s="12" t="s">
        <v>32</v>
      </c>
      <c r="F975" s="12" t="s">
        <v>32</v>
      </c>
      <c r="G975" s="12" t="n">
        <v>0.7</v>
      </c>
      <c r="H975" s="12" t="s">
        <v>302</v>
      </c>
      <c r="I975" s="12"/>
      <c r="J975" s="12" t="n">
        <v>6</v>
      </c>
      <c r="K975" s="12" t="s">
        <v>302</v>
      </c>
      <c r="L975" s="28" t="n">
        <v>0</v>
      </c>
      <c r="M975" s="12" t="str">
        <f aca="false">IF(L975=1,COUNTIFS($C$2:$C$1090,C975,$L$2:$L$1090,1),"")</f>
        <v/>
      </c>
      <c r="N975" s="12" t="str">
        <f aca="false">IF(L975=1,1+COUNTIFS($C$2:$C$1090,C975,$L$2:$L$1090,1,$G$2:$G$1090,"&gt;"&amp;G975),"")</f>
        <v/>
      </c>
      <c r="O975" s="12" t="str">
        <f aca="false">IF(L975=1,1+COUNTIFS($C$2:$C$1090,C975,$L$2:$L$1090,1,$H$2:$H$1090,"&gt;"&amp;H975),"")</f>
        <v/>
      </c>
      <c r="P975" s="12" t="str">
        <f aca="false">IF(L975=1,N975-O975,"")</f>
        <v/>
      </c>
      <c r="Q975" s="12" t="n">
        <f aca="false">INDEX(Directions!$D$2:$D$100,MATCH(C975,Directions!$A$2:$A$100,0))</f>
        <v>-1</v>
      </c>
      <c r="R975" s="12" t="str">
        <f aca="false">IF(L975=1,P975*Q975,"")</f>
        <v/>
      </c>
      <c r="S975" s="12" t="str">
        <f aca="false">IF(L975&lt;&gt;1,"Excluded",IF(Q975=0,"No direction",IF(R975&gt;0,"Better",IF(R975&lt;0,"Worse","No change"))))</f>
        <v>Excluded</v>
      </c>
      <c r="T975" s="12" t="s">
        <v>303</v>
      </c>
      <c r="U975" s="12" t="str">
        <f aca="false">C975&amp;"|"&amp;E975</f>
        <v>F10_16|NLD</v>
      </c>
    </row>
    <row r="976" customFormat="false" ht="15" hidden="false" customHeight="false" outlineLevel="0" collapsed="false">
      <c r="A976" s="12" t="n">
        <v>10</v>
      </c>
      <c r="B976" s="12" t="s">
        <v>40</v>
      </c>
      <c r="C976" s="12" t="s">
        <v>239</v>
      </c>
      <c r="D976" s="12" t="s">
        <v>240</v>
      </c>
      <c r="E976" s="12" t="s">
        <v>33</v>
      </c>
      <c r="F976" s="12" t="s">
        <v>33</v>
      </c>
      <c r="G976" s="12" t="n">
        <v>0.4</v>
      </c>
      <c r="H976" s="12" t="s">
        <v>302</v>
      </c>
      <c r="I976" s="12"/>
      <c r="J976" s="12" t="n">
        <v>8</v>
      </c>
      <c r="K976" s="12" t="s">
        <v>302</v>
      </c>
      <c r="L976" s="28" t="n">
        <v>0</v>
      </c>
      <c r="M976" s="12" t="str">
        <f aca="false">IF(L976=1,COUNTIFS($C$2:$C$1090,C976,$L$2:$L$1090,1),"")</f>
        <v/>
      </c>
      <c r="N976" s="12" t="str">
        <f aca="false">IF(L976=1,1+COUNTIFS($C$2:$C$1090,C976,$L$2:$L$1090,1,$G$2:$G$1090,"&gt;"&amp;G976),"")</f>
        <v/>
      </c>
      <c r="O976" s="12" t="str">
        <f aca="false">IF(L976=1,1+COUNTIFS($C$2:$C$1090,C976,$L$2:$L$1090,1,$H$2:$H$1090,"&gt;"&amp;H976),"")</f>
        <v/>
      </c>
      <c r="P976" s="12" t="str">
        <f aca="false">IF(L976=1,N976-O976,"")</f>
        <v/>
      </c>
      <c r="Q976" s="12" t="n">
        <f aca="false">INDEX(Directions!$D$2:$D$100,MATCH(C976,Directions!$A$2:$A$100,0))</f>
        <v>-1</v>
      </c>
      <c r="R976" s="12" t="str">
        <f aca="false">IF(L976=1,P976*Q976,"")</f>
        <v/>
      </c>
      <c r="S976" s="12" t="str">
        <f aca="false">IF(L976&lt;&gt;1,"Excluded",IF(Q976=0,"No direction",IF(R976&gt;0,"Better",IF(R976&lt;0,"Worse","No change"))))</f>
        <v>Excluded</v>
      </c>
      <c r="T976" s="12" t="s">
        <v>303</v>
      </c>
      <c r="U976" s="12" t="str">
        <f aca="false">C976&amp;"|"&amp;E976</f>
        <v>F10_16|CHE</v>
      </c>
    </row>
    <row r="977" customFormat="false" ht="15" hidden="false" customHeight="false" outlineLevel="0" collapsed="false">
      <c r="A977" s="12" t="n">
        <v>10</v>
      </c>
      <c r="B977" s="12" t="s">
        <v>40</v>
      </c>
      <c r="C977" s="12" t="s">
        <v>239</v>
      </c>
      <c r="D977" s="12" t="s">
        <v>240</v>
      </c>
      <c r="E977" s="12" t="s">
        <v>287</v>
      </c>
      <c r="F977" s="12" t="s">
        <v>34</v>
      </c>
      <c r="G977" s="12" t="n">
        <v>0.8</v>
      </c>
      <c r="H977" s="12" t="s">
        <v>302</v>
      </c>
      <c r="I977" s="12"/>
      <c r="J977" s="12" t="n">
        <v>4</v>
      </c>
      <c r="K977" s="12" t="s">
        <v>302</v>
      </c>
      <c r="L977" s="28" t="n">
        <v>0</v>
      </c>
      <c r="M977" s="12" t="str">
        <f aca="false">IF(L977=1,COUNTIFS($C$2:$C$1090,C977,$L$2:$L$1090,1),"")</f>
        <v/>
      </c>
      <c r="N977" s="12" t="str">
        <f aca="false">IF(L977=1,1+COUNTIFS($C$2:$C$1090,C977,$L$2:$L$1090,1,$G$2:$G$1090,"&gt;"&amp;G977),"")</f>
        <v/>
      </c>
      <c r="O977" s="12" t="str">
        <f aca="false">IF(L977=1,1+COUNTIFS($C$2:$C$1090,C977,$L$2:$L$1090,1,$H$2:$H$1090,"&gt;"&amp;H977),"")</f>
        <v/>
      </c>
      <c r="P977" s="12" t="str">
        <f aca="false">IF(L977=1,N977-O977,"")</f>
        <v/>
      </c>
      <c r="Q977" s="12" t="n">
        <f aca="false">INDEX(Directions!$D$2:$D$100,MATCH(C977,Directions!$A$2:$A$100,0))</f>
        <v>-1</v>
      </c>
      <c r="R977" s="12" t="str">
        <f aca="false">IF(L977=1,P977*Q977,"")</f>
        <v/>
      </c>
      <c r="S977" s="12" t="str">
        <f aca="false">IF(L977&lt;&gt;1,"Excluded",IF(Q977=0,"No direction",IF(R977&gt;0,"Better",IF(R977&lt;0,"Worse","No change"))))</f>
        <v>Excluded</v>
      </c>
      <c r="T977" s="12" t="s">
        <v>303</v>
      </c>
      <c r="U977" s="12" t="str">
        <f aca="false">C977&amp;"|"&amp;E977</f>
        <v>F10_16|DNK</v>
      </c>
    </row>
    <row r="978" customFormat="false" ht="15" hidden="false" customHeight="false" outlineLevel="0" collapsed="false">
      <c r="A978" s="12" t="n">
        <v>10</v>
      </c>
      <c r="B978" s="12" t="s">
        <v>40</v>
      </c>
      <c r="C978" s="12" t="s">
        <v>239</v>
      </c>
      <c r="D978" s="12" t="s">
        <v>240</v>
      </c>
      <c r="E978" s="12" t="s">
        <v>288</v>
      </c>
      <c r="F978" s="12" t="s">
        <v>35</v>
      </c>
      <c r="G978" s="12" t="n">
        <v>0.2</v>
      </c>
      <c r="H978" s="12" t="s">
        <v>302</v>
      </c>
      <c r="I978" s="12"/>
      <c r="J978" s="12" t="n">
        <v>11</v>
      </c>
      <c r="K978" s="12" t="s">
        <v>302</v>
      </c>
      <c r="L978" s="28" t="n">
        <v>0</v>
      </c>
      <c r="M978" s="12" t="str">
        <f aca="false">IF(L978=1,COUNTIFS($C$2:$C$1090,C978,$L$2:$L$1090,1),"")</f>
        <v/>
      </c>
      <c r="N978" s="12" t="str">
        <f aca="false">IF(L978=1,1+COUNTIFS($C$2:$C$1090,C978,$L$2:$L$1090,1,$G$2:$G$1090,"&gt;"&amp;G978),"")</f>
        <v/>
      </c>
      <c r="O978" s="12" t="str">
        <f aca="false">IF(L978=1,1+COUNTIFS($C$2:$C$1090,C978,$L$2:$L$1090,1,$H$2:$H$1090,"&gt;"&amp;H978),"")</f>
        <v/>
      </c>
      <c r="P978" s="12" t="str">
        <f aca="false">IF(L978=1,N978-O978,"")</f>
        <v/>
      </c>
      <c r="Q978" s="12" t="n">
        <f aca="false">INDEX(Directions!$D$2:$D$100,MATCH(C978,Directions!$A$2:$A$100,0))</f>
        <v>-1</v>
      </c>
      <c r="R978" s="12" t="str">
        <f aca="false">IF(L978=1,P978*Q978,"")</f>
        <v/>
      </c>
      <c r="S978" s="12" t="str">
        <f aca="false">IF(L978&lt;&gt;1,"Excluded",IF(Q978=0,"No direction",IF(R978&gt;0,"Better",IF(R978&lt;0,"Worse","No change"))))</f>
        <v>Excluded</v>
      </c>
      <c r="T978" s="12" t="s">
        <v>303</v>
      </c>
      <c r="U978" s="12" t="str">
        <f aca="false">C978&amp;"|"&amp;E978</f>
        <v>F10_16|CAN</v>
      </c>
    </row>
    <row r="979" customFormat="false" ht="15" hidden="false" customHeight="false" outlineLevel="0" collapsed="false">
      <c r="A979" s="12" t="n">
        <v>10</v>
      </c>
      <c r="B979" s="12" t="s">
        <v>40</v>
      </c>
      <c r="C979" s="12" t="s">
        <v>239</v>
      </c>
      <c r="D979" s="12" t="s">
        <v>240</v>
      </c>
      <c r="E979" s="12" t="s">
        <v>289</v>
      </c>
      <c r="F979" s="12" t="s">
        <v>36</v>
      </c>
      <c r="G979" s="12" t="n">
        <v>0.3</v>
      </c>
      <c r="H979" s="12" t="s">
        <v>302</v>
      </c>
      <c r="I979" s="12"/>
      <c r="J979" s="12" t="n">
        <v>10</v>
      </c>
      <c r="K979" s="12" t="s">
        <v>302</v>
      </c>
      <c r="L979" s="28" t="n">
        <v>0</v>
      </c>
      <c r="M979" s="12" t="str">
        <f aca="false">IF(L979=1,COUNTIFS($C$2:$C$1090,C979,$L$2:$L$1090,1),"")</f>
        <v/>
      </c>
      <c r="N979" s="12" t="str">
        <f aca="false">IF(L979=1,1+COUNTIFS($C$2:$C$1090,C979,$L$2:$L$1090,1,$G$2:$G$1090,"&gt;"&amp;G979),"")</f>
        <v/>
      </c>
      <c r="O979" s="12" t="str">
        <f aca="false">IF(L979=1,1+COUNTIFS($C$2:$C$1090,C979,$L$2:$L$1090,1,$H$2:$H$1090,"&gt;"&amp;H979),"")</f>
        <v/>
      </c>
      <c r="P979" s="12" t="str">
        <f aca="false">IF(L979=1,N979-O979,"")</f>
        <v/>
      </c>
      <c r="Q979" s="12" t="n">
        <f aca="false">INDEX(Directions!$D$2:$D$100,MATCH(C979,Directions!$A$2:$A$100,0))</f>
        <v>-1</v>
      </c>
      <c r="R979" s="12" t="str">
        <f aca="false">IF(L979=1,P979*Q979,"")</f>
        <v/>
      </c>
      <c r="S979" s="12" t="str">
        <f aca="false">IF(L979&lt;&gt;1,"Excluded",IF(Q979=0,"No direction",IF(R979&gt;0,"Better",IF(R979&lt;0,"Worse","No change"))))</f>
        <v>Excluded</v>
      </c>
      <c r="T979" s="12" t="s">
        <v>303</v>
      </c>
      <c r="U979" s="12" t="str">
        <f aca="false">C979&amp;"|"&amp;E979</f>
        <v>F10_16|JPN</v>
      </c>
    </row>
    <row r="980" customFormat="false" ht="15" hidden="false" customHeight="false" outlineLevel="0" collapsed="false">
      <c r="A980" s="12" t="n">
        <v>10</v>
      </c>
      <c r="B980" s="12" t="s">
        <v>40</v>
      </c>
      <c r="C980" s="12" t="s">
        <v>239</v>
      </c>
      <c r="D980" s="12" t="s">
        <v>240</v>
      </c>
      <c r="E980" s="12" t="s">
        <v>290</v>
      </c>
      <c r="F980" s="12" t="s">
        <v>37</v>
      </c>
      <c r="G980" s="12" t="n">
        <v>0.6</v>
      </c>
      <c r="H980" s="12" t="s">
        <v>302</v>
      </c>
      <c r="I980" s="12"/>
      <c r="J980" s="12" t="n">
        <v>7</v>
      </c>
      <c r="K980" s="12" t="s">
        <v>302</v>
      </c>
      <c r="L980" s="28" t="n">
        <v>0</v>
      </c>
      <c r="M980" s="12" t="str">
        <f aca="false">IF(L980=1,COUNTIFS($C$2:$C$1090,C980,$L$2:$L$1090,1),"")</f>
        <v/>
      </c>
      <c r="N980" s="12" t="str">
        <f aca="false">IF(L980=1,1+COUNTIFS($C$2:$C$1090,C980,$L$2:$L$1090,1,$G$2:$G$1090,"&gt;"&amp;G980),"")</f>
        <v/>
      </c>
      <c r="O980" s="12" t="str">
        <f aca="false">IF(L980=1,1+COUNTIFS($C$2:$C$1090,C980,$L$2:$L$1090,1,$H$2:$H$1090,"&gt;"&amp;H980),"")</f>
        <v/>
      </c>
      <c r="P980" s="12" t="str">
        <f aca="false">IF(L980=1,N980-O980,"")</f>
        <v/>
      </c>
      <c r="Q980" s="12" t="n">
        <f aca="false">INDEX(Directions!$D$2:$D$100,MATCH(C980,Directions!$A$2:$A$100,0))</f>
        <v>-1</v>
      </c>
      <c r="R980" s="12" t="str">
        <f aca="false">IF(L980=1,P980*Q980,"")</f>
        <v/>
      </c>
      <c r="S980" s="12" t="str">
        <f aca="false">IF(L980&lt;&gt;1,"Excluded",IF(Q980=0,"No direction",IF(R980&gt;0,"Better",IF(R980&lt;0,"Worse","No change"))))</f>
        <v>Excluded</v>
      </c>
      <c r="T980" s="12" t="s">
        <v>303</v>
      </c>
      <c r="U980" s="12" t="str">
        <f aca="false">C980&amp;"|"&amp;E980</f>
        <v>F10_16|AUS</v>
      </c>
    </row>
    <row r="981" customFormat="false" ht="15" hidden="false" customHeight="false" outlineLevel="0" collapsed="false">
      <c r="A981" s="12" t="n">
        <v>11</v>
      </c>
      <c r="B981" s="12" t="s">
        <v>41</v>
      </c>
      <c r="C981" s="12" t="s">
        <v>241</v>
      </c>
      <c r="D981" s="12" t="s">
        <v>242</v>
      </c>
      <c r="E981" s="12" t="s">
        <v>281</v>
      </c>
      <c r="F981" s="12" t="s">
        <v>27</v>
      </c>
      <c r="G981" s="12" t="n">
        <v>6</v>
      </c>
      <c r="H981" s="12" t="n">
        <v>5.3</v>
      </c>
      <c r="I981" s="12" t="s">
        <v>319</v>
      </c>
      <c r="J981" s="12" t="n">
        <v>1</v>
      </c>
      <c r="K981" s="12" t="n">
        <v>1</v>
      </c>
      <c r="L981" s="28" t="n">
        <v>1</v>
      </c>
      <c r="M981" s="12" t="n">
        <f aca="false">IF(L981=1,COUNTIFS($C$2:$C$1090,C981,$L$2:$L$1090,1),"")</f>
        <v>5</v>
      </c>
      <c r="N981" s="12" t="n">
        <f aca="false">IF(L981=1,1+COUNTIFS($C$2:$C$1090,C981,$L$2:$L$1090,1,$G$2:$G$1090,"&gt;"&amp;G981),"")</f>
        <v>1</v>
      </c>
      <c r="O981" s="12" t="n">
        <f aca="false">IF(L981=1,1+COUNTIFS($C$2:$C$1090,C981,$L$2:$L$1090,1,$H$2:$H$1090,"&gt;"&amp;H981),"")</f>
        <v>1</v>
      </c>
      <c r="P981" s="12" t="n">
        <f aca="false">IF(L981=1,N981-O981,"")</f>
        <v>0</v>
      </c>
      <c r="Q981" s="12" t="n">
        <f aca="false">INDEX(Directions!$D$2:$D$100,MATCH(C981,Directions!$A$2:$A$100,0))</f>
        <v>-1</v>
      </c>
      <c r="R981" s="12" t="n">
        <f aca="false">IF(L981=1,P981*Q981,"")</f>
        <v>-0</v>
      </c>
      <c r="S981" s="12" t="str">
        <f aca="false">IF(L981&lt;&gt;1,"Excluded",IF(Q981=0,"No direction",IF(R981&gt;0,"Better",IF(R981&lt;0,"Worse","No change"))))</f>
        <v>No change</v>
      </c>
      <c r="T981" s="12" t="s">
        <v>334</v>
      </c>
      <c r="U981" s="12" t="str">
        <f aca="false">C981&amp;"|"&amp;E981</f>
        <v>F11_01|USA</v>
      </c>
    </row>
    <row r="982" customFormat="false" ht="15" hidden="false" customHeight="false" outlineLevel="0" collapsed="false">
      <c r="A982" s="12" t="n">
        <v>11</v>
      </c>
      <c r="B982" s="12" t="s">
        <v>41</v>
      </c>
      <c r="C982" s="12" t="s">
        <v>241</v>
      </c>
      <c r="D982" s="12" t="s">
        <v>242</v>
      </c>
      <c r="E982" s="12" t="s">
        <v>283</v>
      </c>
      <c r="F982" s="12" t="s">
        <v>28</v>
      </c>
      <c r="G982" s="12" t="n">
        <v>0.4</v>
      </c>
      <c r="H982" s="12" t="n">
        <v>0.4</v>
      </c>
      <c r="I982" s="12" t="s">
        <v>325</v>
      </c>
      <c r="J982" s="12" t="n">
        <v>5</v>
      </c>
      <c r="K982" s="12" t="n">
        <v>6</v>
      </c>
      <c r="L982" s="28" t="n">
        <v>1</v>
      </c>
      <c r="M982" s="12" t="n">
        <f aca="false">IF(L982=1,COUNTIFS($C$2:$C$1090,C982,$L$2:$L$1090,1),"")</f>
        <v>5</v>
      </c>
      <c r="N982" s="12" t="n">
        <f aca="false">IF(L982=1,1+COUNTIFS($C$2:$C$1090,C982,$L$2:$L$1090,1,$G$2:$G$1090,"&gt;"&amp;G982),"")</f>
        <v>5</v>
      </c>
      <c r="O982" s="12" t="n">
        <f aca="false">IF(L982=1,1+COUNTIFS($C$2:$C$1090,C982,$L$2:$L$1090,1,$H$2:$H$1090,"&gt;"&amp;H982),"")</f>
        <v>5</v>
      </c>
      <c r="P982" s="12" t="n">
        <f aca="false">IF(L982=1,N982-O982,"")</f>
        <v>0</v>
      </c>
      <c r="Q982" s="12" t="n">
        <f aca="false">INDEX(Directions!$D$2:$D$100,MATCH(C982,Directions!$A$2:$A$100,0))</f>
        <v>-1</v>
      </c>
      <c r="R982" s="12" t="n">
        <f aca="false">IF(L982=1,P982*Q982,"")</f>
        <v>-0</v>
      </c>
      <c r="S982" s="12" t="str">
        <f aca="false">IF(L982&lt;&gt;1,"Excluded",IF(Q982=0,"No direction",IF(R982&gt;0,"Better",IF(R982&lt;0,"Worse","No change"))))</f>
        <v>No change</v>
      </c>
      <c r="T982" s="12" t="s">
        <v>334</v>
      </c>
      <c r="U982" s="12" t="str">
        <f aca="false">C982&amp;"|"&amp;E982</f>
        <v>F11_01|GBR</v>
      </c>
    </row>
    <row r="983" customFormat="false" ht="15" hidden="false" customHeight="false" outlineLevel="0" collapsed="false">
      <c r="A983" s="12" t="n">
        <v>11</v>
      </c>
      <c r="B983" s="12" t="s">
        <v>41</v>
      </c>
      <c r="C983" s="12" t="s">
        <v>241</v>
      </c>
      <c r="D983" s="12" t="s">
        <v>242</v>
      </c>
      <c r="E983" s="12" t="s">
        <v>284</v>
      </c>
      <c r="F983" s="12" t="s">
        <v>29</v>
      </c>
      <c r="G983" s="12" t="n">
        <v>1</v>
      </c>
      <c r="H983" s="12" t="n">
        <v>0.8</v>
      </c>
      <c r="I983" s="12" t="s">
        <v>325</v>
      </c>
      <c r="J983" s="12" t="n">
        <v>4</v>
      </c>
      <c r="K983" s="12" t="n">
        <v>4</v>
      </c>
      <c r="L983" s="28" t="n">
        <v>1</v>
      </c>
      <c r="M983" s="12" t="n">
        <f aca="false">IF(L983=1,COUNTIFS($C$2:$C$1090,C983,$L$2:$L$1090,1),"")</f>
        <v>5</v>
      </c>
      <c r="N983" s="12" t="n">
        <f aca="false">IF(L983=1,1+COUNTIFS($C$2:$C$1090,C983,$L$2:$L$1090,1,$G$2:$G$1090,"&gt;"&amp;G983),"")</f>
        <v>4</v>
      </c>
      <c r="O983" s="12" t="n">
        <f aca="false">IF(L983=1,1+COUNTIFS($C$2:$C$1090,C983,$L$2:$L$1090,1,$H$2:$H$1090,"&gt;"&amp;H983),"")</f>
        <v>4</v>
      </c>
      <c r="P983" s="12" t="n">
        <f aca="false">IF(L983=1,N983-O983,"")</f>
        <v>0</v>
      </c>
      <c r="Q983" s="12" t="n">
        <f aca="false">INDEX(Directions!$D$2:$D$100,MATCH(C983,Directions!$A$2:$A$100,0))</f>
        <v>-1</v>
      </c>
      <c r="R983" s="12" t="n">
        <f aca="false">IF(L983=1,P983*Q983,"")</f>
        <v>-0</v>
      </c>
      <c r="S983" s="12" t="str">
        <f aca="false">IF(L983&lt;&gt;1,"Excluded",IF(Q983=0,"No direction",IF(R983&gt;0,"Better",IF(R983&lt;0,"Worse","No change"))))</f>
        <v>No change</v>
      </c>
      <c r="T983" s="12" t="s">
        <v>334</v>
      </c>
      <c r="U983" s="12" t="str">
        <f aca="false">C983&amp;"|"&amp;E983</f>
        <v>F11_01|DEU</v>
      </c>
    </row>
    <row r="984" customFormat="false" ht="15" hidden="false" customHeight="false" outlineLevel="0" collapsed="false">
      <c r="A984" s="12" t="n">
        <v>11</v>
      </c>
      <c r="B984" s="12" t="s">
        <v>41</v>
      </c>
      <c r="C984" s="12" t="s">
        <v>241</v>
      </c>
      <c r="D984" s="12" t="s">
        <v>242</v>
      </c>
      <c r="E984" s="12" t="s">
        <v>285</v>
      </c>
      <c r="F984" s="12" t="s">
        <v>30</v>
      </c>
      <c r="G984" s="12" t="s">
        <v>302</v>
      </c>
      <c r="H984" s="12" t="n">
        <v>0.3</v>
      </c>
      <c r="I984" s="12" t="s">
        <v>325</v>
      </c>
      <c r="J984" s="12" t="s">
        <v>302</v>
      </c>
      <c r="K984" s="12" t="n">
        <v>7</v>
      </c>
      <c r="L984" s="28" t="n">
        <v>0</v>
      </c>
      <c r="M984" s="12" t="str">
        <f aca="false">IF(L984=1,COUNTIFS($C$2:$C$1090,C984,$L$2:$L$1090,1),"")</f>
        <v/>
      </c>
      <c r="N984" s="12" t="str">
        <f aca="false">IF(L984=1,1+COUNTIFS($C$2:$C$1090,C984,$L$2:$L$1090,1,$G$2:$G$1090,"&gt;"&amp;G984),"")</f>
        <v/>
      </c>
      <c r="O984" s="12" t="str">
        <f aca="false">IF(L984=1,1+COUNTIFS($C$2:$C$1090,C984,$L$2:$L$1090,1,$H$2:$H$1090,"&gt;"&amp;H984),"")</f>
        <v/>
      </c>
      <c r="P984" s="12" t="str">
        <f aca="false">IF(L984=1,N984-O984,"")</f>
        <v/>
      </c>
      <c r="Q984" s="12" t="n">
        <f aca="false">INDEX(Directions!$D$2:$D$100,MATCH(C984,Directions!$A$2:$A$100,0))</f>
        <v>-1</v>
      </c>
      <c r="R984" s="12" t="str">
        <f aca="false">IF(L984=1,P984*Q984,"")</f>
        <v/>
      </c>
      <c r="S984" s="12" t="str">
        <f aca="false">IF(L984&lt;&gt;1,"Excluded",IF(Q984=0,"No direction",IF(R984&gt;0,"Better",IF(R984&lt;0,"Worse","No change"))))</f>
        <v>Excluded</v>
      </c>
      <c r="T984" s="12" t="s">
        <v>311</v>
      </c>
      <c r="U984" s="12" t="str">
        <f aca="false">C984&amp;"|"&amp;E984</f>
        <v>F11_01|SWE</v>
      </c>
    </row>
    <row r="985" customFormat="false" ht="15" hidden="false" customHeight="false" outlineLevel="0" collapsed="false">
      <c r="A985" s="12" t="n">
        <v>11</v>
      </c>
      <c r="B985" s="12" t="s">
        <v>41</v>
      </c>
      <c r="C985" s="12" t="s">
        <v>241</v>
      </c>
      <c r="D985" s="12" t="s">
        <v>242</v>
      </c>
      <c r="E985" s="12" t="s">
        <v>286</v>
      </c>
      <c r="F985" s="12" t="s">
        <v>31</v>
      </c>
      <c r="G985" s="12" t="n">
        <v>1.3</v>
      </c>
      <c r="H985" s="12" t="n">
        <v>1.1</v>
      </c>
      <c r="I985" s="12" t="s">
        <v>325</v>
      </c>
      <c r="J985" s="12" t="n">
        <v>3</v>
      </c>
      <c r="K985" s="12" t="n">
        <v>3</v>
      </c>
      <c r="L985" s="28" t="n">
        <v>1</v>
      </c>
      <c r="M985" s="12" t="n">
        <f aca="false">IF(L985=1,COUNTIFS($C$2:$C$1090,C985,$L$2:$L$1090,1),"")</f>
        <v>5</v>
      </c>
      <c r="N985" s="12" t="n">
        <f aca="false">IF(L985=1,1+COUNTIFS($C$2:$C$1090,C985,$L$2:$L$1090,1,$G$2:$G$1090,"&gt;"&amp;G985),"")</f>
        <v>3</v>
      </c>
      <c r="O985" s="12" t="n">
        <f aca="false">IF(L985=1,1+COUNTIFS($C$2:$C$1090,C985,$L$2:$L$1090,1,$H$2:$H$1090,"&gt;"&amp;H985),"")</f>
        <v>3</v>
      </c>
      <c r="P985" s="12" t="n">
        <f aca="false">IF(L985=1,N985-O985,"")</f>
        <v>0</v>
      </c>
      <c r="Q985" s="12" t="n">
        <f aca="false">INDEX(Directions!$D$2:$D$100,MATCH(C985,Directions!$A$2:$A$100,0))</f>
        <v>-1</v>
      </c>
      <c r="R985" s="12" t="n">
        <f aca="false">IF(L985=1,P985*Q985,"")</f>
        <v>-0</v>
      </c>
      <c r="S985" s="12" t="str">
        <f aca="false">IF(L985&lt;&gt;1,"Excluded",IF(Q985=0,"No direction",IF(R985&gt;0,"Better",IF(R985&lt;0,"Worse","No change"))))</f>
        <v>No change</v>
      </c>
      <c r="T985" s="12" t="s">
        <v>334</v>
      </c>
      <c r="U985" s="12" t="str">
        <f aca="false">C985&amp;"|"&amp;E985</f>
        <v>F11_01|FRA</v>
      </c>
    </row>
    <row r="986" customFormat="false" ht="15" hidden="false" customHeight="false" outlineLevel="0" collapsed="false">
      <c r="A986" s="12" t="n">
        <v>11</v>
      </c>
      <c r="B986" s="12" t="s">
        <v>41</v>
      </c>
      <c r="C986" s="12" t="s">
        <v>241</v>
      </c>
      <c r="D986" s="12" t="s">
        <v>242</v>
      </c>
      <c r="E986" s="12" t="s">
        <v>32</v>
      </c>
      <c r="F986" s="12" t="s">
        <v>32</v>
      </c>
      <c r="G986" s="12" t="s">
        <v>302</v>
      </c>
      <c r="H986" s="12" t="n">
        <v>0.5</v>
      </c>
      <c r="I986" s="12" t="s">
        <v>325</v>
      </c>
      <c r="J986" s="12" t="s">
        <v>302</v>
      </c>
      <c r="K986" s="12" t="n">
        <v>5</v>
      </c>
      <c r="L986" s="28" t="n">
        <v>0</v>
      </c>
      <c r="M986" s="12" t="str">
        <f aca="false">IF(L986=1,COUNTIFS($C$2:$C$1090,C986,$L$2:$L$1090,1),"")</f>
        <v/>
      </c>
      <c r="N986" s="12" t="str">
        <f aca="false">IF(L986=1,1+COUNTIFS($C$2:$C$1090,C986,$L$2:$L$1090,1,$G$2:$G$1090,"&gt;"&amp;G986),"")</f>
        <v/>
      </c>
      <c r="O986" s="12" t="str">
        <f aca="false">IF(L986=1,1+COUNTIFS($C$2:$C$1090,C986,$L$2:$L$1090,1,$H$2:$H$1090,"&gt;"&amp;H986),"")</f>
        <v/>
      </c>
      <c r="P986" s="12" t="str">
        <f aca="false">IF(L986=1,N986-O986,"")</f>
        <v/>
      </c>
      <c r="Q986" s="12" t="n">
        <f aca="false">INDEX(Directions!$D$2:$D$100,MATCH(C986,Directions!$A$2:$A$100,0))</f>
        <v>-1</v>
      </c>
      <c r="R986" s="12" t="str">
        <f aca="false">IF(L986=1,P986*Q986,"")</f>
        <v/>
      </c>
      <c r="S986" s="12" t="str">
        <f aca="false">IF(L986&lt;&gt;1,"Excluded",IF(Q986=0,"No direction",IF(R986&gt;0,"Better",IF(R986&lt;0,"Worse","No change"))))</f>
        <v>Excluded</v>
      </c>
      <c r="T986" s="12" t="s">
        <v>311</v>
      </c>
      <c r="U986" s="12" t="str">
        <f aca="false">C986&amp;"|"&amp;E986</f>
        <v>F11_01|NLD</v>
      </c>
    </row>
    <row r="987" customFormat="false" ht="15" hidden="false" customHeight="false" outlineLevel="0" collapsed="false">
      <c r="A987" s="12" t="n">
        <v>11</v>
      </c>
      <c r="B987" s="12" t="s">
        <v>41</v>
      </c>
      <c r="C987" s="12" t="s">
        <v>241</v>
      </c>
      <c r="D987" s="12" t="s">
        <v>242</v>
      </c>
      <c r="E987" s="12" t="s">
        <v>33</v>
      </c>
      <c r="F987" s="12" t="s">
        <v>33</v>
      </c>
      <c r="G987" s="12" t="s">
        <v>302</v>
      </c>
      <c r="H987" s="12" t="s">
        <v>302</v>
      </c>
      <c r="I987" s="12"/>
      <c r="J987" s="12" t="s">
        <v>302</v>
      </c>
      <c r="K987" s="12" t="s">
        <v>302</v>
      </c>
      <c r="L987" s="28" t="n">
        <v>0</v>
      </c>
      <c r="M987" s="12" t="str">
        <f aca="false">IF(L987=1,COUNTIFS($C$2:$C$1090,C987,$L$2:$L$1090,1),"")</f>
        <v/>
      </c>
      <c r="N987" s="12" t="str">
        <f aca="false">IF(L987=1,1+COUNTIFS($C$2:$C$1090,C987,$L$2:$L$1090,1,$G$2:$G$1090,"&gt;"&amp;G987),"")</f>
        <v/>
      </c>
      <c r="O987" s="12" t="str">
        <f aca="false">IF(L987=1,1+COUNTIFS($C$2:$C$1090,C987,$L$2:$L$1090,1,$H$2:$H$1090,"&gt;"&amp;H987),"")</f>
        <v/>
      </c>
      <c r="P987" s="12" t="str">
        <f aca="false">IF(L987=1,N987-O987,"")</f>
        <v/>
      </c>
      <c r="Q987" s="12" t="n">
        <f aca="false">INDEX(Directions!$D$2:$D$100,MATCH(C987,Directions!$A$2:$A$100,0))</f>
        <v>-1</v>
      </c>
      <c r="R987" s="12" t="str">
        <f aca="false">IF(L987=1,P987*Q987,"")</f>
        <v/>
      </c>
      <c r="S987" s="12" t="str">
        <f aca="false">IF(L987&lt;&gt;1,"Excluded",IF(Q987=0,"No direction",IF(R987&gt;0,"Better",IF(R987&lt;0,"Worse","No change"))))</f>
        <v>Excluded</v>
      </c>
      <c r="T987" s="12" t="s">
        <v>304</v>
      </c>
      <c r="U987" s="12" t="str">
        <f aca="false">C987&amp;"|"&amp;E987</f>
        <v>F11_01|CHE</v>
      </c>
    </row>
    <row r="988" customFormat="false" ht="15" hidden="false" customHeight="false" outlineLevel="0" collapsed="false">
      <c r="A988" s="12" t="n">
        <v>11</v>
      </c>
      <c r="B988" s="12" t="s">
        <v>41</v>
      </c>
      <c r="C988" s="12" t="s">
        <v>241</v>
      </c>
      <c r="D988" s="12" t="s">
        <v>242</v>
      </c>
      <c r="E988" s="12" t="s">
        <v>287</v>
      </c>
      <c r="F988" s="12" t="s">
        <v>34</v>
      </c>
      <c r="G988" s="12" t="s">
        <v>302</v>
      </c>
      <c r="H988" s="12" t="n">
        <v>-1.3</v>
      </c>
      <c r="I988" s="12" t="s">
        <v>325</v>
      </c>
      <c r="J988" s="12" t="s">
        <v>302</v>
      </c>
      <c r="K988" s="12" t="n">
        <v>8</v>
      </c>
      <c r="L988" s="28" t="n">
        <v>0</v>
      </c>
      <c r="M988" s="12" t="str">
        <f aca="false">IF(L988=1,COUNTIFS($C$2:$C$1090,C988,$L$2:$L$1090,1),"")</f>
        <v/>
      </c>
      <c r="N988" s="12" t="str">
        <f aca="false">IF(L988=1,1+COUNTIFS($C$2:$C$1090,C988,$L$2:$L$1090,1,$G$2:$G$1090,"&gt;"&amp;G988),"")</f>
        <v/>
      </c>
      <c r="O988" s="12" t="str">
        <f aca="false">IF(L988=1,1+COUNTIFS($C$2:$C$1090,C988,$L$2:$L$1090,1,$H$2:$H$1090,"&gt;"&amp;H988),"")</f>
        <v/>
      </c>
      <c r="P988" s="12" t="str">
        <f aca="false">IF(L988=1,N988-O988,"")</f>
        <v/>
      </c>
      <c r="Q988" s="12" t="n">
        <f aca="false">INDEX(Directions!$D$2:$D$100,MATCH(C988,Directions!$A$2:$A$100,0))</f>
        <v>-1</v>
      </c>
      <c r="R988" s="12" t="str">
        <f aca="false">IF(L988=1,P988*Q988,"")</f>
        <v/>
      </c>
      <c r="S988" s="12" t="str">
        <f aca="false">IF(L988&lt;&gt;1,"Excluded",IF(Q988=0,"No direction",IF(R988&gt;0,"Better",IF(R988&lt;0,"Worse","No change"))))</f>
        <v>Excluded</v>
      </c>
      <c r="T988" s="12" t="s">
        <v>311</v>
      </c>
      <c r="U988" s="12" t="str">
        <f aca="false">C988&amp;"|"&amp;E988</f>
        <v>F11_01|DNK</v>
      </c>
    </row>
    <row r="989" customFormat="false" ht="15" hidden="false" customHeight="false" outlineLevel="0" collapsed="false">
      <c r="A989" s="12" t="n">
        <v>11</v>
      </c>
      <c r="B989" s="12" t="s">
        <v>41</v>
      </c>
      <c r="C989" s="12" t="s">
        <v>241</v>
      </c>
      <c r="D989" s="12" t="s">
        <v>242</v>
      </c>
      <c r="E989" s="12" t="s">
        <v>288</v>
      </c>
      <c r="F989" s="12" t="s">
        <v>35</v>
      </c>
      <c r="G989" s="12" t="n">
        <v>1.9</v>
      </c>
      <c r="H989" s="12" t="n">
        <v>2.2</v>
      </c>
      <c r="I989" s="12" t="s">
        <v>319</v>
      </c>
      <c r="J989" s="12" t="n">
        <v>2</v>
      </c>
      <c r="K989" s="12" t="n">
        <v>2</v>
      </c>
      <c r="L989" s="28" t="n">
        <v>1</v>
      </c>
      <c r="M989" s="12" t="n">
        <f aca="false">IF(L989=1,COUNTIFS($C$2:$C$1090,C989,$L$2:$L$1090,1),"")</f>
        <v>5</v>
      </c>
      <c r="N989" s="12" t="n">
        <f aca="false">IF(L989=1,1+COUNTIFS($C$2:$C$1090,C989,$L$2:$L$1090,1,$G$2:$G$1090,"&gt;"&amp;G989),"")</f>
        <v>2</v>
      </c>
      <c r="O989" s="12" t="n">
        <f aca="false">IF(L989=1,1+COUNTIFS($C$2:$C$1090,C989,$L$2:$L$1090,1,$H$2:$H$1090,"&gt;"&amp;H989),"")</f>
        <v>2</v>
      </c>
      <c r="P989" s="12" t="n">
        <f aca="false">IF(L989=1,N989-O989,"")</f>
        <v>0</v>
      </c>
      <c r="Q989" s="12" t="n">
        <f aca="false">INDEX(Directions!$D$2:$D$100,MATCH(C989,Directions!$A$2:$A$100,0))</f>
        <v>-1</v>
      </c>
      <c r="R989" s="12" t="n">
        <f aca="false">IF(L989=1,P989*Q989,"")</f>
        <v>-0</v>
      </c>
      <c r="S989" s="12" t="str">
        <f aca="false">IF(L989&lt;&gt;1,"Excluded",IF(Q989=0,"No direction",IF(R989&gt;0,"Better",IF(R989&lt;0,"Worse","No change"))))</f>
        <v>No change</v>
      </c>
      <c r="T989" s="12" t="s">
        <v>334</v>
      </c>
      <c r="U989" s="12" t="str">
        <f aca="false">C989&amp;"|"&amp;E989</f>
        <v>F11_01|CAN</v>
      </c>
    </row>
    <row r="990" customFormat="false" ht="15" hidden="false" customHeight="false" outlineLevel="0" collapsed="false">
      <c r="A990" s="12" t="n">
        <v>11</v>
      </c>
      <c r="B990" s="12" t="s">
        <v>41</v>
      </c>
      <c r="C990" s="12" t="s">
        <v>241</v>
      </c>
      <c r="D990" s="12" t="s">
        <v>242</v>
      </c>
      <c r="E990" s="12" t="s">
        <v>289</v>
      </c>
      <c r="F990" s="12" t="s">
        <v>36</v>
      </c>
      <c r="G990" s="12" t="s">
        <v>302</v>
      </c>
      <c r="H990" s="12" t="s">
        <v>302</v>
      </c>
      <c r="I990" s="12"/>
      <c r="J990" s="12" t="s">
        <v>302</v>
      </c>
      <c r="K990" s="12" t="s">
        <v>302</v>
      </c>
      <c r="L990" s="28" t="n">
        <v>0</v>
      </c>
      <c r="M990" s="12" t="str">
        <f aca="false">IF(L990=1,COUNTIFS($C$2:$C$1090,C990,$L$2:$L$1090,1),"")</f>
        <v/>
      </c>
      <c r="N990" s="12" t="str">
        <f aca="false">IF(L990=1,1+COUNTIFS($C$2:$C$1090,C990,$L$2:$L$1090,1,$G$2:$G$1090,"&gt;"&amp;G990),"")</f>
        <v/>
      </c>
      <c r="O990" s="12" t="str">
        <f aca="false">IF(L990=1,1+COUNTIFS($C$2:$C$1090,C990,$L$2:$L$1090,1,$H$2:$H$1090,"&gt;"&amp;H990),"")</f>
        <v/>
      </c>
      <c r="P990" s="12" t="str">
        <f aca="false">IF(L990=1,N990-O990,"")</f>
        <v/>
      </c>
      <c r="Q990" s="12" t="n">
        <f aca="false">INDEX(Directions!$D$2:$D$100,MATCH(C990,Directions!$A$2:$A$100,0))</f>
        <v>-1</v>
      </c>
      <c r="R990" s="12" t="str">
        <f aca="false">IF(L990=1,P990*Q990,"")</f>
        <v/>
      </c>
      <c r="S990" s="12" t="str">
        <f aca="false">IF(L990&lt;&gt;1,"Excluded",IF(Q990=0,"No direction",IF(R990&gt;0,"Better",IF(R990&lt;0,"Worse","No change"))))</f>
        <v>Excluded</v>
      </c>
      <c r="T990" s="12" t="s">
        <v>304</v>
      </c>
      <c r="U990" s="12" t="str">
        <f aca="false">C990&amp;"|"&amp;E990</f>
        <v>F11_01|JPN</v>
      </c>
    </row>
    <row r="991" customFormat="false" ht="15" hidden="false" customHeight="false" outlineLevel="0" collapsed="false">
      <c r="A991" s="12" t="n">
        <v>11</v>
      </c>
      <c r="B991" s="12" t="s">
        <v>41</v>
      </c>
      <c r="C991" s="12" t="s">
        <v>241</v>
      </c>
      <c r="D991" s="12" t="s">
        <v>242</v>
      </c>
      <c r="E991" s="12" t="s">
        <v>290</v>
      </c>
      <c r="F991" s="12" t="s">
        <v>37</v>
      </c>
      <c r="G991" s="12" t="s">
        <v>302</v>
      </c>
      <c r="H991" s="12" t="s">
        <v>302</v>
      </c>
      <c r="I991" s="12"/>
      <c r="J991" s="12" t="s">
        <v>302</v>
      </c>
      <c r="K991" s="12" t="s">
        <v>302</v>
      </c>
      <c r="L991" s="28" t="n">
        <v>0</v>
      </c>
      <c r="M991" s="12" t="str">
        <f aca="false">IF(L991=1,COUNTIFS($C$2:$C$1090,C991,$L$2:$L$1090,1),"")</f>
        <v/>
      </c>
      <c r="N991" s="12" t="str">
        <f aca="false">IF(L991=1,1+COUNTIFS($C$2:$C$1090,C991,$L$2:$L$1090,1,$G$2:$G$1090,"&gt;"&amp;G991),"")</f>
        <v/>
      </c>
      <c r="O991" s="12" t="str">
        <f aca="false">IF(L991=1,1+COUNTIFS($C$2:$C$1090,C991,$L$2:$L$1090,1,$H$2:$H$1090,"&gt;"&amp;H991),"")</f>
        <v/>
      </c>
      <c r="P991" s="12" t="str">
        <f aca="false">IF(L991=1,N991-O991,"")</f>
        <v/>
      </c>
      <c r="Q991" s="12" t="n">
        <f aca="false">INDEX(Directions!$D$2:$D$100,MATCH(C991,Directions!$A$2:$A$100,0))</f>
        <v>-1</v>
      </c>
      <c r="R991" s="12" t="str">
        <f aca="false">IF(L991=1,P991*Q991,"")</f>
        <v/>
      </c>
      <c r="S991" s="12" t="str">
        <f aca="false">IF(L991&lt;&gt;1,"Excluded",IF(Q991=0,"No direction",IF(R991&gt;0,"Better",IF(R991&lt;0,"Worse","No change"))))</f>
        <v>Excluded</v>
      </c>
      <c r="T991" s="12" t="s">
        <v>304</v>
      </c>
      <c r="U991" s="12" t="str">
        <f aca="false">C991&amp;"|"&amp;E991</f>
        <v>F11_01|AUS</v>
      </c>
    </row>
    <row r="992" customFormat="false" ht="15" hidden="false" customHeight="false" outlineLevel="0" collapsed="false">
      <c r="A992" s="12" t="n">
        <v>11</v>
      </c>
      <c r="B992" s="12" t="s">
        <v>41</v>
      </c>
      <c r="C992" s="12" t="s">
        <v>244</v>
      </c>
      <c r="D992" s="12" t="s">
        <v>245</v>
      </c>
      <c r="E992" s="12" t="s">
        <v>281</v>
      </c>
      <c r="F992" s="12" t="s">
        <v>27</v>
      </c>
      <c r="G992" s="12" t="n">
        <v>11</v>
      </c>
      <c r="H992" s="12" t="n">
        <v>10.93</v>
      </c>
      <c r="I992" s="12" t="s">
        <v>291</v>
      </c>
      <c r="J992" s="12" t="n">
        <v>8</v>
      </c>
      <c r="K992" s="12" t="n">
        <v>9</v>
      </c>
      <c r="L992" s="28" t="n">
        <v>1</v>
      </c>
      <c r="M992" s="12" t="n">
        <f aca="false">IF(L992=1,COUNTIFS($C$2:$C$1090,C992,$L$2:$L$1090,1),"")</f>
        <v>11</v>
      </c>
      <c r="N992" s="12" t="n">
        <f aca="false">IF(L992=1,1+COUNTIFS($C$2:$C$1090,C992,$L$2:$L$1090,1,$G$2:$G$1090,"&gt;"&amp;G992),"")</f>
        <v>8</v>
      </c>
      <c r="O992" s="12" t="n">
        <f aca="false">IF(L992=1,1+COUNTIFS($C$2:$C$1090,C992,$L$2:$L$1090,1,$H$2:$H$1090,"&gt;"&amp;H992),"")</f>
        <v>9</v>
      </c>
      <c r="P992" s="12" t="n">
        <f aca="false">IF(L992=1,N992-O992,"")</f>
        <v>-1</v>
      </c>
      <c r="Q992" s="12" t="n">
        <f aca="false">INDEX(Directions!$D$2:$D$100,MATCH(C992,Directions!$A$2:$A$100,0))</f>
        <v>-1</v>
      </c>
      <c r="R992" s="12" t="n">
        <f aca="false">IF(L992=1,P992*Q992,"")</f>
        <v>1</v>
      </c>
      <c r="S992" s="12" t="str">
        <f aca="false">IF(L992&lt;&gt;1,"Excluded",IF(Q992=0,"No direction",IF(R992&gt;0,"Better",IF(R992&lt;0,"Worse","No change"))))</f>
        <v>Better</v>
      </c>
      <c r="T992" s="12" t="s">
        <v>335</v>
      </c>
      <c r="U992" s="12" t="str">
        <f aca="false">C992&amp;"|"&amp;E992</f>
        <v>F11_02|USA</v>
      </c>
    </row>
    <row r="993" customFormat="false" ht="15" hidden="false" customHeight="false" outlineLevel="0" collapsed="false">
      <c r="A993" s="12" t="n">
        <v>11</v>
      </c>
      <c r="B993" s="12" t="s">
        <v>41</v>
      </c>
      <c r="C993" s="12" t="s">
        <v>244</v>
      </c>
      <c r="D993" s="12" t="s">
        <v>245</v>
      </c>
      <c r="E993" s="12" t="s">
        <v>283</v>
      </c>
      <c r="F993" s="12" t="s">
        <v>28</v>
      </c>
      <c r="G993" s="12" t="n">
        <v>9.7</v>
      </c>
      <c r="H993" s="12" t="n">
        <v>14.56</v>
      </c>
      <c r="I993" s="12" t="s">
        <v>293</v>
      </c>
      <c r="J993" s="12" t="n">
        <v>9</v>
      </c>
      <c r="K993" s="12" t="n">
        <v>4</v>
      </c>
      <c r="L993" s="28" t="n">
        <v>1</v>
      </c>
      <c r="M993" s="12" t="n">
        <f aca="false">IF(L993=1,COUNTIFS($C$2:$C$1090,C993,$L$2:$L$1090,1),"")</f>
        <v>11</v>
      </c>
      <c r="N993" s="12" t="n">
        <f aca="false">IF(L993=1,1+COUNTIFS($C$2:$C$1090,C993,$L$2:$L$1090,1,$G$2:$G$1090,"&gt;"&amp;G993),"")</f>
        <v>9</v>
      </c>
      <c r="O993" s="12" t="n">
        <f aca="false">IF(L993=1,1+COUNTIFS($C$2:$C$1090,C993,$L$2:$L$1090,1,$H$2:$H$1090,"&gt;"&amp;H993),"")</f>
        <v>4</v>
      </c>
      <c r="P993" s="12" t="n">
        <f aca="false">IF(L993=1,N993-O993,"")</f>
        <v>5</v>
      </c>
      <c r="Q993" s="12" t="n">
        <f aca="false">INDEX(Directions!$D$2:$D$100,MATCH(C993,Directions!$A$2:$A$100,0))</f>
        <v>-1</v>
      </c>
      <c r="R993" s="12" t="n">
        <f aca="false">IF(L993=1,P993*Q993,"")</f>
        <v>-5</v>
      </c>
      <c r="S993" s="12" t="str">
        <f aca="false">IF(L993&lt;&gt;1,"Excluded",IF(Q993=0,"No direction",IF(R993&gt;0,"Better",IF(R993&lt;0,"Worse","No change"))))</f>
        <v>Worse</v>
      </c>
      <c r="T993" s="12" t="s">
        <v>335</v>
      </c>
      <c r="U993" s="12" t="str">
        <f aca="false">C993&amp;"|"&amp;E993</f>
        <v>F11_02|GBR</v>
      </c>
    </row>
    <row r="994" customFormat="false" ht="15" hidden="false" customHeight="false" outlineLevel="0" collapsed="false">
      <c r="A994" s="12" t="n">
        <v>11</v>
      </c>
      <c r="B994" s="12" t="s">
        <v>41</v>
      </c>
      <c r="C994" s="12" t="s">
        <v>244</v>
      </c>
      <c r="D994" s="12" t="s">
        <v>245</v>
      </c>
      <c r="E994" s="12" t="s">
        <v>284</v>
      </c>
      <c r="F994" s="12" t="s">
        <v>29</v>
      </c>
      <c r="G994" s="12" t="n">
        <v>13.2</v>
      </c>
      <c r="H994" s="12" t="n">
        <v>10.71</v>
      </c>
      <c r="I994" s="12" t="s">
        <v>293</v>
      </c>
      <c r="J994" s="12" t="n">
        <v>7</v>
      </c>
      <c r="K994" s="12" t="n">
        <v>10</v>
      </c>
      <c r="L994" s="28" t="n">
        <v>1</v>
      </c>
      <c r="M994" s="12" t="n">
        <f aca="false">IF(L994=1,COUNTIFS($C$2:$C$1090,C994,$L$2:$L$1090,1),"")</f>
        <v>11</v>
      </c>
      <c r="N994" s="12" t="n">
        <f aca="false">IF(L994=1,1+COUNTIFS($C$2:$C$1090,C994,$L$2:$L$1090,1,$G$2:$G$1090,"&gt;"&amp;G994),"")</f>
        <v>7</v>
      </c>
      <c r="O994" s="12" t="n">
        <f aca="false">IF(L994=1,1+COUNTIFS($C$2:$C$1090,C994,$L$2:$L$1090,1,$H$2:$H$1090,"&gt;"&amp;H994),"")</f>
        <v>10</v>
      </c>
      <c r="P994" s="12" t="n">
        <f aca="false">IF(L994=1,N994-O994,"")</f>
        <v>-3</v>
      </c>
      <c r="Q994" s="12" t="n">
        <f aca="false">INDEX(Directions!$D$2:$D$100,MATCH(C994,Directions!$A$2:$A$100,0))</f>
        <v>-1</v>
      </c>
      <c r="R994" s="12" t="n">
        <f aca="false">IF(L994=1,P994*Q994,"")</f>
        <v>3</v>
      </c>
      <c r="S994" s="12" t="str">
        <f aca="false">IF(L994&lt;&gt;1,"Excluded",IF(Q994=0,"No direction",IF(R994&gt;0,"Better",IF(R994&lt;0,"Worse","No change"))))</f>
        <v>Better</v>
      </c>
      <c r="T994" s="12" t="s">
        <v>335</v>
      </c>
      <c r="U994" s="12" t="str">
        <f aca="false">C994&amp;"|"&amp;E994</f>
        <v>F11_02|DEU</v>
      </c>
    </row>
    <row r="995" customFormat="false" ht="15" hidden="false" customHeight="false" outlineLevel="0" collapsed="false">
      <c r="A995" s="12" t="n">
        <v>11</v>
      </c>
      <c r="B995" s="12" t="s">
        <v>41</v>
      </c>
      <c r="C995" s="12" t="s">
        <v>244</v>
      </c>
      <c r="D995" s="12" t="s">
        <v>245</v>
      </c>
      <c r="E995" s="12" t="s">
        <v>285</v>
      </c>
      <c r="F995" s="12" t="s">
        <v>30</v>
      </c>
      <c r="G995" s="12" t="n">
        <v>14.1</v>
      </c>
      <c r="H995" s="12" t="n">
        <v>13.38</v>
      </c>
      <c r="I995" s="12" t="s">
        <v>293</v>
      </c>
      <c r="J995" s="12" t="n">
        <v>3</v>
      </c>
      <c r="K995" s="12" t="n">
        <v>6</v>
      </c>
      <c r="L995" s="28" t="n">
        <v>1</v>
      </c>
      <c r="M995" s="12" t="n">
        <f aca="false">IF(L995=1,COUNTIFS($C$2:$C$1090,C995,$L$2:$L$1090,1),"")</f>
        <v>11</v>
      </c>
      <c r="N995" s="12" t="n">
        <f aca="false">IF(L995=1,1+COUNTIFS($C$2:$C$1090,C995,$L$2:$L$1090,1,$G$2:$G$1090,"&gt;"&amp;G995),"")</f>
        <v>3</v>
      </c>
      <c r="O995" s="12" t="n">
        <f aca="false">IF(L995=1,1+COUNTIFS($C$2:$C$1090,C995,$L$2:$L$1090,1,$H$2:$H$1090,"&gt;"&amp;H995),"")</f>
        <v>6</v>
      </c>
      <c r="P995" s="12" t="n">
        <f aca="false">IF(L995=1,N995-O995,"")</f>
        <v>-3</v>
      </c>
      <c r="Q995" s="12" t="n">
        <f aca="false">INDEX(Directions!$D$2:$D$100,MATCH(C995,Directions!$A$2:$A$100,0))</f>
        <v>-1</v>
      </c>
      <c r="R995" s="12" t="n">
        <f aca="false">IF(L995=1,P995*Q995,"")</f>
        <v>3</v>
      </c>
      <c r="S995" s="12" t="str">
        <f aca="false">IF(L995&lt;&gt;1,"Excluded",IF(Q995=0,"No direction",IF(R995&gt;0,"Better",IF(R995&lt;0,"Worse","No change"))))</f>
        <v>Better</v>
      </c>
      <c r="T995" s="12" t="s">
        <v>335</v>
      </c>
      <c r="U995" s="12" t="str">
        <f aca="false">C995&amp;"|"&amp;E995</f>
        <v>F11_02|SWE</v>
      </c>
    </row>
    <row r="996" customFormat="false" ht="15" hidden="false" customHeight="false" outlineLevel="0" collapsed="false">
      <c r="A996" s="12" t="n">
        <v>11</v>
      </c>
      <c r="B996" s="12" t="s">
        <v>41</v>
      </c>
      <c r="C996" s="12" t="s">
        <v>244</v>
      </c>
      <c r="D996" s="12" t="s">
        <v>245</v>
      </c>
      <c r="E996" s="12" t="s">
        <v>286</v>
      </c>
      <c r="F996" s="12" t="s">
        <v>31</v>
      </c>
      <c r="G996" s="12" t="n">
        <v>6.3</v>
      </c>
      <c r="H996" s="12" t="n">
        <v>9.23</v>
      </c>
      <c r="I996" s="12" t="s">
        <v>293</v>
      </c>
      <c r="J996" s="12" t="n">
        <v>10</v>
      </c>
      <c r="K996" s="12" t="n">
        <v>11</v>
      </c>
      <c r="L996" s="28" t="n">
        <v>1</v>
      </c>
      <c r="M996" s="12" t="n">
        <f aca="false">IF(L996=1,COUNTIFS($C$2:$C$1090,C996,$L$2:$L$1090,1),"")</f>
        <v>11</v>
      </c>
      <c r="N996" s="12" t="n">
        <f aca="false">IF(L996=1,1+COUNTIFS($C$2:$C$1090,C996,$L$2:$L$1090,1,$G$2:$G$1090,"&gt;"&amp;G996),"")</f>
        <v>10</v>
      </c>
      <c r="O996" s="12" t="n">
        <f aca="false">IF(L996=1,1+COUNTIFS($C$2:$C$1090,C996,$L$2:$L$1090,1,$H$2:$H$1090,"&gt;"&amp;H996),"")</f>
        <v>11</v>
      </c>
      <c r="P996" s="12" t="n">
        <f aca="false">IF(L996=1,N996-O996,"")</f>
        <v>-1</v>
      </c>
      <c r="Q996" s="12" t="n">
        <f aca="false">INDEX(Directions!$D$2:$D$100,MATCH(C996,Directions!$A$2:$A$100,0))</f>
        <v>-1</v>
      </c>
      <c r="R996" s="12" t="n">
        <f aca="false">IF(L996=1,P996*Q996,"")</f>
        <v>1</v>
      </c>
      <c r="S996" s="12" t="str">
        <f aca="false">IF(L996&lt;&gt;1,"Excluded",IF(Q996=0,"No direction",IF(R996&gt;0,"Better",IF(R996&lt;0,"Worse","No change"))))</f>
        <v>Better</v>
      </c>
      <c r="T996" s="12" t="s">
        <v>335</v>
      </c>
      <c r="U996" s="12" t="str">
        <f aca="false">C996&amp;"|"&amp;E996</f>
        <v>F11_02|FRA</v>
      </c>
    </row>
    <row r="997" customFormat="false" ht="15" hidden="false" customHeight="false" outlineLevel="0" collapsed="false">
      <c r="A997" s="12" t="n">
        <v>11</v>
      </c>
      <c r="B997" s="12" t="s">
        <v>41</v>
      </c>
      <c r="C997" s="12" t="s">
        <v>244</v>
      </c>
      <c r="D997" s="12" t="s">
        <v>245</v>
      </c>
      <c r="E997" s="12" t="s">
        <v>32</v>
      </c>
      <c r="F997" s="12" t="s">
        <v>32</v>
      </c>
      <c r="G997" s="12" t="n">
        <v>5.2</v>
      </c>
      <c r="H997" s="12" t="n">
        <v>11.79</v>
      </c>
      <c r="I997" s="12" t="s">
        <v>293</v>
      </c>
      <c r="J997" s="12" t="n">
        <v>11</v>
      </c>
      <c r="K997" s="12" t="n">
        <v>8</v>
      </c>
      <c r="L997" s="28" t="n">
        <v>1</v>
      </c>
      <c r="M997" s="12" t="n">
        <f aca="false">IF(L997=1,COUNTIFS($C$2:$C$1090,C997,$L$2:$L$1090,1),"")</f>
        <v>11</v>
      </c>
      <c r="N997" s="12" t="n">
        <f aca="false">IF(L997=1,1+COUNTIFS($C$2:$C$1090,C997,$L$2:$L$1090,1,$G$2:$G$1090,"&gt;"&amp;G997),"")</f>
        <v>11</v>
      </c>
      <c r="O997" s="12" t="n">
        <f aca="false">IF(L997=1,1+COUNTIFS($C$2:$C$1090,C997,$L$2:$L$1090,1,$H$2:$H$1090,"&gt;"&amp;H997),"")</f>
        <v>8</v>
      </c>
      <c r="P997" s="12" t="n">
        <f aca="false">IF(L997=1,N997-O997,"")</f>
        <v>3</v>
      </c>
      <c r="Q997" s="12" t="n">
        <f aca="false">INDEX(Directions!$D$2:$D$100,MATCH(C997,Directions!$A$2:$A$100,0))</f>
        <v>-1</v>
      </c>
      <c r="R997" s="12" t="n">
        <f aca="false">IF(L997=1,P997*Q997,"")</f>
        <v>-3</v>
      </c>
      <c r="S997" s="12" t="str">
        <f aca="false">IF(L997&lt;&gt;1,"Excluded",IF(Q997=0,"No direction",IF(R997&gt;0,"Better",IF(R997&lt;0,"Worse","No change"))))</f>
        <v>Worse</v>
      </c>
      <c r="T997" s="12" t="s">
        <v>335</v>
      </c>
      <c r="U997" s="12" t="str">
        <f aca="false">C997&amp;"|"&amp;E997</f>
        <v>F11_02|NLD</v>
      </c>
    </row>
    <row r="998" customFormat="false" ht="15" hidden="false" customHeight="false" outlineLevel="0" collapsed="false">
      <c r="A998" s="12" t="n">
        <v>11</v>
      </c>
      <c r="B998" s="12" t="s">
        <v>41</v>
      </c>
      <c r="C998" s="12" t="s">
        <v>244</v>
      </c>
      <c r="D998" s="12" t="s">
        <v>245</v>
      </c>
      <c r="E998" s="12" t="s">
        <v>33</v>
      </c>
      <c r="F998" s="12" t="s">
        <v>33</v>
      </c>
      <c r="G998" s="12" t="n">
        <v>26.8</v>
      </c>
      <c r="H998" s="12" t="n">
        <v>22.03</v>
      </c>
      <c r="I998" s="12" t="s">
        <v>291</v>
      </c>
      <c r="J998" s="12" t="n">
        <v>1</v>
      </c>
      <c r="K998" s="12" t="n">
        <v>1</v>
      </c>
      <c r="L998" s="28" t="n">
        <v>1</v>
      </c>
      <c r="M998" s="12" t="n">
        <f aca="false">IF(L998=1,COUNTIFS($C$2:$C$1090,C998,$L$2:$L$1090,1),"")</f>
        <v>11</v>
      </c>
      <c r="N998" s="12" t="n">
        <f aca="false">IF(L998=1,1+COUNTIFS($C$2:$C$1090,C998,$L$2:$L$1090,1,$G$2:$G$1090,"&gt;"&amp;G998),"")</f>
        <v>1</v>
      </c>
      <c r="O998" s="12" t="n">
        <f aca="false">IF(L998=1,1+COUNTIFS($C$2:$C$1090,C998,$L$2:$L$1090,1,$H$2:$H$1090,"&gt;"&amp;H998),"")</f>
        <v>1</v>
      </c>
      <c r="P998" s="12" t="n">
        <f aca="false">IF(L998=1,N998-O998,"")</f>
        <v>0</v>
      </c>
      <c r="Q998" s="12" t="n">
        <f aca="false">INDEX(Directions!$D$2:$D$100,MATCH(C998,Directions!$A$2:$A$100,0))</f>
        <v>-1</v>
      </c>
      <c r="R998" s="12" t="n">
        <f aca="false">IF(L998=1,P998*Q998,"")</f>
        <v>-0</v>
      </c>
      <c r="S998" s="12" t="str">
        <f aca="false">IF(L998&lt;&gt;1,"Excluded",IF(Q998=0,"No direction",IF(R998&gt;0,"Better",IF(R998&lt;0,"Worse","No change"))))</f>
        <v>No change</v>
      </c>
      <c r="T998" s="12" t="s">
        <v>335</v>
      </c>
      <c r="U998" s="12" t="str">
        <f aca="false">C998&amp;"|"&amp;E998</f>
        <v>F11_02|CHE</v>
      </c>
    </row>
    <row r="999" customFormat="false" ht="15" hidden="false" customHeight="false" outlineLevel="0" collapsed="false">
      <c r="A999" s="12" t="n">
        <v>11</v>
      </c>
      <c r="B999" s="12" t="s">
        <v>41</v>
      </c>
      <c r="C999" s="12" t="s">
        <v>244</v>
      </c>
      <c r="D999" s="12" t="s">
        <v>245</v>
      </c>
      <c r="E999" s="12" t="s">
        <v>287</v>
      </c>
      <c r="F999" s="12" t="s">
        <v>34</v>
      </c>
      <c r="G999" s="12" t="n">
        <v>13.4</v>
      </c>
      <c r="H999" s="12" t="n">
        <v>13.87</v>
      </c>
      <c r="I999" s="12" t="s">
        <v>293</v>
      </c>
      <c r="J999" s="12" t="n">
        <v>6</v>
      </c>
      <c r="K999" s="12" t="n">
        <v>5</v>
      </c>
      <c r="L999" s="28" t="n">
        <v>1</v>
      </c>
      <c r="M999" s="12" t="n">
        <f aca="false">IF(L999=1,COUNTIFS($C$2:$C$1090,C999,$L$2:$L$1090,1),"")</f>
        <v>11</v>
      </c>
      <c r="N999" s="12" t="n">
        <f aca="false">IF(L999=1,1+COUNTIFS($C$2:$C$1090,C999,$L$2:$L$1090,1,$G$2:$G$1090,"&gt;"&amp;G999),"")</f>
        <v>6</v>
      </c>
      <c r="O999" s="12" t="n">
        <f aca="false">IF(L999=1,1+COUNTIFS($C$2:$C$1090,C999,$L$2:$L$1090,1,$H$2:$H$1090,"&gt;"&amp;H999),"")</f>
        <v>5</v>
      </c>
      <c r="P999" s="12" t="n">
        <f aca="false">IF(L999=1,N999-O999,"")</f>
        <v>1</v>
      </c>
      <c r="Q999" s="12" t="n">
        <f aca="false">INDEX(Directions!$D$2:$D$100,MATCH(C999,Directions!$A$2:$A$100,0))</f>
        <v>-1</v>
      </c>
      <c r="R999" s="12" t="n">
        <f aca="false">IF(L999=1,P999*Q999,"")</f>
        <v>-1</v>
      </c>
      <c r="S999" s="12" t="str">
        <f aca="false">IF(L999&lt;&gt;1,"Excluded",IF(Q999=0,"No direction",IF(R999&gt;0,"Better",IF(R999&lt;0,"Worse","No change"))))</f>
        <v>Worse</v>
      </c>
      <c r="T999" s="12" t="s">
        <v>335</v>
      </c>
      <c r="U999" s="12" t="str">
        <f aca="false">C999&amp;"|"&amp;E999</f>
        <v>F11_02|DNK</v>
      </c>
    </row>
    <row r="1000" customFormat="false" ht="15" hidden="false" customHeight="false" outlineLevel="0" collapsed="false">
      <c r="A1000" s="12" t="n">
        <v>11</v>
      </c>
      <c r="B1000" s="12" t="s">
        <v>41</v>
      </c>
      <c r="C1000" s="12" t="s">
        <v>244</v>
      </c>
      <c r="D1000" s="12" t="s">
        <v>245</v>
      </c>
      <c r="E1000" s="12" t="s">
        <v>288</v>
      </c>
      <c r="F1000" s="12" t="s">
        <v>35</v>
      </c>
      <c r="G1000" s="12" t="n">
        <v>13.6</v>
      </c>
      <c r="H1000" s="12" t="n">
        <v>15.28</v>
      </c>
      <c r="I1000" s="12" t="s">
        <v>293</v>
      </c>
      <c r="J1000" s="12" t="n">
        <v>5</v>
      </c>
      <c r="K1000" s="12" t="n">
        <v>3</v>
      </c>
      <c r="L1000" s="28" t="n">
        <v>1</v>
      </c>
      <c r="M1000" s="12" t="n">
        <f aca="false">IF(L1000=1,COUNTIFS($C$2:$C$1090,C1000,$L$2:$L$1090,1),"")</f>
        <v>11</v>
      </c>
      <c r="N1000" s="12" t="n">
        <f aca="false">IF(L1000=1,1+COUNTIFS($C$2:$C$1090,C1000,$L$2:$L$1090,1,$G$2:$G$1090,"&gt;"&amp;G1000),"")</f>
        <v>5</v>
      </c>
      <c r="O1000" s="12" t="n">
        <f aca="false">IF(L1000=1,1+COUNTIFS($C$2:$C$1090,C1000,$L$2:$L$1090,1,$H$2:$H$1090,"&gt;"&amp;H1000),"")</f>
        <v>3</v>
      </c>
      <c r="P1000" s="12" t="n">
        <f aca="false">IF(L1000=1,N1000-O1000,"")</f>
        <v>2</v>
      </c>
      <c r="Q1000" s="12" t="n">
        <f aca="false">INDEX(Directions!$D$2:$D$100,MATCH(C1000,Directions!$A$2:$A$100,0))</f>
        <v>-1</v>
      </c>
      <c r="R1000" s="12" t="n">
        <f aca="false">IF(L1000=1,P1000*Q1000,"")</f>
        <v>-2</v>
      </c>
      <c r="S1000" s="12" t="str">
        <f aca="false">IF(L1000&lt;&gt;1,"Excluded",IF(Q1000=0,"No direction",IF(R1000&gt;0,"Better",IF(R1000&lt;0,"Worse","No change"))))</f>
        <v>Worse</v>
      </c>
      <c r="T1000" s="12" t="s">
        <v>335</v>
      </c>
      <c r="U1000" s="12" t="str">
        <f aca="false">C1000&amp;"|"&amp;E1000</f>
        <v>F11_02|CAN</v>
      </c>
    </row>
    <row r="1001" customFormat="false" ht="15" hidden="false" customHeight="false" outlineLevel="0" collapsed="false">
      <c r="A1001" s="12" t="n">
        <v>11</v>
      </c>
      <c r="B1001" s="12" t="s">
        <v>41</v>
      </c>
      <c r="C1001" s="12" t="s">
        <v>244</v>
      </c>
      <c r="D1001" s="12" t="s">
        <v>245</v>
      </c>
      <c r="E1001" s="12" t="s">
        <v>289</v>
      </c>
      <c r="F1001" s="12" t="s">
        <v>36</v>
      </c>
      <c r="G1001" s="12" t="n">
        <v>13.9</v>
      </c>
      <c r="H1001" s="12" t="n">
        <v>12.24</v>
      </c>
      <c r="I1001" s="12" t="s">
        <v>291</v>
      </c>
      <c r="J1001" s="12" t="n">
        <v>4</v>
      </c>
      <c r="K1001" s="12" t="n">
        <v>7</v>
      </c>
      <c r="L1001" s="28" t="n">
        <v>1</v>
      </c>
      <c r="M1001" s="12" t="n">
        <f aca="false">IF(L1001=1,COUNTIFS($C$2:$C$1090,C1001,$L$2:$L$1090,1),"")</f>
        <v>11</v>
      </c>
      <c r="N1001" s="12" t="n">
        <f aca="false">IF(L1001=1,1+COUNTIFS($C$2:$C$1090,C1001,$L$2:$L$1090,1,$G$2:$G$1090,"&gt;"&amp;G1001),"")</f>
        <v>4</v>
      </c>
      <c r="O1001" s="12" t="n">
        <f aca="false">IF(L1001=1,1+COUNTIFS($C$2:$C$1090,C1001,$L$2:$L$1090,1,$H$2:$H$1090,"&gt;"&amp;H1001),"")</f>
        <v>7</v>
      </c>
      <c r="P1001" s="12" t="n">
        <f aca="false">IF(L1001=1,N1001-O1001,"")</f>
        <v>-3</v>
      </c>
      <c r="Q1001" s="12" t="n">
        <f aca="false">INDEX(Directions!$D$2:$D$100,MATCH(C1001,Directions!$A$2:$A$100,0))</f>
        <v>-1</v>
      </c>
      <c r="R1001" s="12" t="n">
        <f aca="false">IF(L1001=1,P1001*Q1001,"")</f>
        <v>3</v>
      </c>
      <c r="S1001" s="12" t="str">
        <f aca="false">IF(L1001&lt;&gt;1,"Excluded",IF(Q1001=0,"No direction",IF(R1001&gt;0,"Better",IF(R1001&lt;0,"Worse","No change"))))</f>
        <v>Better</v>
      </c>
      <c r="T1001" s="12" t="s">
        <v>335</v>
      </c>
      <c r="U1001" s="12" t="str">
        <f aca="false">C1001&amp;"|"&amp;E1001</f>
        <v>F11_02|JPN</v>
      </c>
    </row>
    <row r="1002" customFormat="false" ht="15" hidden="false" customHeight="false" outlineLevel="0" collapsed="false">
      <c r="A1002" s="12" t="n">
        <v>11</v>
      </c>
      <c r="B1002" s="12" t="s">
        <v>41</v>
      </c>
      <c r="C1002" s="12" t="s">
        <v>244</v>
      </c>
      <c r="D1002" s="12" t="s">
        <v>245</v>
      </c>
      <c r="E1002" s="12" t="s">
        <v>290</v>
      </c>
      <c r="F1002" s="12" t="s">
        <v>37</v>
      </c>
      <c r="G1002" s="12" t="n">
        <v>18.8</v>
      </c>
      <c r="H1002" s="12" t="n">
        <v>15.85</v>
      </c>
      <c r="I1002" s="12" t="s">
        <v>291</v>
      </c>
      <c r="J1002" s="12" t="n">
        <v>2</v>
      </c>
      <c r="K1002" s="12" t="n">
        <v>2</v>
      </c>
      <c r="L1002" s="28" t="n">
        <v>1</v>
      </c>
      <c r="M1002" s="12" t="n">
        <f aca="false">IF(L1002=1,COUNTIFS($C$2:$C$1090,C1002,$L$2:$L$1090,1),"")</f>
        <v>11</v>
      </c>
      <c r="N1002" s="12" t="n">
        <f aca="false">IF(L1002=1,1+COUNTIFS($C$2:$C$1090,C1002,$L$2:$L$1090,1,$G$2:$G$1090,"&gt;"&amp;G1002),"")</f>
        <v>2</v>
      </c>
      <c r="O1002" s="12" t="n">
        <f aca="false">IF(L1002=1,1+COUNTIFS($C$2:$C$1090,C1002,$L$2:$L$1090,1,$H$2:$H$1090,"&gt;"&amp;H1002),"")</f>
        <v>2</v>
      </c>
      <c r="P1002" s="12" t="n">
        <f aca="false">IF(L1002=1,N1002-O1002,"")</f>
        <v>0</v>
      </c>
      <c r="Q1002" s="12" t="n">
        <f aca="false">INDEX(Directions!$D$2:$D$100,MATCH(C1002,Directions!$A$2:$A$100,0))</f>
        <v>-1</v>
      </c>
      <c r="R1002" s="12" t="n">
        <f aca="false">IF(L1002=1,P1002*Q1002,"")</f>
        <v>-0</v>
      </c>
      <c r="S1002" s="12" t="str">
        <f aca="false">IF(L1002&lt;&gt;1,"Excluded",IF(Q1002=0,"No direction",IF(R1002&gt;0,"Better",IF(R1002&lt;0,"Worse","No change"))))</f>
        <v>No change</v>
      </c>
      <c r="T1002" s="12" t="s">
        <v>335</v>
      </c>
      <c r="U1002" s="12" t="str">
        <f aca="false">C1002&amp;"|"&amp;E1002</f>
        <v>F11_02|AUS</v>
      </c>
    </row>
    <row r="1003" customFormat="false" ht="15" hidden="false" customHeight="false" outlineLevel="0" collapsed="false">
      <c r="A1003" s="12" t="n">
        <v>11</v>
      </c>
      <c r="B1003" s="12" t="s">
        <v>41</v>
      </c>
      <c r="C1003" s="12" t="s">
        <v>247</v>
      </c>
      <c r="D1003" s="12" t="s">
        <v>248</v>
      </c>
      <c r="E1003" s="12" t="s">
        <v>281</v>
      </c>
      <c r="F1003" s="12" t="s">
        <v>27</v>
      </c>
      <c r="G1003" s="12" t="n">
        <v>2.6</v>
      </c>
      <c r="H1003" s="12" t="n">
        <v>2.48</v>
      </c>
      <c r="I1003" s="12" t="s">
        <v>293</v>
      </c>
      <c r="J1003" s="12" t="n">
        <v>4</v>
      </c>
      <c r="K1003" s="12" t="n">
        <v>5</v>
      </c>
      <c r="L1003" s="28" t="n">
        <v>1</v>
      </c>
      <c r="M1003" s="12" t="n">
        <f aca="false">IF(L1003=1,COUNTIFS($C$2:$C$1090,C1003,$L$2:$L$1090,1),"")</f>
        <v>11</v>
      </c>
      <c r="N1003" s="12" t="n">
        <f aca="false">IF(L1003=1,1+COUNTIFS($C$2:$C$1090,C1003,$L$2:$L$1090,1,$G$2:$G$1090,"&gt;"&amp;G1003),"")</f>
        <v>4</v>
      </c>
      <c r="O1003" s="12" t="n">
        <f aca="false">IF(L1003=1,1+COUNTIFS($C$2:$C$1090,C1003,$L$2:$L$1090,1,$H$2:$H$1090,"&gt;"&amp;H1003),"")</f>
        <v>5</v>
      </c>
      <c r="P1003" s="12" t="n">
        <f aca="false">IF(L1003=1,N1003-O1003,"")</f>
        <v>-1</v>
      </c>
      <c r="Q1003" s="12" t="n">
        <f aca="false">INDEX(Directions!$D$2:$D$100,MATCH(C1003,Directions!$A$2:$A$100,0))</f>
        <v>-1</v>
      </c>
      <c r="R1003" s="12" t="n">
        <f aca="false">IF(L1003=1,P1003*Q1003,"")</f>
        <v>1</v>
      </c>
      <c r="S1003" s="12" t="str">
        <f aca="false">IF(L1003&lt;&gt;1,"Excluded",IF(Q1003=0,"No direction",IF(R1003&gt;0,"Better",IF(R1003&lt;0,"Worse","No change"))))</f>
        <v>Better</v>
      </c>
      <c r="T1003" s="12"/>
      <c r="U1003" s="12" t="str">
        <f aca="false">C1003&amp;"|"&amp;E1003</f>
        <v>F11_03|USA</v>
      </c>
    </row>
    <row r="1004" customFormat="false" ht="15" hidden="false" customHeight="false" outlineLevel="0" collapsed="false">
      <c r="A1004" s="12" t="n">
        <v>11</v>
      </c>
      <c r="B1004" s="12" t="s">
        <v>41</v>
      </c>
      <c r="C1004" s="12" t="s">
        <v>247</v>
      </c>
      <c r="D1004" s="12" t="s">
        <v>248</v>
      </c>
      <c r="E1004" s="12" t="s">
        <v>283</v>
      </c>
      <c r="F1004" s="12" t="s">
        <v>28</v>
      </c>
      <c r="G1004" s="12" t="n">
        <v>1.4</v>
      </c>
      <c r="H1004" s="12" t="n">
        <v>1.58</v>
      </c>
      <c r="I1004" s="12" t="s">
        <v>293</v>
      </c>
      <c r="J1004" s="12" t="n">
        <v>9</v>
      </c>
      <c r="K1004" s="12" t="n">
        <v>9</v>
      </c>
      <c r="L1004" s="28" t="n">
        <v>1</v>
      </c>
      <c r="M1004" s="12" t="n">
        <f aca="false">IF(L1004=1,COUNTIFS($C$2:$C$1090,C1004,$L$2:$L$1090,1),"")</f>
        <v>11</v>
      </c>
      <c r="N1004" s="12" t="n">
        <f aca="false">IF(L1004=1,1+COUNTIFS($C$2:$C$1090,C1004,$L$2:$L$1090,1,$G$2:$G$1090,"&gt;"&amp;G1004),"")</f>
        <v>9</v>
      </c>
      <c r="O1004" s="12" t="n">
        <f aca="false">IF(L1004=1,1+COUNTIFS($C$2:$C$1090,C1004,$L$2:$L$1090,1,$H$2:$H$1090,"&gt;"&amp;H1004),"")</f>
        <v>9</v>
      </c>
      <c r="P1004" s="12" t="n">
        <f aca="false">IF(L1004=1,N1004-O1004,"")</f>
        <v>0</v>
      </c>
      <c r="Q1004" s="12" t="n">
        <f aca="false">INDEX(Directions!$D$2:$D$100,MATCH(C1004,Directions!$A$2:$A$100,0))</f>
        <v>-1</v>
      </c>
      <c r="R1004" s="12" t="n">
        <f aca="false">IF(L1004=1,P1004*Q1004,"")</f>
        <v>-0</v>
      </c>
      <c r="S1004" s="12" t="str">
        <f aca="false">IF(L1004&lt;&gt;1,"Excluded",IF(Q1004=0,"No direction",IF(R1004&gt;0,"Better",IF(R1004&lt;0,"Worse","No change"))))</f>
        <v>No change</v>
      </c>
      <c r="T1004" s="12"/>
      <c r="U1004" s="12" t="str">
        <f aca="false">C1004&amp;"|"&amp;E1004</f>
        <v>F11_03|GBR</v>
      </c>
    </row>
    <row r="1005" customFormat="false" ht="15" hidden="false" customHeight="false" outlineLevel="0" collapsed="false">
      <c r="A1005" s="12" t="n">
        <v>11</v>
      </c>
      <c r="B1005" s="12" t="s">
        <v>41</v>
      </c>
      <c r="C1005" s="12" t="s">
        <v>247</v>
      </c>
      <c r="D1005" s="12" t="s">
        <v>248</v>
      </c>
      <c r="E1005" s="12" t="s">
        <v>284</v>
      </c>
      <c r="F1005" s="12" t="s">
        <v>29</v>
      </c>
      <c r="G1005" s="12" t="n">
        <v>1.8</v>
      </c>
      <c r="H1005" s="12" t="n">
        <v>1.39</v>
      </c>
      <c r="I1005" s="12" t="s">
        <v>293</v>
      </c>
      <c r="J1005" s="12" t="n">
        <v>8</v>
      </c>
      <c r="K1005" s="12" t="n">
        <v>10</v>
      </c>
      <c r="L1005" s="28" t="n">
        <v>1</v>
      </c>
      <c r="M1005" s="12" t="n">
        <f aca="false">IF(L1005=1,COUNTIFS($C$2:$C$1090,C1005,$L$2:$L$1090,1),"")</f>
        <v>11</v>
      </c>
      <c r="N1005" s="12" t="n">
        <f aca="false">IF(L1005=1,1+COUNTIFS($C$2:$C$1090,C1005,$L$2:$L$1090,1,$G$2:$G$1090,"&gt;"&amp;G1005),"")</f>
        <v>8</v>
      </c>
      <c r="O1005" s="12" t="n">
        <f aca="false">IF(L1005=1,1+COUNTIFS($C$2:$C$1090,C1005,$L$2:$L$1090,1,$H$2:$H$1090,"&gt;"&amp;H1005),"")</f>
        <v>10</v>
      </c>
      <c r="P1005" s="12" t="n">
        <f aca="false">IF(L1005=1,N1005-O1005,"")</f>
        <v>-2</v>
      </c>
      <c r="Q1005" s="12" t="n">
        <f aca="false">INDEX(Directions!$D$2:$D$100,MATCH(C1005,Directions!$A$2:$A$100,0))</f>
        <v>-1</v>
      </c>
      <c r="R1005" s="12" t="n">
        <f aca="false">IF(L1005=1,P1005*Q1005,"")</f>
        <v>2</v>
      </c>
      <c r="S1005" s="12" t="str">
        <f aca="false">IF(L1005&lt;&gt;1,"Excluded",IF(Q1005=0,"No direction",IF(R1005&gt;0,"Better",IF(R1005&lt;0,"Worse","No change"))))</f>
        <v>Better</v>
      </c>
      <c r="T1005" s="12"/>
      <c r="U1005" s="12" t="str">
        <f aca="false">C1005&amp;"|"&amp;E1005</f>
        <v>F11_03|DEU</v>
      </c>
    </row>
    <row r="1006" customFormat="false" ht="15" hidden="false" customHeight="false" outlineLevel="0" collapsed="false">
      <c r="A1006" s="12" t="n">
        <v>11</v>
      </c>
      <c r="B1006" s="12" t="s">
        <v>41</v>
      </c>
      <c r="C1006" s="12" t="s">
        <v>247</v>
      </c>
      <c r="D1006" s="12" t="s">
        <v>248</v>
      </c>
      <c r="E1006" s="12" t="s">
        <v>285</v>
      </c>
      <c r="F1006" s="12" t="s">
        <v>30</v>
      </c>
      <c r="G1006" s="12" t="n">
        <v>3.4</v>
      </c>
      <c r="H1006" s="12" t="n">
        <v>2.8</v>
      </c>
      <c r="I1006" s="12" t="s">
        <v>293</v>
      </c>
      <c r="J1006" s="12" t="n">
        <v>2</v>
      </c>
      <c r="K1006" s="12" t="n">
        <v>4</v>
      </c>
      <c r="L1006" s="28" t="n">
        <v>1</v>
      </c>
      <c r="M1006" s="12" t="n">
        <f aca="false">IF(L1006=1,COUNTIFS($C$2:$C$1090,C1006,$L$2:$L$1090,1),"")</f>
        <v>11</v>
      </c>
      <c r="N1006" s="12" t="n">
        <f aca="false">IF(L1006=1,1+COUNTIFS($C$2:$C$1090,C1006,$L$2:$L$1090,1,$G$2:$G$1090,"&gt;"&amp;G1006),"")</f>
        <v>2</v>
      </c>
      <c r="O1006" s="12" t="n">
        <f aca="false">IF(L1006=1,1+COUNTIFS($C$2:$C$1090,C1006,$L$2:$L$1090,1,$H$2:$H$1090,"&gt;"&amp;H1006),"")</f>
        <v>4</v>
      </c>
      <c r="P1006" s="12" t="n">
        <f aca="false">IF(L1006=1,N1006-O1006,"")</f>
        <v>-2</v>
      </c>
      <c r="Q1006" s="12" t="n">
        <f aca="false">INDEX(Directions!$D$2:$D$100,MATCH(C1006,Directions!$A$2:$A$100,0))</f>
        <v>-1</v>
      </c>
      <c r="R1006" s="12" t="n">
        <f aca="false">IF(L1006=1,P1006*Q1006,"")</f>
        <v>2</v>
      </c>
      <c r="S1006" s="12" t="str">
        <f aca="false">IF(L1006&lt;&gt;1,"Excluded",IF(Q1006=0,"No direction",IF(R1006&gt;0,"Better",IF(R1006&lt;0,"Worse","No change"))))</f>
        <v>Better</v>
      </c>
      <c r="T1006" s="12"/>
      <c r="U1006" s="12" t="str">
        <f aca="false">C1006&amp;"|"&amp;E1006</f>
        <v>F11_03|SWE</v>
      </c>
    </row>
    <row r="1007" customFormat="false" ht="15" hidden="false" customHeight="false" outlineLevel="0" collapsed="false">
      <c r="A1007" s="12" t="n">
        <v>11</v>
      </c>
      <c r="B1007" s="12" t="s">
        <v>41</v>
      </c>
      <c r="C1007" s="12" t="s">
        <v>247</v>
      </c>
      <c r="D1007" s="12" t="s">
        <v>248</v>
      </c>
      <c r="E1007" s="12" t="s">
        <v>286</v>
      </c>
      <c r="F1007" s="12" t="s">
        <v>31</v>
      </c>
      <c r="G1007" s="12" t="n">
        <v>1.4</v>
      </c>
      <c r="H1007" s="12" t="n">
        <v>1.31</v>
      </c>
      <c r="I1007" s="12" t="s">
        <v>293</v>
      </c>
      <c r="J1007" s="12" t="n">
        <v>10</v>
      </c>
      <c r="K1007" s="12" t="n">
        <v>11</v>
      </c>
      <c r="L1007" s="28" t="n">
        <v>1</v>
      </c>
      <c r="M1007" s="12" t="n">
        <f aca="false">IF(L1007=1,COUNTIFS($C$2:$C$1090,C1007,$L$2:$L$1090,1),"")</f>
        <v>11</v>
      </c>
      <c r="N1007" s="12" t="n">
        <f aca="false">IF(L1007=1,1+COUNTIFS($C$2:$C$1090,C1007,$L$2:$L$1090,1,$G$2:$G$1090,"&gt;"&amp;G1007),"")</f>
        <v>9</v>
      </c>
      <c r="O1007" s="12" t="n">
        <f aca="false">IF(L1007=1,1+COUNTIFS($C$2:$C$1090,C1007,$L$2:$L$1090,1,$H$2:$H$1090,"&gt;"&amp;H1007),"")</f>
        <v>11</v>
      </c>
      <c r="P1007" s="12" t="n">
        <f aca="false">IF(L1007=1,N1007-O1007,"")</f>
        <v>-2</v>
      </c>
      <c r="Q1007" s="12" t="n">
        <f aca="false">INDEX(Directions!$D$2:$D$100,MATCH(C1007,Directions!$A$2:$A$100,0))</f>
        <v>-1</v>
      </c>
      <c r="R1007" s="12" t="n">
        <f aca="false">IF(L1007=1,P1007*Q1007,"")</f>
        <v>2</v>
      </c>
      <c r="S1007" s="12" t="str">
        <f aca="false">IF(L1007&lt;&gt;1,"Excluded",IF(Q1007=0,"No direction",IF(R1007&gt;0,"Better",IF(R1007&lt;0,"Worse","No change"))))</f>
        <v>Better</v>
      </c>
      <c r="T1007" s="12"/>
      <c r="U1007" s="12" t="str">
        <f aca="false">C1007&amp;"|"&amp;E1007</f>
        <v>F11_03|FRA</v>
      </c>
    </row>
    <row r="1008" customFormat="false" ht="15" hidden="false" customHeight="false" outlineLevel="0" collapsed="false">
      <c r="A1008" s="12" t="n">
        <v>11</v>
      </c>
      <c r="B1008" s="12" t="s">
        <v>41</v>
      </c>
      <c r="C1008" s="12" t="s">
        <v>247</v>
      </c>
      <c r="D1008" s="12" t="s">
        <v>248</v>
      </c>
      <c r="E1008" s="12" t="s">
        <v>32</v>
      </c>
      <c r="F1008" s="12" t="s">
        <v>32</v>
      </c>
      <c r="G1008" s="12" t="n">
        <v>1.3</v>
      </c>
      <c r="H1008" s="12" t="n">
        <v>2.43</v>
      </c>
      <c r="I1008" s="12" t="s">
        <v>282</v>
      </c>
      <c r="J1008" s="12" t="n">
        <v>11</v>
      </c>
      <c r="K1008" s="12" t="n">
        <v>6</v>
      </c>
      <c r="L1008" s="28" t="n">
        <v>1</v>
      </c>
      <c r="M1008" s="12" t="n">
        <f aca="false">IF(L1008=1,COUNTIFS($C$2:$C$1090,C1008,$L$2:$L$1090,1),"")</f>
        <v>11</v>
      </c>
      <c r="N1008" s="12" t="n">
        <f aca="false">IF(L1008=1,1+COUNTIFS($C$2:$C$1090,C1008,$L$2:$L$1090,1,$G$2:$G$1090,"&gt;"&amp;G1008),"")</f>
        <v>11</v>
      </c>
      <c r="O1008" s="12" t="n">
        <f aca="false">IF(L1008=1,1+COUNTIFS($C$2:$C$1090,C1008,$L$2:$L$1090,1,$H$2:$H$1090,"&gt;"&amp;H1008),"")</f>
        <v>6</v>
      </c>
      <c r="P1008" s="12" t="n">
        <f aca="false">IF(L1008=1,N1008-O1008,"")</f>
        <v>5</v>
      </c>
      <c r="Q1008" s="12" t="n">
        <f aca="false">INDEX(Directions!$D$2:$D$100,MATCH(C1008,Directions!$A$2:$A$100,0))</f>
        <v>-1</v>
      </c>
      <c r="R1008" s="12" t="n">
        <f aca="false">IF(L1008=1,P1008*Q1008,"")</f>
        <v>-5</v>
      </c>
      <c r="S1008" s="12" t="str">
        <f aca="false">IF(L1008&lt;&gt;1,"Excluded",IF(Q1008=0,"No direction",IF(R1008&gt;0,"Better",IF(R1008&lt;0,"Worse","No change"))))</f>
        <v>Worse</v>
      </c>
      <c r="T1008" s="12"/>
      <c r="U1008" s="12" t="str">
        <f aca="false">C1008&amp;"|"&amp;E1008</f>
        <v>F11_03|NLD</v>
      </c>
    </row>
    <row r="1009" customFormat="false" ht="15" hidden="false" customHeight="false" outlineLevel="0" collapsed="false">
      <c r="A1009" s="12" t="n">
        <v>11</v>
      </c>
      <c r="B1009" s="12" t="s">
        <v>41</v>
      </c>
      <c r="C1009" s="12" t="s">
        <v>247</v>
      </c>
      <c r="D1009" s="12" t="s">
        <v>248</v>
      </c>
      <c r="E1009" s="12" t="s">
        <v>33</v>
      </c>
      <c r="F1009" s="12" t="s">
        <v>33</v>
      </c>
      <c r="G1009" s="12" t="n">
        <v>4.5</v>
      </c>
      <c r="H1009" s="12" t="n">
        <v>3.78</v>
      </c>
      <c r="I1009" s="12" t="s">
        <v>293</v>
      </c>
      <c r="J1009" s="12" t="n">
        <v>1</v>
      </c>
      <c r="K1009" s="12" t="n">
        <v>1</v>
      </c>
      <c r="L1009" s="28" t="n">
        <v>1</v>
      </c>
      <c r="M1009" s="12" t="n">
        <f aca="false">IF(L1009=1,COUNTIFS($C$2:$C$1090,C1009,$L$2:$L$1090,1),"")</f>
        <v>11</v>
      </c>
      <c r="N1009" s="12" t="n">
        <f aca="false">IF(L1009=1,1+COUNTIFS($C$2:$C$1090,C1009,$L$2:$L$1090,1,$G$2:$G$1090,"&gt;"&amp;G1009),"")</f>
        <v>1</v>
      </c>
      <c r="O1009" s="12" t="n">
        <f aca="false">IF(L1009=1,1+COUNTIFS($C$2:$C$1090,C1009,$L$2:$L$1090,1,$H$2:$H$1090,"&gt;"&amp;H1009),"")</f>
        <v>1</v>
      </c>
      <c r="P1009" s="12" t="n">
        <f aca="false">IF(L1009=1,N1009-O1009,"")</f>
        <v>0</v>
      </c>
      <c r="Q1009" s="12" t="n">
        <f aca="false">INDEX(Directions!$D$2:$D$100,MATCH(C1009,Directions!$A$2:$A$100,0))</f>
        <v>-1</v>
      </c>
      <c r="R1009" s="12" t="n">
        <f aca="false">IF(L1009=1,P1009*Q1009,"")</f>
        <v>-0</v>
      </c>
      <c r="S1009" s="12" t="str">
        <f aca="false">IF(L1009&lt;&gt;1,"Excluded",IF(Q1009=0,"No direction",IF(R1009&gt;0,"Better",IF(R1009&lt;0,"Worse","No change"))))</f>
        <v>No change</v>
      </c>
      <c r="T1009" s="12"/>
      <c r="U1009" s="12" t="str">
        <f aca="false">C1009&amp;"|"&amp;E1009</f>
        <v>F11_03|CHE</v>
      </c>
    </row>
    <row r="1010" customFormat="false" ht="15" hidden="false" customHeight="false" outlineLevel="0" collapsed="false">
      <c r="A1010" s="12" t="n">
        <v>11</v>
      </c>
      <c r="B1010" s="12" t="s">
        <v>41</v>
      </c>
      <c r="C1010" s="12" t="s">
        <v>247</v>
      </c>
      <c r="D1010" s="12" t="s">
        <v>248</v>
      </c>
      <c r="E1010" s="12" t="s">
        <v>287</v>
      </c>
      <c r="F1010" s="12" t="s">
        <v>34</v>
      </c>
      <c r="G1010" s="12" t="n">
        <v>2.6</v>
      </c>
      <c r="H1010" s="12" t="n">
        <v>2.87</v>
      </c>
      <c r="I1010" s="12" t="s">
        <v>282</v>
      </c>
      <c r="J1010" s="12" t="n">
        <v>5</v>
      </c>
      <c r="K1010" s="12" t="n">
        <v>3</v>
      </c>
      <c r="L1010" s="28" t="n">
        <v>1</v>
      </c>
      <c r="M1010" s="12" t="n">
        <f aca="false">IF(L1010=1,COUNTIFS($C$2:$C$1090,C1010,$L$2:$L$1090,1),"")</f>
        <v>11</v>
      </c>
      <c r="N1010" s="12" t="n">
        <f aca="false">IF(L1010=1,1+COUNTIFS($C$2:$C$1090,C1010,$L$2:$L$1090,1,$G$2:$G$1090,"&gt;"&amp;G1010),"")</f>
        <v>4</v>
      </c>
      <c r="O1010" s="12" t="n">
        <f aca="false">IF(L1010=1,1+COUNTIFS($C$2:$C$1090,C1010,$L$2:$L$1090,1,$H$2:$H$1090,"&gt;"&amp;H1010),"")</f>
        <v>3</v>
      </c>
      <c r="P1010" s="12" t="n">
        <f aca="false">IF(L1010=1,N1010-O1010,"")</f>
        <v>1</v>
      </c>
      <c r="Q1010" s="12" t="n">
        <f aca="false">INDEX(Directions!$D$2:$D$100,MATCH(C1010,Directions!$A$2:$A$100,0))</f>
        <v>-1</v>
      </c>
      <c r="R1010" s="12" t="n">
        <f aca="false">IF(L1010=1,P1010*Q1010,"")</f>
        <v>-1</v>
      </c>
      <c r="S1010" s="12" t="str">
        <f aca="false">IF(L1010&lt;&gt;1,"Excluded",IF(Q1010=0,"No direction",IF(R1010&gt;0,"Better",IF(R1010&lt;0,"Worse","No change"))))</f>
        <v>Worse</v>
      </c>
      <c r="T1010" s="12"/>
      <c r="U1010" s="12" t="str">
        <f aca="false">C1010&amp;"|"&amp;E1010</f>
        <v>F11_03|DNK</v>
      </c>
    </row>
    <row r="1011" customFormat="false" ht="15" hidden="false" customHeight="false" outlineLevel="0" collapsed="false">
      <c r="A1011" s="12" t="n">
        <v>11</v>
      </c>
      <c r="B1011" s="12" t="s">
        <v>41</v>
      </c>
      <c r="C1011" s="12" t="s">
        <v>247</v>
      </c>
      <c r="D1011" s="12" t="s">
        <v>248</v>
      </c>
      <c r="E1011" s="12" t="s">
        <v>288</v>
      </c>
      <c r="F1011" s="12" t="s">
        <v>35</v>
      </c>
      <c r="G1011" s="12" t="n">
        <v>2.3</v>
      </c>
      <c r="H1011" s="12" t="n">
        <v>2.3</v>
      </c>
      <c r="I1011" s="12" t="s">
        <v>282</v>
      </c>
      <c r="J1011" s="12" t="n">
        <v>6</v>
      </c>
      <c r="K1011" s="12" t="n">
        <v>7</v>
      </c>
      <c r="L1011" s="28" t="n">
        <v>1</v>
      </c>
      <c r="M1011" s="12" t="n">
        <f aca="false">IF(L1011=1,COUNTIFS($C$2:$C$1090,C1011,$L$2:$L$1090,1),"")</f>
        <v>11</v>
      </c>
      <c r="N1011" s="12" t="n">
        <f aca="false">IF(L1011=1,1+COUNTIFS($C$2:$C$1090,C1011,$L$2:$L$1090,1,$G$2:$G$1090,"&gt;"&amp;G1011),"")</f>
        <v>6</v>
      </c>
      <c r="O1011" s="12" t="n">
        <f aca="false">IF(L1011=1,1+COUNTIFS($C$2:$C$1090,C1011,$L$2:$L$1090,1,$H$2:$H$1090,"&gt;"&amp;H1011),"")</f>
        <v>7</v>
      </c>
      <c r="P1011" s="12" t="n">
        <f aca="false">IF(L1011=1,N1011-O1011,"")</f>
        <v>-1</v>
      </c>
      <c r="Q1011" s="12" t="n">
        <f aca="false">INDEX(Directions!$D$2:$D$100,MATCH(C1011,Directions!$A$2:$A$100,0))</f>
        <v>-1</v>
      </c>
      <c r="R1011" s="12" t="n">
        <f aca="false">IF(L1011=1,P1011*Q1011,"")</f>
        <v>1</v>
      </c>
      <c r="S1011" s="12" t="str">
        <f aca="false">IF(L1011&lt;&gt;1,"Excluded",IF(Q1011=0,"No direction",IF(R1011&gt;0,"Better",IF(R1011&lt;0,"Worse","No change"))))</f>
        <v>Better</v>
      </c>
      <c r="T1011" s="12"/>
      <c r="U1011" s="12" t="str">
        <f aca="false">C1011&amp;"|"&amp;E1011</f>
        <v>F11_03|CAN</v>
      </c>
    </row>
    <row r="1012" customFormat="false" ht="15" hidden="false" customHeight="false" outlineLevel="0" collapsed="false">
      <c r="A1012" s="12" t="n">
        <v>11</v>
      </c>
      <c r="B1012" s="12" t="s">
        <v>41</v>
      </c>
      <c r="C1012" s="12" t="s">
        <v>247</v>
      </c>
      <c r="D1012" s="12" t="s">
        <v>248</v>
      </c>
      <c r="E1012" s="12" t="s">
        <v>289</v>
      </c>
      <c r="F1012" s="12" t="s">
        <v>36</v>
      </c>
      <c r="G1012" s="12" t="n">
        <v>2.2</v>
      </c>
      <c r="H1012" s="12" t="n">
        <v>2.19</v>
      </c>
      <c r="I1012" s="12" t="s">
        <v>291</v>
      </c>
      <c r="J1012" s="12" t="n">
        <v>7</v>
      </c>
      <c r="K1012" s="12" t="n">
        <v>8</v>
      </c>
      <c r="L1012" s="28" t="n">
        <v>1</v>
      </c>
      <c r="M1012" s="12" t="n">
        <f aca="false">IF(L1012=1,COUNTIFS($C$2:$C$1090,C1012,$L$2:$L$1090,1),"")</f>
        <v>11</v>
      </c>
      <c r="N1012" s="12" t="n">
        <f aca="false">IF(L1012=1,1+COUNTIFS($C$2:$C$1090,C1012,$L$2:$L$1090,1,$G$2:$G$1090,"&gt;"&amp;G1012),"")</f>
        <v>7</v>
      </c>
      <c r="O1012" s="12" t="n">
        <f aca="false">IF(L1012=1,1+COUNTIFS($C$2:$C$1090,C1012,$L$2:$L$1090,1,$H$2:$H$1090,"&gt;"&amp;H1012),"")</f>
        <v>8</v>
      </c>
      <c r="P1012" s="12" t="n">
        <f aca="false">IF(L1012=1,N1012-O1012,"")</f>
        <v>-1</v>
      </c>
      <c r="Q1012" s="12" t="n">
        <f aca="false">INDEX(Directions!$D$2:$D$100,MATCH(C1012,Directions!$A$2:$A$100,0))</f>
        <v>-1</v>
      </c>
      <c r="R1012" s="12" t="n">
        <f aca="false">IF(L1012=1,P1012*Q1012,"")</f>
        <v>1</v>
      </c>
      <c r="S1012" s="12" t="str">
        <f aca="false">IF(L1012&lt;&gt;1,"Excluded",IF(Q1012=0,"No direction",IF(R1012&gt;0,"Better",IF(R1012&lt;0,"Worse","No change"))))</f>
        <v>Better</v>
      </c>
      <c r="T1012" s="12"/>
      <c r="U1012" s="12" t="str">
        <f aca="false">C1012&amp;"|"&amp;E1012</f>
        <v>F11_03|JPN</v>
      </c>
    </row>
    <row r="1013" customFormat="false" ht="15" hidden="false" customHeight="false" outlineLevel="0" collapsed="false">
      <c r="A1013" s="12" t="n">
        <v>11</v>
      </c>
      <c r="B1013" s="12" t="s">
        <v>41</v>
      </c>
      <c r="C1013" s="12" t="s">
        <v>247</v>
      </c>
      <c r="D1013" s="12" t="s">
        <v>248</v>
      </c>
      <c r="E1013" s="12" t="s">
        <v>290</v>
      </c>
      <c r="F1013" s="12" t="s">
        <v>37</v>
      </c>
      <c r="G1013" s="12" t="n">
        <v>3.2</v>
      </c>
      <c r="H1013" s="12" t="n">
        <v>3.15</v>
      </c>
      <c r="I1013" s="12" t="s">
        <v>291</v>
      </c>
      <c r="J1013" s="12" t="n">
        <v>3</v>
      </c>
      <c r="K1013" s="12" t="n">
        <v>2</v>
      </c>
      <c r="L1013" s="28" t="n">
        <v>1</v>
      </c>
      <c r="M1013" s="12" t="n">
        <f aca="false">IF(L1013=1,COUNTIFS($C$2:$C$1090,C1013,$L$2:$L$1090,1),"")</f>
        <v>11</v>
      </c>
      <c r="N1013" s="12" t="n">
        <f aca="false">IF(L1013=1,1+COUNTIFS($C$2:$C$1090,C1013,$L$2:$L$1090,1,$G$2:$G$1090,"&gt;"&amp;G1013),"")</f>
        <v>3</v>
      </c>
      <c r="O1013" s="12" t="n">
        <f aca="false">IF(L1013=1,1+COUNTIFS($C$2:$C$1090,C1013,$L$2:$L$1090,1,$H$2:$H$1090,"&gt;"&amp;H1013),"")</f>
        <v>2</v>
      </c>
      <c r="P1013" s="12" t="n">
        <f aca="false">IF(L1013=1,N1013-O1013,"")</f>
        <v>1</v>
      </c>
      <c r="Q1013" s="12" t="n">
        <f aca="false">INDEX(Directions!$D$2:$D$100,MATCH(C1013,Directions!$A$2:$A$100,0))</f>
        <v>-1</v>
      </c>
      <c r="R1013" s="12" t="n">
        <f aca="false">IF(L1013=1,P1013*Q1013,"")</f>
        <v>-1</v>
      </c>
      <c r="S1013" s="12" t="str">
        <f aca="false">IF(L1013&lt;&gt;1,"Excluded",IF(Q1013=0,"No direction",IF(R1013&gt;0,"Better",IF(R1013&lt;0,"Worse","No change"))))</f>
        <v>Worse</v>
      </c>
      <c r="T1013" s="12"/>
      <c r="U1013" s="12" t="str">
        <f aca="false">C1013&amp;"|"&amp;E1013</f>
        <v>F11_03|AUS</v>
      </c>
    </row>
    <row r="1014" customFormat="false" ht="15" hidden="false" customHeight="false" outlineLevel="0" collapsed="false">
      <c r="A1014" s="12" t="n">
        <v>11</v>
      </c>
      <c r="B1014" s="12" t="s">
        <v>41</v>
      </c>
      <c r="C1014" s="12" t="s">
        <v>249</v>
      </c>
      <c r="D1014" s="12" t="s">
        <v>250</v>
      </c>
      <c r="E1014" s="12" t="s">
        <v>281</v>
      </c>
      <c r="F1014" s="12" t="s">
        <v>27</v>
      </c>
      <c r="G1014" s="12" t="n">
        <v>22.3</v>
      </c>
      <c r="H1014" s="12" t="n">
        <v>26.8</v>
      </c>
      <c r="I1014" s="12" t="s">
        <v>296</v>
      </c>
      <c r="J1014" s="12" t="n">
        <v>1</v>
      </c>
      <c r="K1014" s="12" t="n">
        <v>1</v>
      </c>
      <c r="L1014" s="28" t="n">
        <v>1</v>
      </c>
      <c r="M1014" s="12" t="n">
        <f aca="false">IF(L1014=1,COUNTIFS($C$2:$C$1090,C1014,$L$2:$L$1090,1),"")</f>
        <v>9</v>
      </c>
      <c r="N1014" s="12" t="n">
        <f aca="false">IF(L1014=1,1+COUNTIFS($C$2:$C$1090,C1014,$L$2:$L$1090,1,$G$2:$G$1090,"&gt;"&amp;G1014),"")</f>
        <v>1</v>
      </c>
      <c r="O1014" s="12" t="n">
        <f aca="false">IF(L1014=1,1+COUNTIFS($C$2:$C$1090,C1014,$L$2:$L$1090,1,$H$2:$H$1090,"&gt;"&amp;H1014),"")</f>
        <v>1</v>
      </c>
      <c r="P1014" s="12" t="n">
        <f aca="false">IF(L1014=1,N1014-O1014,"")</f>
        <v>0</v>
      </c>
      <c r="Q1014" s="12" t="n">
        <f aca="false">INDEX(Directions!$D$2:$D$100,MATCH(C1014,Directions!$A$2:$A$100,0))</f>
        <v>-1</v>
      </c>
      <c r="R1014" s="12" t="n">
        <f aca="false">IF(L1014=1,P1014*Q1014,"")</f>
        <v>-0</v>
      </c>
      <c r="S1014" s="12" t="str">
        <f aca="false">IF(L1014&lt;&gt;1,"Excluded",IF(Q1014=0,"No direction",IF(R1014&gt;0,"Better",IF(R1014&lt;0,"Worse","No change"))))</f>
        <v>No change</v>
      </c>
      <c r="T1014" s="12"/>
      <c r="U1014" s="12" t="str">
        <f aca="false">C1014&amp;"|"&amp;E1014</f>
        <v>F11_04|USA</v>
      </c>
    </row>
    <row r="1015" customFormat="false" ht="15" hidden="false" customHeight="false" outlineLevel="0" collapsed="false">
      <c r="A1015" s="12" t="n">
        <v>11</v>
      </c>
      <c r="B1015" s="12" t="s">
        <v>41</v>
      </c>
      <c r="C1015" s="12" t="s">
        <v>249</v>
      </c>
      <c r="D1015" s="12" t="s">
        <v>250</v>
      </c>
      <c r="E1015" s="12" t="s">
        <v>283</v>
      </c>
      <c r="F1015" s="12" t="s">
        <v>28</v>
      </c>
      <c r="G1015" s="12" t="n">
        <v>4.2</v>
      </c>
      <c r="H1015" s="12" t="n">
        <v>4.6</v>
      </c>
      <c r="I1015" s="12" t="s">
        <v>296</v>
      </c>
      <c r="J1015" s="12" t="n">
        <v>7</v>
      </c>
      <c r="K1015" s="12" t="n">
        <v>7</v>
      </c>
      <c r="L1015" s="28" t="n">
        <v>1</v>
      </c>
      <c r="M1015" s="12" t="n">
        <f aca="false">IF(L1015=1,COUNTIFS($C$2:$C$1090,C1015,$L$2:$L$1090,1),"")</f>
        <v>9</v>
      </c>
      <c r="N1015" s="12" t="n">
        <f aca="false">IF(L1015=1,1+COUNTIFS($C$2:$C$1090,C1015,$L$2:$L$1090,1,$G$2:$G$1090,"&gt;"&amp;G1015),"")</f>
        <v>7</v>
      </c>
      <c r="O1015" s="12" t="n">
        <f aca="false">IF(L1015=1,1+COUNTIFS($C$2:$C$1090,C1015,$L$2:$L$1090,1,$H$2:$H$1090,"&gt;"&amp;H1015),"")</f>
        <v>7</v>
      </c>
      <c r="P1015" s="12" t="n">
        <f aca="false">IF(L1015=1,N1015-O1015,"")</f>
        <v>0</v>
      </c>
      <c r="Q1015" s="12" t="n">
        <f aca="false">INDEX(Directions!$D$2:$D$100,MATCH(C1015,Directions!$A$2:$A$100,0))</f>
        <v>-1</v>
      </c>
      <c r="R1015" s="12" t="n">
        <f aca="false">IF(L1015=1,P1015*Q1015,"")</f>
        <v>-0</v>
      </c>
      <c r="S1015" s="12" t="str">
        <f aca="false">IF(L1015&lt;&gt;1,"Excluded",IF(Q1015=0,"No direction",IF(R1015&gt;0,"Better",IF(R1015&lt;0,"Worse","No change"))))</f>
        <v>No change</v>
      </c>
      <c r="T1015" s="12"/>
      <c r="U1015" s="12" t="str">
        <f aca="false">C1015&amp;"|"&amp;E1015</f>
        <v>F11_04|GBR</v>
      </c>
    </row>
    <row r="1016" customFormat="false" ht="15" hidden="false" customHeight="false" outlineLevel="0" collapsed="false">
      <c r="A1016" s="12" t="n">
        <v>11</v>
      </c>
      <c r="B1016" s="12" t="s">
        <v>41</v>
      </c>
      <c r="C1016" s="12" t="s">
        <v>249</v>
      </c>
      <c r="D1016" s="12" t="s">
        <v>250</v>
      </c>
      <c r="E1016" s="12" t="s">
        <v>284</v>
      </c>
      <c r="F1016" s="12" t="s">
        <v>29</v>
      </c>
      <c r="G1016" s="12" t="n">
        <v>2.6</v>
      </c>
      <c r="H1016" s="12" t="n">
        <v>3.5</v>
      </c>
      <c r="I1016" s="12" t="s">
        <v>296</v>
      </c>
      <c r="J1016" s="12" t="n">
        <v>9</v>
      </c>
      <c r="K1016" s="12" t="n">
        <v>8</v>
      </c>
      <c r="L1016" s="28" t="n">
        <v>1</v>
      </c>
      <c r="M1016" s="12" t="n">
        <f aca="false">IF(L1016=1,COUNTIFS($C$2:$C$1090,C1016,$L$2:$L$1090,1),"")</f>
        <v>9</v>
      </c>
      <c r="N1016" s="12" t="n">
        <f aca="false">IF(L1016=1,1+COUNTIFS($C$2:$C$1090,C1016,$L$2:$L$1090,1,$G$2:$G$1090,"&gt;"&amp;G1016),"")</f>
        <v>9</v>
      </c>
      <c r="O1016" s="12" t="n">
        <f aca="false">IF(L1016=1,1+COUNTIFS($C$2:$C$1090,C1016,$L$2:$L$1090,1,$H$2:$H$1090,"&gt;"&amp;H1016),"")</f>
        <v>8</v>
      </c>
      <c r="P1016" s="12" t="n">
        <f aca="false">IF(L1016=1,N1016-O1016,"")</f>
        <v>1</v>
      </c>
      <c r="Q1016" s="12" t="n">
        <f aca="false">INDEX(Directions!$D$2:$D$100,MATCH(C1016,Directions!$A$2:$A$100,0))</f>
        <v>-1</v>
      </c>
      <c r="R1016" s="12" t="n">
        <f aca="false">IF(L1016=1,P1016*Q1016,"")</f>
        <v>-1</v>
      </c>
      <c r="S1016" s="12" t="str">
        <f aca="false">IF(L1016&lt;&gt;1,"Excluded",IF(Q1016=0,"No direction",IF(R1016&gt;0,"Better",IF(R1016&lt;0,"Worse","No change"))))</f>
        <v>Worse</v>
      </c>
      <c r="T1016" s="12"/>
      <c r="U1016" s="12" t="str">
        <f aca="false">C1016&amp;"|"&amp;E1016</f>
        <v>F11_04|DEU</v>
      </c>
    </row>
    <row r="1017" customFormat="false" ht="15" hidden="false" customHeight="false" outlineLevel="0" collapsed="false">
      <c r="A1017" s="12" t="n">
        <v>11</v>
      </c>
      <c r="B1017" s="12" t="s">
        <v>41</v>
      </c>
      <c r="C1017" s="12" t="s">
        <v>249</v>
      </c>
      <c r="D1017" s="12" t="s">
        <v>250</v>
      </c>
      <c r="E1017" s="12" t="s">
        <v>285</v>
      </c>
      <c r="F1017" s="12" t="s">
        <v>30</v>
      </c>
      <c r="G1017" s="12" t="n">
        <v>3.9</v>
      </c>
      <c r="H1017" s="12" t="n">
        <v>6.3</v>
      </c>
      <c r="I1017" s="12" t="s">
        <v>296</v>
      </c>
      <c r="J1017" s="12" t="n">
        <v>8</v>
      </c>
      <c r="K1017" s="12" t="n">
        <v>5</v>
      </c>
      <c r="L1017" s="28" t="n">
        <v>1</v>
      </c>
      <c r="M1017" s="12" t="n">
        <f aca="false">IF(L1017=1,COUNTIFS($C$2:$C$1090,C1017,$L$2:$L$1090,1),"")</f>
        <v>9</v>
      </c>
      <c r="N1017" s="12" t="n">
        <f aca="false">IF(L1017=1,1+COUNTIFS($C$2:$C$1090,C1017,$L$2:$L$1090,1,$G$2:$G$1090,"&gt;"&amp;G1017),"")</f>
        <v>8</v>
      </c>
      <c r="O1017" s="12" t="n">
        <f aca="false">IF(L1017=1,1+COUNTIFS($C$2:$C$1090,C1017,$L$2:$L$1090,1,$H$2:$H$1090,"&gt;"&amp;H1017),"")</f>
        <v>5</v>
      </c>
      <c r="P1017" s="12" t="n">
        <f aca="false">IF(L1017=1,N1017-O1017,"")</f>
        <v>3</v>
      </c>
      <c r="Q1017" s="12" t="n">
        <f aca="false">INDEX(Directions!$D$2:$D$100,MATCH(C1017,Directions!$A$2:$A$100,0))</f>
        <v>-1</v>
      </c>
      <c r="R1017" s="12" t="n">
        <f aca="false">IF(L1017=1,P1017*Q1017,"")</f>
        <v>-3</v>
      </c>
      <c r="S1017" s="12" t="str">
        <f aca="false">IF(L1017&lt;&gt;1,"Excluded",IF(Q1017=0,"No direction",IF(R1017&gt;0,"Better",IF(R1017&lt;0,"Worse","No change"))))</f>
        <v>Worse</v>
      </c>
      <c r="T1017" s="12"/>
      <c r="U1017" s="12" t="str">
        <f aca="false">C1017&amp;"|"&amp;E1017</f>
        <v>F11_04|SWE</v>
      </c>
    </row>
    <row r="1018" customFormat="false" ht="15" hidden="false" customHeight="false" outlineLevel="0" collapsed="false">
      <c r="A1018" s="12" t="n">
        <v>11</v>
      </c>
      <c r="B1018" s="12" t="s">
        <v>41</v>
      </c>
      <c r="C1018" s="12" t="s">
        <v>249</v>
      </c>
      <c r="D1018" s="12" t="s">
        <v>250</v>
      </c>
      <c r="E1018" s="12" t="s">
        <v>286</v>
      </c>
      <c r="F1018" s="12" t="s">
        <v>31</v>
      </c>
      <c r="G1018" s="12" t="n">
        <v>9</v>
      </c>
      <c r="H1018" s="12" t="n">
        <v>3.3</v>
      </c>
      <c r="I1018" s="12" t="s">
        <v>296</v>
      </c>
      <c r="J1018" s="12" t="n">
        <v>4</v>
      </c>
      <c r="K1018" s="12" t="n">
        <v>9</v>
      </c>
      <c r="L1018" s="28" t="n">
        <v>1</v>
      </c>
      <c r="M1018" s="12" t="n">
        <f aca="false">IF(L1018=1,COUNTIFS($C$2:$C$1090,C1018,$L$2:$L$1090,1),"")</f>
        <v>9</v>
      </c>
      <c r="N1018" s="12" t="n">
        <f aca="false">IF(L1018=1,1+COUNTIFS($C$2:$C$1090,C1018,$L$2:$L$1090,1,$G$2:$G$1090,"&gt;"&amp;G1018),"")</f>
        <v>4</v>
      </c>
      <c r="O1018" s="12" t="n">
        <f aca="false">IF(L1018=1,1+COUNTIFS($C$2:$C$1090,C1018,$L$2:$L$1090,1,$H$2:$H$1090,"&gt;"&amp;H1018),"")</f>
        <v>9</v>
      </c>
      <c r="P1018" s="12" t="n">
        <f aca="false">IF(L1018=1,N1018-O1018,"")</f>
        <v>-5</v>
      </c>
      <c r="Q1018" s="12" t="n">
        <f aca="false">INDEX(Directions!$D$2:$D$100,MATCH(C1018,Directions!$A$2:$A$100,0))</f>
        <v>-1</v>
      </c>
      <c r="R1018" s="12" t="n">
        <f aca="false">IF(L1018=1,P1018*Q1018,"")</f>
        <v>5</v>
      </c>
      <c r="S1018" s="12" t="str">
        <f aca="false">IF(L1018&lt;&gt;1,"Excluded",IF(Q1018=0,"No direction",IF(R1018&gt;0,"Better",IF(R1018&lt;0,"Worse","No change"))))</f>
        <v>Better</v>
      </c>
      <c r="T1018" s="12"/>
      <c r="U1018" s="12" t="str">
        <f aca="false">C1018&amp;"|"&amp;E1018</f>
        <v>F11_04|FRA</v>
      </c>
    </row>
    <row r="1019" customFormat="false" ht="15" hidden="false" customHeight="false" outlineLevel="0" collapsed="false">
      <c r="A1019" s="12" t="n">
        <v>11</v>
      </c>
      <c r="B1019" s="12" t="s">
        <v>41</v>
      </c>
      <c r="C1019" s="12" t="s">
        <v>249</v>
      </c>
      <c r="D1019" s="12" t="s">
        <v>250</v>
      </c>
      <c r="E1019" s="12" t="s">
        <v>32</v>
      </c>
      <c r="F1019" s="12" t="s">
        <v>32</v>
      </c>
      <c r="G1019" s="12" t="n">
        <v>12.5</v>
      </c>
      <c r="H1019" s="12" t="n">
        <v>4.7</v>
      </c>
      <c r="I1019" s="12" t="s">
        <v>293</v>
      </c>
      <c r="J1019" s="12" t="n">
        <v>3</v>
      </c>
      <c r="K1019" s="12" t="n">
        <v>6</v>
      </c>
      <c r="L1019" s="28" t="n">
        <v>1</v>
      </c>
      <c r="M1019" s="12" t="n">
        <f aca="false">IF(L1019=1,COUNTIFS($C$2:$C$1090,C1019,$L$2:$L$1090,1),"")</f>
        <v>9</v>
      </c>
      <c r="N1019" s="12" t="n">
        <f aca="false">IF(L1019=1,1+COUNTIFS($C$2:$C$1090,C1019,$L$2:$L$1090,1,$G$2:$G$1090,"&gt;"&amp;G1019),"")</f>
        <v>3</v>
      </c>
      <c r="O1019" s="12" t="n">
        <f aca="false">IF(L1019=1,1+COUNTIFS($C$2:$C$1090,C1019,$L$2:$L$1090,1,$H$2:$H$1090,"&gt;"&amp;H1019),"")</f>
        <v>6</v>
      </c>
      <c r="P1019" s="12" t="n">
        <f aca="false">IF(L1019=1,N1019-O1019,"")</f>
        <v>-3</v>
      </c>
      <c r="Q1019" s="12" t="n">
        <f aca="false">INDEX(Directions!$D$2:$D$100,MATCH(C1019,Directions!$A$2:$A$100,0))</f>
        <v>-1</v>
      </c>
      <c r="R1019" s="12" t="n">
        <f aca="false">IF(L1019=1,P1019*Q1019,"")</f>
        <v>3</v>
      </c>
      <c r="S1019" s="12" t="str">
        <f aca="false">IF(L1019&lt;&gt;1,"Excluded",IF(Q1019=0,"No direction",IF(R1019&gt;0,"Better",IF(R1019&lt;0,"Worse","No change"))))</f>
        <v>Better</v>
      </c>
      <c r="T1019" s="12"/>
      <c r="U1019" s="12" t="str">
        <f aca="false">C1019&amp;"|"&amp;E1019</f>
        <v>F11_04|NLD</v>
      </c>
    </row>
    <row r="1020" customFormat="false" ht="15" hidden="false" customHeight="false" outlineLevel="0" collapsed="false">
      <c r="A1020" s="12" t="n">
        <v>11</v>
      </c>
      <c r="B1020" s="12" t="s">
        <v>41</v>
      </c>
      <c r="C1020" s="12" t="s">
        <v>249</v>
      </c>
      <c r="D1020" s="12" t="s">
        <v>250</v>
      </c>
      <c r="E1020" s="12" t="s">
        <v>33</v>
      </c>
      <c r="F1020" s="12" t="s">
        <v>33</v>
      </c>
      <c r="G1020" s="12" t="n">
        <v>7</v>
      </c>
      <c r="H1020" s="12" t="n">
        <v>18.3</v>
      </c>
      <c r="I1020" s="12" t="s">
        <v>296</v>
      </c>
      <c r="J1020" s="12" t="n">
        <v>5</v>
      </c>
      <c r="K1020" s="12" t="n">
        <v>3</v>
      </c>
      <c r="L1020" s="28" t="n">
        <v>1</v>
      </c>
      <c r="M1020" s="12" t="n">
        <f aca="false">IF(L1020=1,COUNTIFS($C$2:$C$1090,C1020,$L$2:$L$1090,1),"")</f>
        <v>9</v>
      </c>
      <c r="N1020" s="12" t="n">
        <f aca="false">IF(L1020=1,1+COUNTIFS($C$2:$C$1090,C1020,$L$2:$L$1090,1,$G$2:$G$1090,"&gt;"&amp;G1020),"")</f>
        <v>5</v>
      </c>
      <c r="O1020" s="12" t="n">
        <f aca="false">IF(L1020=1,1+COUNTIFS($C$2:$C$1090,C1020,$L$2:$L$1090,1,$H$2:$H$1090,"&gt;"&amp;H1020),"")</f>
        <v>3</v>
      </c>
      <c r="P1020" s="12" t="n">
        <f aca="false">IF(L1020=1,N1020-O1020,"")</f>
        <v>2</v>
      </c>
      <c r="Q1020" s="12" t="n">
        <f aca="false">INDEX(Directions!$D$2:$D$100,MATCH(C1020,Directions!$A$2:$A$100,0))</f>
        <v>-1</v>
      </c>
      <c r="R1020" s="12" t="n">
        <f aca="false">IF(L1020=1,P1020*Q1020,"")</f>
        <v>-2</v>
      </c>
      <c r="S1020" s="12" t="str">
        <f aca="false">IF(L1020&lt;&gt;1,"Excluded",IF(Q1020=0,"No direction",IF(R1020&gt;0,"Better",IF(R1020&lt;0,"Worse","No change"))))</f>
        <v>Worse</v>
      </c>
      <c r="T1020" s="12"/>
      <c r="U1020" s="12" t="str">
        <f aca="false">C1020&amp;"|"&amp;E1020</f>
        <v>F11_04|CHE</v>
      </c>
    </row>
    <row r="1021" customFormat="false" ht="15" hidden="false" customHeight="false" outlineLevel="0" collapsed="false">
      <c r="A1021" s="12" t="n">
        <v>11</v>
      </c>
      <c r="B1021" s="12" t="s">
        <v>41</v>
      </c>
      <c r="C1021" s="12" t="s">
        <v>249</v>
      </c>
      <c r="D1021" s="12" t="s">
        <v>250</v>
      </c>
      <c r="E1021" s="12" t="s">
        <v>287</v>
      </c>
      <c r="F1021" s="12" t="s">
        <v>34</v>
      </c>
      <c r="G1021" s="12" t="s">
        <v>302</v>
      </c>
      <c r="H1021" s="12" t="s">
        <v>302</v>
      </c>
      <c r="I1021" s="12"/>
      <c r="J1021" s="12" t="s">
        <v>302</v>
      </c>
      <c r="K1021" s="12" t="s">
        <v>302</v>
      </c>
      <c r="L1021" s="28" t="n">
        <v>0</v>
      </c>
      <c r="M1021" s="12" t="str">
        <f aca="false">IF(L1021=1,COUNTIFS($C$2:$C$1090,C1021,$L$2:$L$1090,1),"")</f>
        <v/>
      </c>
      <c r="N1021" s="12" t="str">
        <f aca="false">IF(L1021=1,1+COUNTIFS($C$2:$C$1090,C1021,$L$2:$L$1090,1,$G$2:$G$1090,"&gt;"&amp;G1021),"")</f>
        <v/>
      </c>
      <c r="O1021" s="12" t="str">
        <f aca="false">IF(L1021=1,1+COUNTIFS($C$2:$C$1090,C1021,$L$2:$L$1090,1,$H$2:$H$1090,"&gt;"&amp;H1021),"")</f>
        <v/>
      </c>
      <c r="P1021" s="12" t="str">
        <f aca="false">IF(L1021=1,N1021-O1021,"")</f>
        <v/>
      </c>
      <c r="Q1021" s="12" t="n">
        <f aca="false">INDEX(Directions!$D$2:$D$100,MATCH(C1021,Directions!$A$2:$A$100,0))</f>
        <v>-1</v>
      </c>
      <c r="R1021" s="12" t="str">
        <f aca="false">IF(L1021=1,P1021*Q1021,"")</f>
        <v/>
      </c>
      <c r="S1021" s="12" t="str">
        <f aca="false">IF(L1021&lt;&gt;1,"Excluded",IF(Q1021=0,"No direction",IF(R1021&gt;0,"Better",IF(R1021&lt;0,"Worse","No change"))))</f>
        <v>Excluded</v>
      </c>
      <c r="T1021" s="12" t="s">
        <v>304</v>
      </c>
      <c r="U1021" s="12" t="str">
        <f aca="false">C1021&amp;"|"&amp;E1021</f>
        <v>F11_04|DNK</v>
      </c>
    </row>
    <row r="1022" customFormat="false" ht="15" hidden="false" customHeight="false" outlineLevel="0" collapsed="false">
      <c r="A1022" s="12" t="n">
        <v>11</v>
      </c>
      <c r="B1022" s="12" t="s">
        <v>41</v>
      </c>
      <c r="C1022" s="12" t="s">
        <v>249</v>
      </c>
      <c r="D1022" s="12" t="s">
        <v>250</v>
      </c>
      <c r="E1022" s="12" t="s">
        <v>288</v>
      </c>
      <c r="F1022" s="12" t="s">
        <v>35</v>
      </c>
      <c r="G1022" s="12" t="n">
        <v>6.6</v>
      </c>
      <c r="H1022" s="12" t="n">
        <v>8.9</v>
      </c>
      <c r="I1022" s="12" t="s">
        <v>291</v>
      </c>
      <c r="J1022" s="12" t="n">
        <v>6</v>
      </c>
      <c r="K1022" s="12" t="n">
        <v>4</v>
      </c>
      <c r="L1022" s="28" t="n">
        <v>1</v>
      </c>
      <c r="M1022" s="12" t="n">
        <f aca="false">IF(L1022=1,COUNTIFS($C$2:$C$1090,C1022,$L$2:$L$1090,1),"")</f>
        <v>9</v>
      </c>
      <c r="N1022" s="12" t="n">
        <f aca="false">IF(L1022=1,1+COUNTIFS($C$2:$C$1090,C1022,$L$2:$L$1090,1,$G$2:$G$1090,"&gt;"&amp;G1022),"")</f>
        <v>6</v>
      </c>
      <c r="O1022" s="12" t="n">
        <f aca="false">IF(L1022=1,1+COUNTIFS($C$2:$C$1090,C1022,$L$2:$L$1090,1,$H$2:$H$1090,"&gt;"&amp;H1022),"")</f>
        <v>4</v>
      </c>
      <c r="P1022" s="12" t="n">
        <f aca="false">IF(L1022=1,N1022-O1022,"")</f>
        <v>2</v>
      </c>
      <c r="Q1022" s="12" t="n">
        <f aca="false">INDEX(Directions!$D$2:$D$100,MATCH(C1022,Directions!$A$2:$A$100,0))</f>
        <v>-1</v>
      </c>
      <c r="R1022" s="12" t="n">
        <f aca="false">IF(L1022=1,P1022*Q1022,"")</f>
        <v>-2</v>
      </c>
      <c r="S1022" s="12" t="str">
        <f aca="false">IF(L1022&lt;&gt;1,"Excluded",IF(Q1022=0,"No direction",IF(R1022&gt;0,"Better",IF(R1022&lt;0,"Worse","No change"))))</f>
        <v>Worse</v>
      </c>
      <c r="T1022" s="12"/>
      <c r="U1022" s="12" t="str">
        <f aca="false">C1022&amp;"|"&amp;E1022</f>
        <v>F11_04|CAN</v>
      </c>
    </row>
    <row r="1023" customFormat="false" ht="15" hidden="false" customHeight="false" outlineLevel="0" collapsed="false">
      <c r="A1023" s="12" t="n">
        <v>11</v>
      </c>
      <c r="B1023" s="12" t="s">
        <v>41</v>
      </c>
      <c r="C1023" s="12" t="s">
        <v>249</v>
      </c>
      <c r="D1023" s="12" t="s">
        <v>250</v>
      </c>
      <c r="E1023" s="12" t="s">
        <v>289</v>
      </c>
      <c r="F1023" s="12" t="s">
        <v>36</v>
      </c>
      <c r="G1023" s="12" t="s">
        <v>302</v>
      </c>
      <c r="H1023" s="12" t="s">
        <v>302</v>
      </c>
      <c r="I1023" s="12"/>
      <c r="J1023" s="12" t="s">
        <v>302</v>
      </c>
      <c r="K1023" s="12" t="s">
        <v>302</v>
      </c>
      <c r="L1023" s="28" t="n">
        <v>0</v>
      </c>
      <c r="M1023" s="12" t="str">
        <f aca="false">IF(L1023=1,COUNTIFS($C$2:$C$1090,C1023,$L$2:$L$1090,1),"")</f>
        <v/>
      </c>
      <c r="N1023" s="12" t="str">
        <f aca="false">IF(L1023=1,1+COUNTIFS($C$2:$C$1090,C1023,$L$2:$L$1090,1,$G$2:$G$1090,"&gt;"&amp;G1023),"")</f>
        <v/>
      </c>
      <c r="O1023" s="12" t="str">
        <f aca="false">IF(L1023=1,1+COUNTIFS($C$2:$C$1090,C1023,$L$2:$L$1090,1,$H$2:$H$1090,"&gt;"&amp;H1023),"")</f>
        <v/>
      </c>
      <c r="P1023" s="12" t="str">
        <f aca="false">IF(L1023=1,N1023-O1023,"")</f>
        <v/>
      </c>
      <c r="Q1023" s="12" t="n">
        <f aca="false">INDEX(Directions!$D$2:$D$100,MATCH(C1023,Directions!$A$2:$A$100,0))</f>
        <v>-1</v>
      </c>
      <c r="R1023" s="12" t="str">
        <f aca="false">IF(L1023=1,P1023*Q1023,"")</f>
        <v/>
      </c>
      <c r="S1023" s="12" t="str">
        <f aca="false">IF(L1023&lt;&gt;1,"Excluded",IF(Q1023=0,"No direction",IF(R1023&gt;0,"Better",IF(R1023&lt;0,"Worse","No change"))))</f>
        <v>Excluded</v>
      </c>
      <c r="T1023" s="12" t="s">
        <v>304</v>
      </c>
      <c r="U1023" s="12" t="str">
        <f aca="false">C1023&amp;"|"&amp;E1023</f>
        <v>F11_04|JPN</v>
      </c>
    </row>
    <row r="1024" customFormat="false" ht="15" hidden="false" customHeight="false" outlineLevel="0" collapsed="false">
      <c r="A1024" s="12" t="n">
        <v>11</v>
      </c>
      <c r="B1024" s="12" t="s">
        <v>41</v>
      </c>
      <c r="C1024" s="12" t="s">
        <v>249</v>
      </c>
      <c r="D1024" s="12" t="s">
        <v>250</v>
      </c>
      <c r="E1024" s="12" t="s">
        <v>290</v>
      </c>
      <c r="F1024" s="12" t="s">
        <v>37</v>
      </c>
      <c r="G1024" s="12" t="n">
        <v>16.2</v>
      </c>
      <c r="H1024" s="12" t="n">
        <v>19.1</v>
      </c>
      <c r="I1024" s="12" t="s">
        <v>293</v>
      </c>
      <c r="J1024" s="12" t="n">
        <v>2</v>
      </c>
      <c r="K1024" s="12" t="n">
        <v>2</v>
      </c>
      <c r="L1024" s="28" t="n">
        <v>1</v>
      </c>
      <c r="M1024" s="12" t="n">
        <f aca="false">IF(L1024=1,COUNTIFS($C$2:$C$1090,C1024,$L$2:$L$1090,1),"")</f>
        <v>9</v>
      </c>
      <c r="N1024" s="12" t="n">
        <f aca="false">IF(L1024=1,1+COUNTIFS($C$2:$C$1090,C1024,$L$2:$L$1090,1,$G$2:$G$1090,"&gt;"&amp;G1024),"")</f>
        <v>2</v>
      </c>
      <c r="O1024" s="12" t="n">
        <f aca="false">IF(L1024=1,1+COUNTIFS($C$2:$C$1090,C1024,$L$2:$L$1090,1,$H$2:$H$1090,"&gt;"&amp;H1024),"")</f>
        <v>2</v>
      </c>
      <c r="P1024" s="12" t="n">
        <f aca="false">IF(L1024=1,N1024-O1024,"")</f>
        <v>0</v>
      </c>
      <c r="Q1024" s="12" t="n">
        <f aca="false">INDEX(Directions!$D$2:$D$100,MATCH(C1024,Directions!$A$2:$A$100,0))</f>
        <v>-1</v>
      </c>
      <c r="R1024" s="12" t="n">
        <f aca="false">IF(L1024=1,P1024*Q1024,"")</f>
        <v>-0</v>
      </c>
      <c r="S1024" s="12" t="str">
        <f aca="false">IF(L1024&lt;&gt;1,"Excluded",IF(Q1024=0,"No direction",IF(R1024&gt;0,"Better",IF(R1024&lt;0,"Worse","No change"))))</f>
        <v>No change</v>
      </c>
      <c r="T1024" s="12"/>
      <c r="U1024" s="12" t="str">
        <f aca="false">C1024&amp;"|"&amp;E1024</f>
        <v>F11_04|AUS</v>
      </c>
    </row>
    <row r="1025" customFormat="false" ht="15" hidden="false" customHeight="false" outlineLevel="0" collapsed="false">
      <c r="A1025" s="12" t="n">
        <v>11</v>
      </c>
      <c r="B1025" s="12" t="s">
        <v>41</v>
      </c>
      <c r="C1025" s="12" t="s">
        <v>252</v>
      </c>
      <c r="D1025" s="12" t="s">
        <v>253</v>
      </c>
      <c r="E1025" s="12" t="s">
        <v>281</v>
      </c>
      <c r="F1025" s="12" t="s">
        <v>27</v>
      </c>
      <c r="G1025" s="12" t="n">
        <v>43</v>
      </c>
      <c r="H1025" s="12" t="n">
        <v>46</v>
      </c>
      <c r="I1025" s="12" t="s">
        <v>291</v>
      </c>
      <c r="J1025" s="12" t="n">
        <v>1</v>
      </c>
      <c r="K1025" s="12" t="n">
        <v>1</v>
      </c>
      <c r="L1025" s="28" t="n">
        <v>1</v>
      </c>
      <c r="M1025" s="12" t="n">
        <f aca="false">IF(L1025=1,COUNTIFS($C$2:$C$1090,C1025,$L$2:$L$1090,1),"")</f>
        <v>9</v>
      </c>
      <c r="N1025" s="12" t="n">
        <f aca="false">IF(L1025=1,1+COUNTIFS($C$2:$C$1090,C1025,$L$2:$L$1090,1,$G$2:$G$1090,"&gt;"&amp;G1025),"")</f>
        <v>1</v>
      </c>
      <c r="O1025" s="12" t="n">
        <f aca="false">IF(L1025=1,1+COUNTIFS($C$2:$C$1090,C1025,$L$2:$L$1090,1,$H$2:$H$1090,"&gt;"&amp;H1025),"")</f>
        <v>1</v>
      </c>
      <c r="P1025" s="12" t="n">
        <f aca="false">IF(L1025=1,N1025-O1025,"")</f>
        <v>0</v>
      </c>
      <c r="Q1025" s="12" t="n">
        <f aca="false">INDEX(Directions!$D$2:$D$100,MATCH(C1025,Directions!$A$2:$A$100,0))</f>
        <v>-1</v>
      </c>
      <c r="R1025" s="12" t="n">
        <f aca="false">IF(L1025=1,P1025*Q1025,"")</f>
        <v>-0</v>
      </c>
      <c r="S1025" s="12" t="str">
        <f aca="false">IF(L1025&lt;&gt;1,"Excluded",IF(Q1025=0,"No direction",IF(R1025&gt;0,"Better",IF(R1025&lt;0,"Worse","No change"))))</f>
        <v>No change</v>
      </c>
      <c r="T1025" s="12"/>
      <c r="U1025" s="12" t="str">
        <f aca="false">C1025&amp;"|"&amp;E1025</f>
        <v>F11_05|USA</v>
      </c>
    </row>
    <row r="1026" customFormat="false" ht="15" hidden="false" customHeight="false" outlineLevel="0" collapsed="false">
      <c r="A1026" s="12" t="n">
        <v>11</v>
      </c>
      <c r="B1026" s="12" t="s">
        <v>41</v>
      </c>
      <c r="C1026" s="12" t="s">
        <v>252</v>
      </c>
      <c r="D1026" s="12" t="s">
        <v>253</v>
      </c>
      <c r="E1026" s="12" t="s">
        <v>283</v>
      </c>
      <c r="F1026" s="12" t="s">
        <v>28</v>
      </c>
      <c r="G1026" s="12" t="n">
        <v>8</v>
      </c>
      <c r="H1026" s="12" t="n">
        <v>16</v>
      </c>
      <c r="I1026" s="12" t="s">
        <v>291</v>
      </c>
      <c r="J1026" s="12" t="n">
        <v>9</v>
      </c>
      <c r="K1026" s="12" t="n">
        <v>6</v>
      </c>
      <c r="L1026" s="28" t="n">
        <v>1</v>
      </c>
      <c r="M1026" s="12" t="n">
        <f aca="false">IF(L1026=1,COUNTIFS($C$2:$C$1090,C1026,$L$2:$L$1090,1),"")</f>
        <v>9</v>
      </c>
      <c r="N1026" s="12" t="n">
        <f aca="false">IF(L1026=1,1+COUNTIFS($C$2:$C$1090,C1026,$L$2:$L$1090,1,$G$2:$G$1090,"&gt;"&amp;G1026),"")</f>
        <v>9</v>
      </c>
      <c r="O1026" s="12" t="n">
        <f aca="false">IF(L1026=1,1+COUNTIFS($C$2:$C$1090,C1026,$L$2:$L$1090,1,$H$2:$H$1090,"&gt;"&amp;H1026),"")</f>
        <v>6</v>
      </c>
      <c r="P1026" s="12" t="n">
        <f aca="false">IF(L1026=1,N1026-O1026,"")</f>
        <v>3</v>
      </c>
      <c r="Q1026" s="12" t="n">
        <f aca="false">INDEX(Directions!$D$2:$D$100,MATCH(C1026,Directions!$A$2:$A$100,0))</f>
        <v>-1</v>
      </c>
      <c r="R1026" s="12" t="n">
        <f aca="false">IF(L1026=1,P1026*Q1026,"")</f>
        <v>-3</v>
      </c>
      <c r="S1026" s="12" t="str">
        <f aca="false">IF(L1026&lt;&gt;1,"Excluded",IF(Q1026=0,"No direction",IF(R1026&gt;0,"Better",IF(R1026&lt;0,"Worse","No change"))))</f>
        <v>Worse</v>
      </c>
      <c r="T1026" s="12"/>
      <c r="U1026" s="12" t="str">
        <f aca="false">C1026&amp;"|"&amp;E1026</f>
        <v>F11_05|GBR</v>
      </c>
    </row>
    <row r="1027" customFormat="false" ht="15" hidden="false" customHeight="false" outlineLevel="0" collapsed="false">
      <c r="A1027" s="12" t="n">
        <v>11</v>
      </c>
      <c r="B1027" s="12" t="s">
        <v>41</v>
      </c>
      <c r="C1027" s="12" t="s">
        <v>252</v>
      </c>
      <c r="D1027" s="12" t="s">
        <v>253</v>
      </c>
      <c r="E1027" s="12" t="s">
        <v>284</v>
      </c>
      <c r="F1027" s="12" t="s">
        <v>29</v>
      </c>
      <c r="G1027" s="12" t="n">
        <v>16</v>
      </c>
      <c r="H1027" s="12" t="n">
        <v>16</v>
      </c>
      <c r="I1027" s="12" t="s">
        <v>291</v>
      </c>
      <c r="J1027" s="12" t="n">
        <v>7</v>
      </c>
      <c r="K1027" s="12" t="n">
        <v>7</v>
      </c>
      <c r="L1027" s="28" t="n">
        <v>1</v>
      </c>
      <c r="M1027" s="12" t="n">
        <f aca="false">IF(L1027=1,COUNTIFS($C$2:$C$1090,C1027,$L$2:$L$1090,1),"")</f>
        <v>9</v>
      </c>
      <c r="N1027" s="12" t="n">
        <f aca="false">IF(L1027=1,1+COUNTIFS($C$2:$C$1090,C1027,$L$2:$L$1090,1,$G$2:$G$1090,"&gt;"&amp;G1027),"")</f>
        <v>7</v>
      </c>
      <c r="O1027" s="12" t="n">
        <f aca="false">IF(L1027=1,1+COUNTIFS($C$2:$C$1090,C1027,$L$2:$L$1090,1,$H$2:$H$1090,"&gt;"&amp;H1027),"")</f>
        <v>6</v>
      </c>
      <c r="P1027" s="12" t="n">
        <f aca="false">IF(L1027=1,N1027-O1027,"")</f>
        <v>1</v>
      </c>
      <c r="Q1027" s="12" t="n">
        <f aca="false">INDEX(Directions!$D$2:$D$100,MATCH(C1027,Directions!$A$2:$A$100,0))</f>
        <v>-1</v>
      </c>
      <c r="R1027" s="12" t="n">
        <f aca="false">IF(L1027=1,P1027*Q1027,"")</f>
        <v>-1</v>
      </c>
      <c r="S1027" s="12" t="str">
        <f aca="false">IF(L1027&lt;&gt;1,"Excluded",IF(Q1027=0,"No direction",IF(R1027&gt;0,"Better",IF(R1027&lt;0,"Worse","No change"))))</f>
        <v>Worse</v>
      </c>
      <c r="T1027" s="12"/>
      <c r="U1027" s="12" t="str">
        <f aca="false">C1027&amp;"|"&amp;E1027</f>
        <v>F11_05|DEU</v>
      </c>
    </row>
    <row r="1028" customFormat="false" ht="15" hidden="false" customHeight="false" outlineLevel="0" collapsed="false">
      <c r="A1028" s="12" t="n">
        <v>11</v>
      </c>
      <c r="B1028" s="12" t="s">
        <v>41</v>
      </c>
      <c r="C1028" s="12" t="s">
        <v>252</v>
      </c>
      <c r="D1028" s="12" t="s">
        <v>253</v>
      </c>
      <c r="E1028" s="12" t="s">
        <v>285</v>
      </c>
      <c r="F1028" s="12" t="s">
        <v>30</v>
      </c>
      <c r="G1028" s="12" t="n">
        <v>16</v>
      </c>
      <c r="H1028" s="12" t="n">
        <v>19</v>
      </c>
      <c r="I1028" s="12" t="s">
        <v>296</v>
      </c>
      <c r="J1028" s="12" t="n">
        <v>8</v>
      </c>
      <c r="K1028" s="12" t="n">
        <v>5</v>
      </c>
      <c r="L1028" s="28" t="n">
        <v>1</v>
      </c>
      <c r="M1028" s="12" t="n">
        <f aca="false">IF(L1028=1,COUNTIFS($C$2:$C$1090,C1028,$L$2:$L$1090,1),"")</f>
        <v>9</v>
      </c>
      <c r="N1028" s="12" t="n">
        <f aca="false">IF(L1028=1,1+COUNTIFS($C$2:$C$1090,C1028,$L$2:$L$1090,1,$G$2:$G$1090,"&gt;"&amp;G1028),"")</f>
        <v>7</v>
      </c>
      <c r="O1028" s="12" t="n">
        <f aca="false">IF(L1028=1,1+COUNTIFS($C$2:$C$1090,C1028,$L$2:$L$1090,1,$H$2:$H$1090,"&gt;"&amp;H1028),"")</f>
        <v>5</v>
      </c>
      <c r="P1028" s="12" t="n">
        <f aca="false">IF(L1028=1,N1028-O1028,"")</f>
        <v>2</v>
      </c>
      <c r="Q1028" s="12" t="n">
        <f aca="false">INDEX(Directions!$D$2:$D$100,MATCH(C1028,Directions!$A$2:$A$100,0))</f>
        <v>-1</v>
      </c>
      <c r="R1028" s="12" t="n">
        <f aca="false">IF(L1028=1,P1028*Q1028,"")</f>
        <v>-2</v>
      </c>
      <c r="S1028" s="12" t="str">
        <f aca="false">IF(L1028&lt;&gt;1,"Excluded",IF(Q1028=0,"No direction",IF(R1028&gt;0,"Better",IF(R1028&lt;0,"Worse","No change"))))</f>
        <v>Worse</v>
      </c>
      <c r="T1028" s="12"/>
      <c r="U1028" s="12" t="str">
        <f aca="false">C1028&amp;"|"&amp;E1028</f>
        <v>F11_05|SWE</v>
      </c>
    </row>
    <row r="1029" customFormat="false" ht="15" hidden="false" customHeight="false" outlineLevel="0" collapsed="false">
      <c r="A1029" s="12" t="n">
        <v>11</v>
      </c>
      <c r="B1029" s="12" t="s">
        <v>41</v>
      </c>
      <c r="C1029" s="12" t="s">
        <v>252</v>
      </c>
      <c r="D1029" s="12" t="s">
        <v>253</v>
      </c>
      <c r="E1029" s="12" t="s">
        <v>286</v>
      </c>
      <c r="F1029" s="12" t="s">
        <v>31</v>
      </c>
      <c r="G1029" s="12" t="n">
        <v>30</v>
      </c>
      <c r="H1029" s="12" t="n">
        <v>16</v>
      </c>
      <c r="I1029" s="12" t="s">
        <v>291</v>
      </c>
      <c r="J1029" s="12" t="n">
        <v>3</v>
      </c>
      <c r="K1029" s="12" t="n">
        <v>8</v>
      </c>
      <c r="L1029" s="28" t="n">
        <v>1</v>
      </c>
      <c r="M1029" s="12" t="n">
        <f aca="false">IF(L1029=1,COUNTIFS($C$2:$C$1090,C1029,$L$2:$L$1090,1),"")</f>
        <v>9</v>
      </c>
      <c r="N1029" s="12" t="n">
        <f aca="false">IF(L1029=1,1+COUNTIFS($C$2:$C$1090,C1029,$L$2:$L$1090,1,$G$2:$G$1090,"&gt;"&amp;G1029),"")</f>
        <v>3</v>
      </c>
      <c r="O1029" s="12" t="n">
        <f aca="false">IF(L1029=1,1+COUNTIFS($C$2:$C$1090,C1029,$L$2:$L$1090,1,$H$2:$H$1090,"&gt;"&amp;H1029),"")</f>
        <v>6</v>
      </c>
      <c r="P1029" s="12" t="n">
        <f aca="false">IF(L1029=1,N1029-O1029,"")</f>
        <v>-3</v>
      </c>
      <c r="Q1029" s="12" t="n">
        <f aca="false">INDEX(Directions!$D$2:$D$100,MATCH(C1029,Directions!$A$2:$A$100,0))</f>
        <v>-1</v>
      </c>
      <c r="R1029" s="12" t="n">
        <f aca="false">IF(L1029=1,P1029*Q1029,"")</f>
        <v>3</v>
      </c>
      <c r="S1029" s="12" t="str">
        <f aca="false">IF(L1029&lt;&gt;1,"Excluded",IF(Q1029=0,"No direction",IF(R1029&gt;0,"Better",IF(R1029&lt;0,"Worse","No change"))))</f>
        <v>Better</v>
      </c>
      <c r="T1029" s="12"/>
      <c r="U1029" s="12" t="str">
        <f aca="false">C1029&amp;"|"&amp;E1029</f>
        <v>F11_05|FRA</v>
      </c>
    </row>
    <row r="1030" customFormat="false" ht="15" hidden="false" customHeight="false" outlineLevel="0" collapsed="false">
      <c r="A1030" s="12" t="n">
        <v>11</v>
      </c>
      <c r="B1030" s="12" t="s">
        <v>41</v>
      </c>
      <c r="C1030" s="12" t="s">
        <v>252</v>
      </c>
      <c r="D1030" s="12" t="s">
        <v>253</v>
      </c>
      <c r="E1030" s="12" t="s">
        <v>32</v>
      </c>
      <c r="F1030" s="12" t="s">
        <v>32</v>
      </c>
      <c r="G1030" s="12" t="n">
        <v>29</v>
      </c>
      <c r="H1030" s="12" t="n">
        <v>16</v>
      </c>
      <c r="I1030" s="12" t="s">
        <v>291</v>
      </c>
      <c r="J1030" s="12" t="n">
        <v>5</v>
      </c>
      <c r="K1030" s="12" t="n">
        <v>9</v>
      </c>
      <c r="L1030" s="28" t="n">
        <v>1</v>
      </c>
      <c r="M1030" s="12" t="n">
        <f aca="false">IF(L1030=1,COUNTIFS($C$2:$C$1090,C1030,$L$2:$L$1090,1),"")</f>
        <v>9</v>
      </c>
      <c r="N1030" s="12" t="n">
        <f aca="false">IF(L1030=1,1+COUNTIFS($C$2:$C$1090,C1030,$L$2:$L$1090,1,$G$2:$G$1090,"&gt;"&amp;G1030),"")</f>
        <v>5</v>
      </c>
      <c r="O1030" s="12" t="n">
        <f aca="false">IF(L1030=1,1+COUNTIFS($C$2:$C$1090,C1030,$L$2:$L$1090,1,$H$2:$H$1090,"&gt;"&amp;H1030),"")</f>
        <v>6</v>
      </c>
      <c r="P1030" s="12" t="n">
        <f aca="false">IF(L1030=1,N1030-O1030,"")</f>
        <v>-1</v>
      </c>
      <c r="Q1030" s="12" t="n">
        <f aca="false">INDEX(Directions!$D$2:$D$100,MATCH(C1030,Directions!$A$2:$A$100,0))</f>
        <v>-1</v>
      </c>
      <c r="R1030" s="12" t="n">
        <f aca="false">IF(L1030=1,P1030*Q1030,"")</f>
        <v>1</v>
      </c>
      <c r="S1030" s="12" t="str">
        <f aca="false">IF(L1030&lt;&gt;1,"Excluded",IF(Q1030=0,"No direction",IF(R1030&gt;0,"Better",IF(R1030&lt;0,"Worse","No change"))))</f>
        <v>Better</v>
      </c>
      <c r="T1030" s="12"/>
      <c r="U1030" s="12" t="str">
        <f aca="false">C1030&amp;"|"&amp;E1030</f>
        <v>F11_05|NLD</v>
      </c>
    </row>
    <row r="1031" customFormat="false" ht="15" hidden="false" customHeight="false" outlineLevel="0" collapsed="false">
      <c r="A1031" s="12" t="n">
        <v>11</v>
      </c>
      <c r="B1031" s="12" t="s">
        <v>41</v>
      </c>
      <c r="C1031" s="12" t="s">
        <v>252</v>
      </c>
      <c r="D1031" s="12" t="s">
        <v>253</v>
      </c>
      <c r="E1031" s="12" t="s">
        <v>33</v>
      </c>
      <c r="F1031" s="12" t="s">
        <v>33</v>
      </c>
      <c r="G1031" s="12" t="n">
        <v>31</v>
      </c>
      <c r="H1031" s="12" t="n">
        <v>28</v>
      </c>
      <c r="I1031" s="12" t="s">
        <v>291</v>
      </c>
      <c r="J1031" s="12" t="n">
        <v>2</v>
      </c>
      <c r="K1031" s="12" t="n">
        <v>3</v>
      </c>
      <c r="L1031" s="28" t="n">
        <v>1</v>
      </c>
      <c r="M1031" s="12" t="n">
        <f aca="false">IF(L1031=1,COUNTIFS($C$2:$C$1090,C1031,$L$2:$L$1090,1),"")</f>
        <v>9</v>
      </c>
      <c r="N1031" s="12" t="n">
        <f aca="false">IF(L1031=1,1+COUNTIFS($C$2:$C$1090,C1031,$L$2:$L$1090,1,$G$2:$G$1090,"&gt;"&amp;G1031),"")</f>
        <v>2</v>
      </c>
      <c r="O1031" s="12" t="n">
        <f aca="false">IF(L1031=1,1+COUNTIFS($C$2:$C$1090,C1031,$L$2:$L$1090,1,$H$2:$H$1090,"&gt;"&amp;H1031),"")</f>
        <v>3</v>
      </c>
      <c r="P1031" s="12" t="n">
        <f aca="false">IF(L1031=1,N1031-O1031,"")</f>
        <v>-1</v>
      </c>
      <c r="Q1031" s="12" t="n">
        <f aca="false">INDEX(Directions!$D$2:$D$100,MATCH(C1031,Directions!$A$2:$A$100,0))</f>
        <v>-1</v>
      </c>
      <c r="R1031" s="12" t="n">
        <f aca="false">IF(L1031=1,P1031*Q1031,"")</f>
        <v>1</v>
      </c>
      <c r="S1031" s="12" t="str">
        <f aca="false">IF(L1031&lt;&gt;1,"Excluded",IF(Q1031=0,"No direction",IF(R1031&gt;0,"Better",IF(R1031&lt;0,"Worse","No change"))))</f>
        <v>Better</v>
      </c>
      <c r="T1031" s="12"/>
      <c r="U1031" s="12" t="str">
        <f aca="false">C1031&amp;"|"&amp;E1031</f>
        <v>F11_05|CHE</v>
      </c>
    </row>
    <row r="1032" customFormat="false" ht="15" hidden="false" customHeight="false" outlineLevel="0" collapsed="false">
      <c r="A1032" s="12" t="n">
        <v>11</v>
      </c>
      <c r="B1032" s="12" t="s">
        <v>41</v>
      </c>
      <c r="C1032" s="12" t="s">
        <v>252</v>
      </c>
      <c r="D1032" s="12" t="s">
        <v>253</v>
      </c>
      <c r="E1032" s="12" t="s">
        <v>287</v>
      </c>
      <c r="F1032" s="12" t="s">
        <v>34</v>
      </c>
      <c r="G1032" s="12" t="s">
        <v>302</v>
      </c>
      <c r="H1032" s="12" t="s">
        <v>302</v>
      </c>
      <c r="I1032" s="12"/>
      <c r="J1032" s="12" t="s">
        <v>302</v>
      </c>
      <c r="K1032" s="12" t="s">
        <v>302</v>
      </c>
      <c r="L1032" s="28" t="n">
        <v>0</v>
      </c>
      <c r="M1032" s="12" t="str">
        <f aca="false">IF(L1032=1,COUNTIFS($C$2:$C$1090,C1032,$L$2:$L$1090,1),"")</f>
        <v/>
      </c>
      <c r="N1032" s="12" t="str">
        <f aca="false">IF(L1032=1,1+COUNTIFS($C$2:$C$1090,C1032,$L$2:$L$1090,1,$G$2:$G$1090,"&gt;"&amp;G1032),"")</f>
        <v/>
      </c>
      <c r="O1032" s="12" t="str">
        <f aca="false">IF(L1032=1,1+COUNTIFS($C$2:$C$1090,C1032,$L$2:$L$1090,1,$H$2:$H$1090,"&gt;"&amp;H1032),"")</f>
        <v/>
      </c>
      <c r="P1032" s="12" t="str">
        <f aca="false">IF(L1032=1,N1032-O1032,"")</f>
        <v/>
      </c>
      <c r="Q1032" s="12" t="n">
        <f aca="false">INDEX(Directions!$D$2:$D$100,MATCH(C1032,Directions!$A$2:$A$100,0))</f>
        <v>-1</v>
      </c>
      <c r="R1032" s="12" t="str">
        <f aca="false">IF(L1032=1,P1032*Q1032,"")</f>
        <v/>
      </c>
      <c r="S1032" s="12" t="str">
        <f aca="false">IF(L1032&lt;&gt;1,"Excluded",IF(Q1032=0,"No direction",IF(R1032&gt;0,"Better",IF(R1032&lt;0,"Worse","No change"))))</f>
        <v>Excluded</v>
      </c>
      <c r="T1032" s="12" t="s">
        <v>304</v>
      </c>
      <c r="U1032" s="12" t="str">
        <f aca="false">C1032&amp;"|"&amp;E1032</f>
        <v>F11_05|DNK</v>
      </c>
    </row>
    <row r="1033" customFormat="false" ht="15" hidden="false" customHeight="false" outlineLevel="0" collapsed="false">
      <c r="A1033" s="12" t="n">
        <v>11</v>
      </c>
      <c r="B1033" s="12" t="s">
        <v>41</v>
      </c>
      <c r="C1033" s="12" t="s">
        <v>252</v>
      </c>
      <c r="D1033" s="12" t="s">
        <v>253</v>
      </c>
      <c r="E1033" s="12" t="s">
        <v>288</v>
      </c>
      <c r="F1033" s="12" t="s">
        <v>35</v>
      </c>
      <c r="G1033" s="12" t="n">
        <v>30</v>
      </c>
      <c r="H1033" s="12" t="n">
        <v>24</v>
      </c>
      <c r="I1033" s="12" t="s">
        <v>291</v>
      </c>
      <c r="J1033" s="12" t="n">
        <v>4</v>
      </c>
      <c r="K1033" s="12" t="n">
        <v>4</v>
      </c>
      <c r="L1033" s="28" t="n">
        <v>1</v>
      </c>
      <c r="M1033" s="12" t="n">
        <f aca="false">IF(L1033=1,COUNTIFS($C$2:$C$1090,C1033,$L$2:$L$1090,1),"")</f>
        <v>9</v>
      </c>
      <c r="N1033" s="12" t="n">
        <f aca="false">IF(L1033=1,1+COUNTIFS($C$2:$C$1090,C1033,$L$2:$L$1090,1,$G$2:$G$1090,"&gt;"&amp;G1033),"")</f>
        <v>3</v>
      </c>
      <c r="O1033" s="12" t="n">
        <f aca="false">IF(L1033=1,1+COUNTIFS($C$2:$C$1090,C1033,$L$2:$L$1090,1,$H$2:$H$1090,"&gt;"&amp;H1033),"")</f>
        <v>4</v>
      </c>
      <c r="P1033" s="12" t="n">
        <f aca="false">IF(L1033=1,N1033-O1033,"")</f>
        <v>-1</v>
      </c>
      <c r="Q1033" s="12" t="n">
        <f aca="false">INDEX(Directions!$D$2:$D$100,MATCH(C1033,Directions!$A$2:$A$100,0))</f>
        <v>-1</v>
      </c>
      <c r="R1033" s="12" t="n">
        <f aca="false">IF(L1033=1,P1033*Q1033,"")</f>
        <v>1</v>
      </c>
      <c r="S1033" s="12" t="str">
        <f aca="false">IF(L1033&lt;&gt;1,"Excluded",IF(Q1033=0,"No direction",IF(R1033&gt;0,"Better",IF(R1033&lt;0,"Worse","No change"))))</f>
        <v>Better</v>
      </c>
      <c r="T1033" s="12"/>
      <c r="U1033" s="12" t="str">
        <f aca="false">C1033&amp;"|"&amp;E1033</f>
        <v>F11_05|CAN</v>
      </c>
    </row>
    <row r="1034" customFormat="false" ht="15" hidden="false" customHeight="false" outlineLevel="0" collapsed="false">
      <c r="A1034" s="12" t="n">
        <v>11</v>
      </c>
      <c r="B1034" s="12" t="s">
        <v>41</v>
      </c>
      <c r="C1034" s="12" t="s">
        <v>252</v>
      </c>
      <c r="D1034" s="12" t="s">
        <v>253</v>
      </c>
      <c r="E1034" s="12" t="s">
        <v>289</v>
      </c>
      <c r="F1034" s="12" t="s">
        <v>36</v>
      </c>
      <c r="G1034" s="12" t="s">
        <v>302</v>
      </c>
      <c r="H1034" s="12" t="s">
        <v>302</v>
      </c>
      <c r="I1034" s="12"/>
      <c r="J1034" s="12" t="s">
        <v>302</v>
      </c>
      <c r="K1034" s="12" t="s">
        <v>302</v>
      </c>
      <c r="L1034" s="28" t="n">
        <v>0</v>
      </c>
      <c r="M1034" s="12" t="str">
        <f aca="false">IF(L1034=1,COUNTIFS($C$2:$C$1090,C1034,$L$2:$L$1090,1),"")</f>
        <v/>
      </c>
      <c r="N1034" s="12" t="str">
        <f aca="false">IF(L1034=1,1+COUNTIFS($C$2:$C$1090,C1034,$L$2:$L$1090,1,$G$2:$G$1090,"&gt;"&amp;G1034),"")</f>
        <v/>
      </c>
      <c r="O1034" s="12" t="str">
        <f aca="false">IF(L1034=1,1+COUNTIFS($C$2:$C$1090,C1034,$L$2:$L$1090,1,$H$2:$H$1090,"&gt;"&amp;H1034),"")</f>
        <v/>
      </c>
      <c r="P1034" s="12" t="str">
        <f aca="false">IF(L1034=1,N1034-O1034,"")</f>
        <v/>
      </c>
      <c r="Q1034" s="12" t="n">
        <f aca="false">INDEX(Directions!$D$2:$D$100,MATCH(C1034,Directions!$A$2:$A$100,0))</f>
        <v>-1</v>
      </c>
      <c r="R1034" s="12" t="str">
        <f aca="false">IF(L1034=1,P1034*Q1034,"")</f>
        <v/>
      </c>
      <c r="S1034" s="12" t="str">
        <f aca="false">IF(L1034&lt;&gt;1,"Excluded",IF(Q1034=0,"No direction",IF(R1034&gt;0,"Better",IF(R1034&lt;0,"Worse","No change"))))</f>
        <v>Excluded</v>
      </c>
      <c r="T1034" s="12" t="s">
        <v>304</v>
      </c>
      <c r="U1034" s="12" t="str">
        <f aca="false">C1034&amp;"|"&amp;E1034</f>
        <v>F11_05|JPN</v>
      </c>
    </row>
    <row r="1035" customFormat="false" ht="15" hidden="false" customHeight="false" outlineLevel="0" collapsed="false">
      <c r="A1035" s="12" t="n">
        <v>11</v>
      </c>
      <c r="B1035" s="12" t="s">
        <v>41</v>
      </c>
      <c r="C1035" s="12" t="s">
        <v>252</v>
      </c>
      <c r="D1035" s="12" t="s">
        <v>253</v>
      </c>
      <c r="E1035" s="12" t="s">
        <v>290</v>
      </c>
      <c r="F1035" s="12" t="s">
        <v>37</v>
      </c>
      <c r="G1035" s="12" t="n">
        <v>24</v>
      </c>
      <c r="H1035" s="12" t="n">
        <v>33</v>
      </c>
      <c r="I1035" s="12" t="s">
        <v>291</v>
      </c>
      <c r="J1035" s="12" t="n">
        <v>6</v>
      </c>
      <c r="K1035" s="12" t="n">
        <v>2</v>
      </c>
      <c r="L1035" s="28" t="n">
        <v>1</v>
      </c>
      <c r="M1035" s="12" t="n">
        <f aca="false">IF(L1035=1,COUNTIFS($C$2:$C$1090,C1035,$L$2:$L$1090,1),"")</f>
        <v>9</v>
      </c>
      <c r="N1035" s="12" t="n">
        <f aca="false">IF(L1035=1,1+COUNTIFS($C$2:$C$1090,C1035,$L$2:$L$1090,1,$G$2:$G$1090,"&gt;"&amp;G1035),"")</f>
        <v>6</v>
      </c>
      <c r="O1035" s="12" t="n">
        <f aca="false">IF(L1035=1,1+COUNTIFS($C$2:$C$1090,C1035,$L$2:$L$1090,1,$H$2:$H$1090,"&gt;"&amp;H1035),"")</f>
        <v>2</v>
      </c>
      <c r="P1035" s="12" t="n">
        <f aca="false">IF(L1035=1,N1035-O1035,"")</f>
        <v>4</v>
      </c>
      <c r="Q1035" s="12" t="n">
        <f aca="false">INDEX(Directions!$D$2:$D$100,MATCH(C1035,Directions!$A$2:$A$100,0))</f>
        <v>-1</v>
      </c>
      <c r="R1035" s="12" t="n">
        <f aca="false">IF(L1035=1,P1035*Q1035,"")</f>
        <v>-4</v>
      </c>
      <c r="S1035" s="12" t="str">
        <f aca="false">IF(L1035&lt;&gt;1,"Excluded",IF(Q1035=0,"No direction",IF(R1035&gt;0,"Better",IF(R1035&lt;0,"Worse","No change"))))</f>
        <v>Worse</v>
      </c>
      <c r="T1035" s="12"/>
      <c r="U1035" s="12" t="str">
        <f aca="false">C1035&amp;"|"&amp;E1035</f>
        <v>F11_05|AUS</v>
      </c>
    </row>
    <row r="1036" customFormat="false" ht="15" hidden="false" customHeight="false" outlineLevel="0" collapsed="false">
      <c r="A1036" s="12" t="n">
        <v>11</v>
      </c>
      <c r="B1036" s="12" t="s">
        <v>41</v>
      </c>
      <c r="C1036" s="12" t="s">
        <v>254</v>
      </c>
      <c r="D1036" s="12" t="s">
        <v>255</v>
      </c>
      <c r="E1036" s="12" t="s">
        <v>281</v>
      </c>
      <c r="F1036" s="12" t="s">
        <v>27</v>
      </c>
      <c r="G1036" s="12" t="n">
        <v>32</v>
      </c>
      <c r="H1036" s="12" t="n">
        <v>29</v>
      </c>
      <c r="I1036" s="12" t="s">
        <v>291</v>
      </c>
      <c r="J1036" s="12" t="n">
        <v>1</v>
      </c>
      <c r="K1036" s="12" t="n">
        <v>1</v>
      </c>
      <c r="L1036" s="28" t="n">
        <v>1</v>
      </c>
      <c r="M1036" s="12" t="n">
        <f aca="false">IF(L1036=1,COUNTIFS($C$2:$C$1090,C1036,$L$2:$L$1090,1),"")</f>
        <v>9</v>
      </c>
      <c r="N1036" s="12" t="n">
        <f aca="false">IF(L1036=1,1+COUNTIFS($C$2:$C$1090,C1036,$L$2:$L$1090,1,$G$2:$G$1090,"&gt;"&amp;G1036),"")</f>
        <v>1</v>
      </c>
      <c r="O1036" s="12" t="n">
        <f aca="false">IF(L1036=1,1+COUNTIFS($C$2:$C$1090,C1036,$L$2:$L$1090,1,$H$2:$H$1090,"&gt;"&amp;H1036),"")</f>
        <v>1</v>
      </c>
      <c r="P1036" s="12" t="n">
        <f aca="false">IF(L1036=1,N1036-O1036,"")</f>
        <v>0</v>
      </c>
      <c r="Q1036" s="12" t="n">
        <f aca="false">INDEX(Directions!$D$2:$D$100,MATCH(C1036,Directions!$A$2:$A$100,0))</f>
        <v>-1</v>
      </c>
      <c r="R1036" s="12" t="n">
        <f aca="false">IF(L1036=1,P1036*Q1036,"")</f>
        <v>-0</v>
      </c>
      <c r="S1036" s="12" t="str">
        <f aca="false">IF(L1036&lt;&gt;1,"Excluded",IF(Q1036=0,"No direction",IF(R1036&gt;0,"Better",IF(R1036&lt;0,"Worse","No change"))))</f>
        <v>No change</v>
      </c>
      <c r="T1036" s="12"/>
      <c r="U1036" s="12" t="str">
        <f aca="false">C1036&amp;"|"&amp;E1036</f>
        <v>F11_06|USA</v>
      </c>
    </row>
    <row r="1037" customFormat="false" ht="15" hidden="false" customHeight="false" outlineLevel="0" collapsed="false">
      <c r="A1037" s="12" t="n">
        <v>11</v>
      </c>
      <c r="B1037" s="12" t="s">
        <v>41</v>
      </c>
      <c r="C1037" s="12" t="s">
        <v>254</v>
      </c>
      <c r="D1037" s="12" t="s">
        <v>255</v>
      </c>
      <c r="E1037" s="12" t="s">
        <v>283</v>
      </c>
      <c r="F1037" s="12" t="s">
        <v>28</v>
      </c>
      <c r="G1037" s="12" t="n">
        <v>7</v>
      </c>
      <c r="H1037" s="12" t="n">
        <v>10</v>
      </c>
      <c r="I1037" s="12" t="s">
        <v>291</v>
      </c>
      <c r="J1037" s="12" t="n">
        <v>7</v>
      </c>
      <c r="K1037" s="12" t="n">
        <v>5</v>
      </c>
      <c r="L1037" s="28" t="n">
        <v>1</v>
      </c>
      <c r="M1037" s="12" t="n">
        <f aca="false">IF(L1037=1,COUNTIFS($C$2:$C$1090,C1037,$L$2:$L$1090,1),"")</f>
        <v>9</v>
      </c>
      <c r="N1037" s="12" t="n">
        <f aca="false">IF(L1037=1,1+COUNTIFS($C$2:$C$1090,C1037,$L$2:$L$1090,1,$G$2:$G$1090,"&gt;"&amp;G1037),"")</f>
        <v>7</v>
      </c>
      <c r="O1037" s="12" t="n">
        <f aca="false">IF(L1037=1,1+COUNTIFS($C$2:$C$1090,C1037,$L$2:$L$1090,1,$H$2:$H$1090,"&gt;"&amp;H1037),"")</f>
        <v>5</v>
      </c>
      <c r="P1037" s="12" t="n">
        <f aca="false">IF(L1037=1,N1037-O1037,"")</f>
        <v>2</v>
      </c>
      <c r="Q1037" s="12" t="n">
        <f aca="false">INDEX(Directions!$D$2:$D$100,MATCH(C1037,Directions!$A$2:$A$100,0))</f>
        <v>-1</v>
      </c>
      <c r="R1037" s="12" t="n">
        <f aca="false">IF(L1037=1,P1037*Q1037,"")</f>
        <v>-2</v>
      </c>
      <c r="S1037" s="12" t="str">
        <f aca="false">IF(L1037&lt;&gt;1,"Excluded",IF(Q1037=0,"No direction",IF(R1037&gt;0,"Better",IF(R1037&lt;0,"Worse","No change"))))</f>
        <v>Worse</v>
      </c>
      <c r="T1037" s="12"/>
      <c r="U1037" s="12" t="str">
        <f aca="false">C1037&amp;"|"&amp;E1037</f>
        <v>F11_06|GBR</v>
      </c>
    </row>
    <row r="1038" customFormat="false" ht="15" hidden="false" customHeight="false" outlineLevel="0" collapsed="false">
      <c r="A1038" s="12" t="n">
        <v>11</v>
      </c>
      <c r="B1038" s="12" t="s">
        <v>41</v>
      </c>
      <c r="C1038" s="12" t="s">
        <v>254</v>
      </c>
      <c r="D1038" s="12" t="s">
        <v>255</v>
      </c>
      <c r="E1038" s="12" t="s">
        <v>284</v>
      </c>
      <c r="F1038" s="12" t="s">
        <v>29</v>
      </c>
      <c r="G1038" s="12" t="n">
        <v>6</v>
      </c>
      <c r="H1038" s="12" t="n">
        <v>8</v>
      </c>
      <c r="I1038" s="12" t="s">
        <v>291</v>
      </c>
      <c r="J1038" s="12" t="n">
        <v>9</v>
      </c>
      <c r="K1038" s="12" t="n">
        <v>6</v>
      </c>
      <c r="L1038" s="28" t="n">
        <v>1</v>
      </c>
      <c r="M1038" s="12" t="n">
        <f aca="false">IF(L1038=1,COUNTIFS($C$2:$C$1090,C1038,$L$2:$L$1090,1),"")</f>
        <v>9</v>
      </c>
      <c r="N1038" s="12" t="n">
        <f aca="false">IF(L1038=1,1+COUNTIFS($C$2:$C$1090,C1038,$L$2:$L$1090,1,$G$2:$G$1090,"&gt;"&amp;G1038),"")</f>
        <v>9</v>
      </c>
      <c r="O1038" s="12" t="n">
        <f aca="false">IF(L1038=1,1+COUNTIFS($C$2:$C$1090,C1038,$L$2:$L$1090,1,$H$2:$H$1090,"&gt;"&amp;H1038),"")</f>
        <v>6</v>
      </c>
      <c r="P1038" s="12" t="n">
        <f aca="false">IF(L1038=1,N1038-O1038,"")</f>
        <v>3</v>
      </c>
      <c r="Q1038" s="12" t="n">
        <f aca="false">INDEX(Directions!$D$2:$D$100,MATCH(C1038,Directions!$A$2:$A$100,0))</f>
        <v>-1</v>
      </c>
      <c r="R1038" s="12" t="n">
        <f aca="false">IF(L1038=1,P1038*Q1038,"")</f>
        <v>-3</v>
      </c>
      <c r="S1038" s="12" t="str">
        <f aca="false">IF(L1038&lt;&gt;1,"Excluded",IF(Q1038=0,"No direction",IF(R1038&gt;0,"Better",IF(R1038&lt;0,"Worse","No change"))))</f>
        <v>Worse</v>
      </c>
      <c r="T1038" s="12"/>
      <c r="U1038" s="12" t="str">
        <f aca="false">C1038&amp;"|"&amp;E1038</f>
        <v>F11_06|DEU</v>
      </c>
    </row>
    <row r="1039" customFormat="false" ht="15" hidden="false" customHeight="false" outlineLevel="0" collapsed="false">
      <c r="A1039" s="12" t="n">
        <v>11</v>
      </c>
      <c r="B1039" s="12" t="s">
        <v>41</v>
      </c>
      <c r="C1039" s="12" t="s">
        <v>254</v>
      </c>
      <c r="D1039" s="12" t="s">
        <v>255</v>
      </c>
      <c r="E1039" s="12" t="s">
        <v>285</v>
      </c>
      <c r="F1039" s="12" t="s">
        <v>30</v>
      </c>
      <c r="G1039" s="12" t="n">
        <v>7</v>
      </c>
      <c r="H1039" s="12" t="n">
        <v>6</v>
      </c>
      <c r="I1039" s="12" t="s">
        <v>296</v>
      </c>
      <c r="J1039" s="12" t="n">
        <v>8</v>
      </c>
      <c r="K1039" s="12" t="n">
        <v>7</v>
      </c>
      <c r="L1039" s="28" t="n">
        <v>1</v>
      </c>
      <c r="M1039" s="12" t="n">
        <f aca="false">IF(L1039=1,COUNTIFS($C$2:$C$1090,C1039,$L$2:$L$1090,1),"")</f>
        <v>9</v>
      </c>
      <c r="N1039" s="12" t="n">
        <f aca="false">IF(L1039=1,1+COUNTIFS($C$2:$C$1090,C1039,$L$2:$L$1090,1,$G$2:$G$1090,"&gt;"&amp;G1039),"")</f>
        <v>7</v>
      </c>
      <c r="O1039" s="12" t="n">
        <f aca="false">IF(L1039=1,1+COUNTIFS($C$2:$C$1090,C1039,$L$2:$L$1090,1,$H$2:$H$1090,"&gt;"&amp;H1039),"")</f>
        <v>7</v>
      </c>
      <c r="P1039" s="12" t="n">
        <f aca="false">IF(L1039=1,N1039-O1039,"")</f>
        <v>0</v>
      </c>
      <c r="Q1039" s="12" t="n">
        <f aca="false">INDEX(Directions!$D$2:$D$100,MATCH(C1039,Directions!$A$2:$A$100,0))</f>
        <v>-1</v>
      </c>
      <c r="R1039" s="12" t="n">
        <f aca="false">IF(L1039=1,P1039*Q1039,"")</f>
        <v>-0</v>
      </c>
      <c r="S1039" s="12" t="str">
        <f aca="false">IF(L1039&lt;&gt;1,"Excluded",IF(Q1039=0,"No direction",IF(R1039&gt;0,"Better",IF(R1039&lt;0,"Worse","No change"))))</f>
        <v>No change</v>
      </c>
      <c r="T1039" s="12"/>
      <c r="U1039" s="12" t="str">
        <f aca="false">C1039&amp;"|"&amp;E1039</f>
        <v>F11_06|SWE</v>
      </c>
    </row>
    <row r="1040" customFormat="false" ht="15" hidden="false" customHeight="false" outlineLevel="0" collapsed="false">
      <c r="A1040" s="12" t="n">
        <v>11</v>
      </c>
      <c r="B1040" s="12" t="s">
        <v>41</v>
      </c>
      <c r="C1040" s="12" t="s">
        <v>254</v>
      </c>
      <c r="D1040" s="12" t="s">
        <v>255</v>
      </c>
      <c r="E1040" s="12" t="s">
        <v>286</v>
      </c>
      <c r="F1040" s="12" t="s">
        <v>31</v>
      </c>
      <c r="G1040" s="12" t="n">
        <v>14</v>
      </c>
      <c r="H1040" s="12" t="n">
        <v>6</v>
      </c>
      <c r="I1040" s="12" t="s">
        <v>291</v>
      </c>
      <c r="J1040" s="12" t="n">
        <v>4</v>
      </c>
      <c r="K1040" s="12" t="n">
        <v>8</v>
      </c>
      <c r="L1040" s="28" t="n">
        <v>1</v>
      </c>
      <c r="M1040" s="12" t="n">
        <f aca="false">IF(L1040=1,COUNTIFS($C$2:$C$1090,C1040,$L$2:$L$1090,1),"")</f>
        <v>9</v>
      </c>
      <c r="N1040" s="12" t="n">
        <f aca="false">IF(L1040=1,1+COUNTIFS($C$2:$C$1090,C1040,$L$2:$L$1090,1,$G$2:$G$1090,"&gt;"&amp;G1040),"")</f>
        <v>4</v>
      </c>
      <c r="O1040" s="12" t="n">
        <f aca="false">IF(L1040=1,1+COUNTIFS($C$2:$C$1090,C1040,$L$2:$L$1090,1,$H$2:$H$1090,"&gt;"&amp;H1040),"")</f>
        <v>7</v>
      </c>
      <c r="P1040" s="12" t="n">
        <f aca="false">IF(L1040=1,N1040-O1040,"")</f>
        <v>-3</v>
      </c>
      <c r="Q1040" s="12" t="n">
        <f aca="false">INDEX(Directions!$D$2:$D$100,MATCH(C1040,Directions!$A$2:$A$100,0))</f>
        <v>-1</v>
      </c>
      <c r="R1040" s="12" t="n">
        <f aca="false">IF(L1040=1,P1040*Q1040,"")</f>
        <v>3</v>
      </c>
      <c r="S1040" s="12" t="str">
        <f aca="false">IF(L1040&lt;&gt;1,"Excluded",IF(Q1040=0,"No direction",IF(R1040&gt;0,"Better",IF(R1040&lt;0,"Worse","No change"))))</f>
        <v>Better</v>
      </c>
      <c r="T1040" s="12"/>
      <c r="U1040" s="12" t="str">
        <f aca="false">C1040&amp;"|"&amp;E1040</f>
        <v>F11_06|FRA</v>
      </c>
    </row>
    <row r="1041" customFormat="false" ht="15" hidden="false" customHeight="false" outlineLevel="0" collapsed="false">
      <c r="A1041" s="12" t="n">
        <v>11</v>
      </c>
      <c r="B1041" s="12" t="s">
        <v>41</v>
      </c>
      <c r="C1041" s="12" t="s">
        <v>254</v>
      </c>
      <c r="D1041" s="12" t="s">
        <v>255</v>
      </c>
      <c r="E1041" s="12" t="s">
        <v>32</v>
      </c>
      <c r="F1041" s="12" t="s">
        <v>32</v>
      </c>
      <c r="G1041" s="12" t="n">
        <v>16</v>
      </c>
      <c r="H1041" s="12" t="n">
        <v>6</v>
      </c>
      <c r="I1041" s="12" t="s">
        <v>291</v>
      </c>
      <c r="J1041" s="12" t="n">
        <v>3</v>
      </c>
      <c r="K1041" s="12" t="n">
        <v>9</v>
      </c>
      <c r="L1041" s="28" t="n">
        <v>1</v>
      </c>
      <c r="M1041" s="12" t="n">
        <f aca="false">IF(L1041=1,COUNTIFS($C$2:$C$1090,C1041,$L$2:$L$1090,1),"")</f>
        <v>9</v>
      </c>
      <c r="N1041" s="12" t="n">
        <f aca="false">IF(L1041=1,1+COUNTIFS($C$2:$C$1090,C1041,$L$2:$L$1090,1,$G$2:$G$1090,"&gt;"&amp;G1041),"")</f>
        <v>3</v>
      </c>
      <c r="O1041" s="12" t="n">
        <f aca="false">IF(L1041=1,1+COUNTIFS($C$2:$C$1090,C1041,$L$2:$L$1090,1,$H$2:$H$1090,"&gt;"&amp;H1041),"")</f>
        <v>7</v>
      </c>
      <c r="P1041" s="12" t="n">
        <f aca="false">IF(L1041=1,N1041-O1041,"")</f>
        <v>-4</v>
      </c>
      <c r="Q1041" s="12" t="n">
        <f aca="false">INDEX(Directions!$D$2:$D$100,MATCH(C1041,Directions!$A$2:$A$100,0))</f>
        <v>-1</v>
      </c>
      <c r="R1041" s="12" t="n">
        <f aca="false">IF(L1041=1,P1041*Q1041,"")</f>
        <v>4</v>
      </c>
      <c r="S1041" s="12" t="str">
        <f aca="false">IF(L1041&lt;&gt;1,"Excluded",IF(Q1041=0,"No direction",IF(R1041&gt;0,"Better",IF(R1041&lt;0,"Worse","No change"))))</f>
        <v>Better</v>
      </c>
      <c r="T1041" s="12"/>
      <c r="U1041" s="12" t="str">
        <f aca="false">C1041&amp;"|"&amp;E1041</f>
        <v>F11_06|NLD</v>
      </c>
    </row>
    <row r="1042" customFormat="false" ht="15" hidden="false" customHeight="false" outlineLevel="0" collapsed="false">
      <c r="A1042" s="12" t="n">
        <v>11</v>
      </c>
      <c r="B1042" s="12" t="s">
        <v>41</v>
      </c>
      <c r="C1042" s="12" t="s">
        <v>254</v>
      </c>
      <c r="D1042" s="12" t="s">
        <v>255</v>
      </c>
      <c r="E1042" s="12" t="s">
        <v>33</v>
      </c>
      <c r="F1042" s="12" t="s">
        <v>33</v>
      </c>
      <c r="G1042" s="12" t="n">
        <v>22</v>
      </c>
      <c r="H1042" s="12" t="n">
        <v>18</v>
      </c>
      <c r="I1042" s="12" t="s">
        <v>291</v>
      </c>
      <c r="J1042" s="12" t="n">
        <v>2</v>
      </c>
      <c r="K1042" s="12" t="n">
        <v>3</v>
      </c>
      <c r="L1042" s="28" t="n">
        <v>1</v>
      </c>
      <c r="M1042" s="12" t="n">
        <f aca="false">IF(L1042=1,COUNTIFS($C$2:$C$1090,C1042,$L$2:$L$1090,1),"")</f>
        <v>9</v>
      </c>
      <c r="N1042" s="12" t="n">
        <f aca="false">IF(L1042=1,1+COUNTIFS($C$2:$C$1090,C1042,$L$2:$L$1090,1,$G$2:$G$1090,"&gt;"&amp;G1042),"")</f>
        <v>2</v>
      </c>
      <c r="O1042" s="12" t="n">
        <f aca="false">IF(L1042=1,1+COUNTIFS($C$2:$C$1090,C1042,$L$2:$L$1090,1,$H$2:$H$1090,"&gt;"&amp;H1042),"")</f>
        <v>3</v>
      </c>
      <c r="P1042" s="12" t="n">
        <f aca="false">IF(L1042=1,N1042-O1042,"")</f>
        <v>-1</v>
      </c>
      <c r="Q1042" s="12" t="n">
        <f aca="false">INDEX(Directions!$D$2:$D$100,MATCH(C1042,Directions!$A$2:$A$100,0))</f>
        <v>-1</v>
      </c>
      <c r="R1042" s="12" t="n">
        <f aca="false">IF(L1042=1,P1042*Q1042,"")</f>
        <v>1</v>
      </c>
      <c r="S1042" s="12" t="str">
        <f aca="false">IF(L1042&lt;&gt;1,"Excluded",IF(Q1042=0,"No direction",IF(R1042&gt;0,"Better",IF(R1042&lt;0,"Worse","No change"))))</f>
        <v>Better</v>
      </c>
      <c r="T1042" s="12"/>
      <c r="U1042" s="12" t="str">
        <f aca="false">C1042&amp;"|"&amp;E1042</f>
        <v>F11_06|CHE</v>
      </c>
    </row>
    <row r="1043" customFormat="false" ht="15" hidden="false" customHeight="false" outlineLevel="0" collapsed="false">
      <c r="A1043" s="12" t="n">
        <v>11</v>
      </c>
      <c r="B1043" s="12" t="s">
        <v>41</v>
      </c>
      <c r="C1043" s="12" t="s">
        <v>254</v>
      </c>
      <c r="D1043" s="12" t="s">
        <v>255</v>
      </c>
      <c r="E1043" s="12" t="s">
        <v>287</v>
      </c>
      <c r="F1043" s="12" t="s">
        <v>34</v>
      </c>
      <c r="G1043" s="12" t="s">
        <v>302</v>
      </c>
      <c r="H1043" s="12" t="s">
        <v>302</v>
      </c>
      <c r="I1043" s="12"/>
      <c r="J1043" s="12" t="s">
        <v>302</v>
      </c>
      <c r="K1043" s="12" t="s">
        <v>302</v>
      </c>
      <c r="L1043" s="28" t="n">
        <v>0</v>
      </c>
      <c r="M1043" s="12" t="str">
        <f aca="false">IF(L1043=1,COUNTIFS($C$2:$C$1090,C1043,$L$2:$L$1090,1),"")</f>
        <v/>
      </c>
      <c r="N1043" s="12" t="str">
        <f aca="false">IF(L1043=1,1+COUNTIFS($C$2:$C$1090,C1043,$L$2:$L$1090,1,$G$2:$G$1090,"&gt;"&amp;G1043),"")</f>
        <v/>
      </c>
      <c r="O1043" s="12" t="str">
        <f aca="false">IF(L1043=1,1+COUNTIFS($C$2:$C$1090,C1043,$L$2:$L$1090,1,$H$2:$H$1090,"&gt;"&amp;H1043),"")</f>
        <v/>
      </c>
      <c r="P1043" s="12" t="str">
        <f aca="false">IF(L1043=1,N1043-O1043,"")</f>
        <v/>
      </c>
      <c r="Q1043" s="12" t="n">
        <f aca="false">INDEX(Directions!$D$2:$D$100,MATCH(C1043,Directions!$A$2:$A$100,0))</f>
        <v>-1</v>
      </c>
      <c r="R1043" s="12" t="str">
        <f aca="false">IF(L1043=1,P1043*Q1043,"")</f>
        <v/>
      </c>
      <c r="S1043" s="12" t="str">
        <f aca="false">IF(L1043&lt;&gt;1,"Excluded",IF(Q1043=0,"No direction",IF(R1043&gt;0,"Better",IF(R1043&lt;0,"Worse","No change"))))</f>
        <v>Excluded</v>
      </c>
      <c r="T1043" s="12" t="s">
        <v>304</v>
      </c>
      <c r="U1043" s="12" t="str">
        <f aca="false">C1043&amp;"|"&amp;E1043</f>
        <v>F11_06|DNK</v>
      </c>
    </row>
    <row r="1044" customFormat="false" ht="15" hidden="false" customHeight="false" outlineLevel="0" collapsed="false">
      <c r="A1044" s="12" t="n">
        <v>11</v>
      </c>
      <c r="B1044" s="12" t="s">
        <v>41</v>
      </c>
      <c r="C1044" s="12" t="s">
        <v>254</v>
      </c>
      <c r="D1044" s="12" t="s">
        <v>255</v>
      </c>
      <c r="E1044" s="12" t="s">
        <v>288</v>
      </c>
      <c r="F1044" s="12" t="s">
        <v>35</v>
      </c>
      <c r="G1044" s="12" t="n">
        <v>13</v>
      </c>
      <c r="H1044" s="12" t="n">
        <v>12</v>
      </c>
      <c r="I1044" s="12" t="s">
        <v>291</v>
      </c>
      <c r="J1044" s="12" t="n">
        <v>5</v>
      </c>
      <c r="K1044" s="12" t="n">
        <v>4</v>
      </c>
      <c r="L1044" s="28" t="n">
        <v>1</v>
      </c>
      <c r="M1044" s="12" t="n">
        <f aca="false">IF(L1044=1,COUNTIFS($C$2:$C$1090,C1044,$L$2:$L$1090,1),"")</f>
        <v>9</v>
      </c>
      <c r="N1044" s="12" t="n">
        <f aca="false">IF(L1044=1,1+COUNTIFS($C$2:$C$1090,C1044,$L$2:$L$1090,1,$G$2:$G$1090,"&gt;"&amp;G1044),"")</f>
        <v>5</v>
      </c>
      <c r="O1044" s="12" t="n">
        <f aca="false">IF(L1044=1,1+COUNTIFS($C$2:$C$1090,C1044,$L$2:$L$1090,1,$H$2:$H$1090,"&gt;"&amp;H1044),"")</f>
        <v>4</v>
      </c>
      <c r="P1044" s="12" t="n">
        <f aca="false">IF(L1044=1,N1044-O1044,"")</f>
        <v>1</v>
      </c>
      <c r="Q1044" s="12" t="n">
        <f aca="false">INDEX(Directions!$D$2:$D$100,MATCH(C1044,Directions!$A$2:$A$100,0))</f>
        <v>-1</v>
      </c>
      <c r="R1044" s="12" t="n">
        <f aca="false">IF(L1044=1,P1044*Q1044,"")</f>
        <v>-1</v>
      </c>
      <c r="S1044" s="12" t="str">
        <f aca="false">IF(L1044&lt;&gt;1,"Excluded",IF(Q1044=0,"No direction",IF(R1044&gt;0,"Better",IF(R1044&lt;0,"Worse","No change"))))</f>
        <v>Worse</v>
      </c>
      <c r="T1044" s="12"/>
      <c r="U1044" s="12" t="str">
        <f aca="false">C1044&amp;"|"&amp;E1044</f>
        <v>F11_06|CAN</v>
      </c>
    </row>
    <row r="1045" customFormat="false" ht="15" hidden="false" customHeight="false" outlineLevel="0" collapsed="false">
      <c r="A1045" s="12" t="n">
        <v>11</v>
      </c>
      <c r="B1045" s="12" t="s">
        <v>41</v>
      </c>
      <c r="C1045" s="12" t="s">
        <v>254</v>
      </c>
      <c r="D1045" s="12" t="s">
        <v>255</v>
      </c>
      <c r="E1045" s="12" t="s">
        <v>289</v>
      </c>
      <c r="F1045" s="12" t="s">
        <v>36</v>
      </c>
      <c r="G1045" s="12" t="s">
        <v>302</v>
      </c>
      <c r="H1045" s="12" t="s">
        <v>302</v>
      </c>
      <c r="I1045" s="12"/>
      <c r="J1045" s="12" t="s">
        <v>302</v>
      </c>
      <c r="K1045" s="12" t="s">
        <v>302</v>
      </c>
      <c r="L1045" s="28" t="n">
        <v>0</v>
      </c>
      <c r="M1045" s="12" t="str">
        <f aca="false">IF(L1045=1,COUNTIFS($C$2:$C$1090,C1045,$L$2:$L$1090,1),"")</f>
        <v/>
      </c>
      <c r="N1045" s="12" t="str">
        <f aca="false">IF(L1045=1,1+COUNTIFS($C$2:$C$1090,C1045,$L$2:$L$1090,1,$G$2:$G$1090,"&gt;"&amp;G1045),"")</f>
        <v/>
      </c>
      <c r="O1045" s="12" t="str">
        <f aca="false">IF(L1045=1,1+COUNTIFS($C$2:$C$1090,C1045,$L$2:$L$1090,1,$H$2:$H$1090,"&gt;"&amp;H1045),"")</f>
        <v/>
      </c>
      <c r="P1045" s="12" t="str">
        <f aca="false">IF(L1045=1,N1045-O1045,"")</f>
        <v/>
      </c>
      <c r="Q1045" s="12" t="n">
        <f aca="false">INDEX(Directions!$D$2:$D$100,MATCH(C1045,Directions!$A$2:$A$100,0))</f>
        <v>-1</v>
      </c>
      <c r="R1045" s="12" t="str">
        <f aca="false">IF(L1045=1,P1045*Q1045,"")</f>
        <v/>
      </c>
      <c r="S1045" s="12" t="str">
        <f aca="false">IF(L1045&lt;&gt;1,"Excluded",IF(Q1045=0,"No direction",IF(R1045&gt;0,"Better",IF(R1045&lt;0,"Worse","No change"))))</f>
        <v>Excluded</v>
      </c>
      <c r="T1045" s="12" t="s">
        <v>304</v>
      </c>
      <c r="U1045" s="12" t="str">
        <f aca="false">C1045&amp;"|"&amp;E1045</f>
        <v>F11_06|JPN</v>
      </c>
    </row>
    <row r="1046" customFormat="false" ht="15" hidden="false" customHeight="false" outlineLevel="0" collapsed="false">
      <c r="A1046" s="12" t="n">
        <v>11</v>
      </c>
      <c r="B1046" s="12" t="s">
        <v>41</v>
      </c>
      <c r="C1046" s="12" t="s">
        <v>254</v>
      </c>
      <c r="D1046" s="12" t="s">
        <v>255</v>
      </c>
      <c r="E1046" s="12" t="s">
        <v>290</v>
      </c>
      <c r="F1046" s="12" t="s">
        <v>37</v>
      </c>
      <c r="G1046" s="12" t="n">
        <v>13</v>
      </c>
      <c r="H1046" s="12" t="n">
        <v>25</v>
      </c>
      <c r="I1046" s="12" t="s">
        <v>291</v>
      </c>
      <c r="J1046" s="12" t="n">
        <v>6</v>
      </c>
      <c r="K1046" s="12" t="n">
        <v>2</v>
      </c>
      <c r="L1046" s="28" t="n">
        <v>1</v>
      </c>
      <c r="M1046" s="12" t="n">
        <f aca="false">IF(L1046=1,COUNTIFS($C$2:$C$1090,C1046,$L$2:$L$1090,1),"")</f>
        <v>9</v>
      </c>
      <c r="N1046" s="12" t="n">
        <f aca="false">IF(L1046=1,1+COUNTIFS($C$2:$C$1090,C1046,$L$2:$L$1090,1,$G$2:$G$1090,"&gt;"&amp;G1046),"")</f>
        <v>5</v>
      </c>
      <c r="O1046" s="12" t="n">
        <f aca="false">IF(L1046=1,1+COUNTIFS($C$2:$C$1090,C1046,$L$2:$L$1090,1,$H$2:$H$1090,"&gt;"&amp;H1046),"")</f>
        <v>2</v>
      </c>
      <c r="P1046" s="12" t="n">
        <f aca="false">IF(L1046=1,N1046-O1046,"")</f>
        <v>3</v>
      </c>
      <c r="Q1046" s="12" t="n">
        <f aca="false">INDEX(Directions!$D$2:$D$100,MATCH(C1046,Directions!$A$2:$A$100,0))</f>
        <v>-1</v>
      </c>
      <c r="R1046" s="12" t="n">
        <f aca="false">IF(L1046=1,P1046*Q1046,"")</f>
        <v>-3</v>
      </c>
      <c r="S1046" s="12" t="str">
        <f aca="false">IF(L1046&lt;&gt;1,"Excluded",IF(Q1046=0,"No direction",IF(R1046&gt;0,"Better",IF(R1046&lt;0,"Worse","No change"))))</f>
        <v>Worse</v>
      </c>
      <c r="T1046" s="12"/>
      <c r="U1046" s="12" t="str">
        <f aca="false">C1046&amp;"|"&amp;E1046</f>
        <v>F11_06|AUS</v>
      </c>
    </row>
    <row r="1047" customFormat="false" ht="15" hidden="false" customHeight="false" outlineLevel="0" collapsed="false">
      <c r="A1047" s="12" t="n">
        <v>11</v>
      </c>
      <c r="B1047" s="12" t="s">
        <v>41</v>
      </c>
      <c r="C1047" s="12" t="s">
        <v>256</v>
      </c>
      <c r="D1047" s="12" t="s">
        <v>257</v>
      </c>
      <c r="E1047" s="12" t="s">
        <v>281</v>
      </c>
      <c r="F1047" s="12" t="s">
        <v>27</v>
      </c>
      <c r="G1047" s="12" t="n">
        <v>18</v>
      </c>
      <c r="H1047" s="12" t="n">
        <v>19.81</v>
      </c>
      <c r="I1047" s="12" t="s">
        <v>282</v>
      </c>
      <c r="J1047" s="12" t="n">
        <v>3</v>
      </c>
      <c r="K1047" s="12" t="n">
        <v>2</v>
      </c>
      <c r="L1047" s="28" t="n">
        <v>1</v>
      </c>
      <c r="M1047" s="12" t="n">
        <f aca="false">IF(L1047=1,COUNTIFS($C$2:$C$1090,C1047,$L$2:$L$1090,1),"")</f>
        <v>9</v>
      </c>
      <c r="N1047" s="12" t="n">
        <f aca="false">IF(L1047=1,1+COUNTIFS($C$2:$C$1090,C1047,$L$2:$L$1090,1,$G$2:$G$1090,"&gt;"&amp;G1047),"")</f>
        <v>2</v>
      </c>
      <c r="O1047" s="12" t="n">
        <f aca="false">IF(L1047=1,1+COUNTIFS($C$2:$C$1090,C1047,$L$2:$L$1090,1,$H$2:$H$1090,"&gt;"&amp;H1047),"")</f>
        <v>2</v>
      </c>
      <c r="P1047" s="12" t="n">
        <f aca="false">IF(L1047=1,N1047-O1047,"")</f>
        <v>0</v>
      </c>
      <c r="Q1047" s="12" t="n">
        <f aca="false">INDEX(Directions!$D$2:$D$100,MATCH(C1047,Directions!$A$2:$A$100,0))</f>
        <v>0</v>
      </c>
      <c r="R1047" s="12" t="n">
        <f aca="false">IF(L1047=1,P1047*Q1047,"")</f>
        <v>0</v>
      </c>
      <c r="S1047" s="12" t="str">
        <f aca="false">IF(L1047&lt;&gt;1,"Excluded",IF(Q1047=0,"No direction",IF(R1047&gt;0,"Better",IF(R1047&lt;0,"Worse","No change"))))</f>
        <v>No direction</v>
      </c>
      <c r="T1047" s="12"/>
      <c r="U1047" s="12" t="str">
        <f aca="false">C1047&amp;"|"&amp;E1047</f>
        <v>F11_07|USA</v>
      </c>
    </row>
    <row r="1048" customFormat="false" ht="15" hidden="false" customHeight="false" outlineLevel="0" collapsed="false">
      <c r="A1048" s="12" t="n">
        <v>11</v>
      </c>
      <c r="B1048" s="12" t="s">
        <v>41</v>
      </c>
      <c r="C1048" s="12" t="s">
        <v>256</v>
      </c>
      <c r="D1048" s="12" t="s">
        <v>257</v>
      </c>
      <c r="E1048" s="12" t="s">
        <v>283</v>
      </c>
      <c r="F1048" s="12" t="s">
        <v>28</v>
      </c>
      <c r="G1048" s="12" t="n">
        <v>17</v>
      </c>
      <c r="H1048" s="12" t="n">
        <v>16.68</v>
      </c>
      <c r="I1048" s="12" t="s">
        <v>282</v>
      </c>
      <c r="J1048" s="12" t="n">
        <v>6</v>
      </c>
      <c r="K1048" s="12" t="n">
        <v>5</v>
      </c>
      <c r="L1048" s="28" t="n">
        <v>1</v>
      </c>
      <c r="M1048" s="12" t="n">
        <f aca="false">IF(L1048=1,COUNTIFS($C$2:$C$1090,C1048,$L$2:$L$1090,1),"")</f>
        <v>9</v>
      </c>
      <c r="N1048" s="12" t="n">
        <f aca="false">IF(L1048=1,1+COUNTIFS($C$2:$C$1090,C1048,$L$2:$L$1090,1,$G$2:$G$1090,"&gt;"&amp;G1048),"")</f>
        <v>5</v>
      </c>
      <c r="O1048" s="12" t="n">
        <f aca="false">IF(L1048=1,1+COUNTIFS($C$2:$C$1090,C1048,$L$2:$L$1090,1,$H$2:$H$1090,"&gt;"&amp;H1048),"")</f>
        <v>5</v>
      </c>
      <c r="P1048" s="12" t="n">
        <f aca="false">IF(L1048=1,N1048-O1048,"")</f>
        <v>0</v>
      </c>
      <c r="Q1048" s="12" t="n">
        <f aca="false">INDEX(Directions!$D$2:$D$100,MATCH(C1048,Directions!$A$2:$A$100,0))</f>
        <v>0</v>
      </c>
      <c r="R1048" s="12" t="n">
        <f aca="false">IF(L1048=1,P1048*Q1048,"")</f>
        <v>0</v>
      </c>
      <c r="S1048" s="12" t="str">
        <f aca="false">IF(L1048&lt;&gt;1,"Excluded",IF(Q1048=0,"No direction",IF(R1048&gt;0,"Better",IF(R1048&lt;0,"Worse","No change"))))</f>
        <v>No direction</v>
      </c>
      <c r="T1048" s="12"/>
      <c r="U1048" s="12" t="str">
        <f aca="false">C1048&amp;"|"&amp;E1048</f>
        <v>F11_07|GBR</v>
      </c>
    </row>
    <row r="1049" customFormat="false" ht="15" hidden="false" customHeight="false" outlineLevel="0" collapsed="false">
      <c r="A1049" s="12" t="n">
        <v>11</v>
      </c>
      <c r="B1049" s="12" t="s">
        <v>41</v>
      </c>
      <c r="C1049" s="12" t="s">
        <v>256</v>
      </c>
      <c r="D1049" s="12" t="s">
        <v>257</v>
      </c>
      <c r="E1049" s="12" t="s">
        <v>284</v>
      </c>
      <c r="F1049" s="12" t="s">
        <v>29</v>
      </c>
      <c r="G1049" s="12" t="n">
        <v>18</v>
      </c>
      <c r="H1049" s="12" t="n">
        <v>17.86</v>
      </c>
      <c r="I1049" s="12" t="s">
        <v>282</v>
      </c>
      <c r="J1049" s="12" t="n">
        <v>4</v>
      </c>
      <c r="K1049" s="12" t="n">
        <v>3</v>
      </c>
      <c r="L1049" s="28" t="n">
        <v>1</v>
      </c>
      <c r="M1049" s="12" t="n">
        <f aca="false">IF(L1049=1,COUNTIFS($C$2:$C$1090,C1049,$L$2:$L$1090,1),"")</f>
        <v>9</v>
      </c>
      <c r="N1049" s="12" t="n">
        <f aca="false">IF(L1049=1,1+COUNTIFS($C$2:$C$1090,C1049,$L$2:$L$1090,1,$G$2:$G$1090,"&gt;"&amp;G1049),"")</f>
        <v>2</v>
      </c>
      <c r="O1049" s="12" t="n">
        <f aca="false">IF(L1049=1,1+COUNTIFS($C$2:$C$1090,C1049,$L$2:$L$1090,1,$H$2:$H$1090,"&gt;"&amp;H1049),"")</f>
        <v>3</v>
      </c>
      <c r="P1049" s="12" t="n">
        <f aca="false">IF(L1049=1,N1049-O1049,"")</f>
        <v>-1</v>
      </c>
      <c r="Q1049" s="12" t="n">
        <f aca="false">INDEX(Directions!$D$2:$D$100,MATCH(C1049,Directions!$A$2:$A$100,0))</f>
        <v>0</v>
      </c>
      <c r="R1049" s="12" t="n">
        <f aca="false">IF(L1049=1,P1049*Q1049,"")</f>
        <v>-0</v>
      </c>
      <c r="S1049" s="12" t="str">
        <f aca="false">IF(L1049&lt;&gt;1,"Excluded",IF(Q1049=0,"No direction",IF(R1049&gt;0,"Better",IF(R1049&lt;0,"Worse","No change"))))</f>
        <v>No direction</v>
      </c>
      <c r="T1049" s="12"/>
      <c r="U1049" s="12" t="str">
        <f aca="false">C1049&amp;"|"&amp;E1049</f>
        <v>F11_07|DEU</v>
      </c>
    </row>
    <row r="1050" customFormat="false" ht="15" hidden="false" customHeight="false" outlineLevel="0" collapsed="false">
      <c r="A1050" s="12" t="n">
        <v>11</v>
      </c>
      <c r="B1050" s="12" t="s">
        <v>41</v>
      </c>
      <c r="C1050" s="12" t="s">
        <v>256</v>
      </c>
      <c r="D1050" s="12" t="s">
        <v>257</v>
      </c>
      <c r="E1050" s="12" t="s">
        <v>285</v>
      </c>
      <c r="F1050" s="12" t="s">
        <v>30</v>
      </c>
      <c r="G1050" s="12" t="n">
        <v>14</v>
      </c>
      <c r="H1050" s="12" t="n">
        <v>10.92</v>
      </c>
      <c r="I1050" s="12" t="s">
        <v>282</v>
      </c>
      <c r="J1050" s="12" t="n">
        <v>7</v>
      </c>
      <c r="K1050" s="12" t="n">
        <v>9</v>
      </c>
      <c r="L1050" s="28" t="n">
        <v>1</v>
      </c>
      <c r="M1050" s="12" t="n">
        <f aca="false">IF(L1050=1,COUNTIFS($C$2:$C$1090,C1050,$L$2:$L$1090,1),"")</f>
        <v>9</v>
      </c>
      <c r="N1050" s="12" t="n">
        <f aca="false">IF(L1050=1,1+COUNTIFS($C$2:$C$1090,C1050,$L$2:$L$1090,1,$G$2:$G$1090,"&gt;"&amp;G1050),"")</f>
        <v>6</v>
      </c>
      <c r="O1050" s="12" t="n">
        <f aca="false">IF(L1050=1,1+COUNTIFS($C$2:$C$1090,C1050,$L$2:$L$1090,1,$H$2:$H$1090,"&gt;"&amp;H1050),"")</f>
        <v>8</v>
      </c>
      <c r="P1050" s="12" t="n">
        <f aca="false">IF(L1050=1,N1050-O1050,"")</f>
        <v>-2</v>
      </c>
      <c r="Q1050" s="12" t="n">
        <f aca="false">INDEX(Directions!$D$2:$D$100,MATCH(C1050,Directions!$A$2:$A$100,0))</f>
        <v>0</v>
      </c>
      <c r="R1050" s="12" t="n">
        <f aca="false">IF(L1050=1,P1050*Q1050,"")</f>
        <v>-0</v>
      </c>
      <c r="S1050" s="12" t="str">
        <f aca="false">IF(L1050&lt;&gt;1,"Excluded",IF(Q1050=0,"No direction",IF(R1050&gt;0,"Better",IF(R1050&lt;0,"Worse","No change"))))</f>
        <v>No direction</v>
      </c>
      <c r="T1050" s="12"/>
      <c r="U1050" s="12" t="str">
        <f aca="false">C1050&amp;"|"&amp;E1050</f>
        <v>F11_07|SWE</v>
      </c>
    </row>
    <row r="1051" customFormat="false" ht="15" hidden="false" customHeight="false" outlineLevel="0" collapsed="false">
      <c r="A1051" s="12" t="n">
        <v>11</v>
      </c>
      <c r="B1051" s="12" t="s">
        <v>41</v>
      </c>
      <c r="C1051" s="12" t="s">
        <v>256</v>
      </c>
      <c r="D1051" s="12" t="s">
        <v>257</v>
      </c>
      <c r="E1051" s="12" t="s">
        <v>286</v>
      </c>
      <c r="F1051" s="12" t="s">
        <v>31</v>
      </c>
      <c r="G1051" s="12" t="n">
        <v>20</v>
      </c>
      <c r="H1051" s="12" t="n">
        <v>21.16</v>
      </c>
      <c r="I1051" s="12" t="s">
        <v>282</v>
      </c>
      <c r="J1051" s="12" t="n">
        <v>2</v>
      </c>
      <c r="K1051" s="12" t="n">
        <v>1</v>
      </c>
      <c r="L1051" s="28" t="n">
        <v>1</v>
      </c>
      <c r="M1051" s="12" t="n">
        <f aca="false">IF(L1051=1,COUNTIFS($C$2:$C$1090,C1051,$L$2:$L$1090,1),"")</f>
        <v>9</v>
      </c>
      <c r="N1051" s="12" t="n">
        <f aca="false">IF(L1051=1,1+COUNTIFS($C$2:$C$1090,C1051,$L$2:$L$1090,1,$G$2:$G$1090,"&gt;"&amp;G1051),"")</f>
        <v>1</v>
      </c>
      <c r="O1051" s="12" t="n">
        <f aca="false">IF(L1051=1,1+COUNTIFS($C$2:$C$1090,C1051,$L$2:$L$1090,1,$H$2:$H$1090,"&gt;"&amp;H1051),"")</f>
        <v>1</v>
      </c>
      <c r="P1051" s="12" t="n">
        <f aca="false">IF(L1051=1,N1051-O1051,"")</f>
        <v>0</v>
      </c>
      <c r="Q1051" s="12" t="n">
        <f aca="false">INDEX(Directions!$D$2:$D$100,MATCH(C1051,Directions!$A$2:$A$100,0))</f>
        <v>0</v>
      </c>
      <c r="R1051" s="12" t="n">
        <f aca="false">IF(L1051=1,P1051*Q1051,"")</f>
        <v>0</v>
      </c>
      <c r="S1051" s="12" t="str">
        <f aca="false">IF(L1051&lt;&gt;1,"Excluded",IF(Q1051=0,"No direction",IF(R1051&gt;0,"Better",IF(R1051&lt;0,"Worse","No change"))))</f>
        <v>No direction</v>
      </c>
      <c r="T1051" s="12"/>
      <c r="U1051" s="12" t="str">
        <f aca="false">C1051&amp;"|"&amp;E1051</f>
        <v>F11_07|FRA</v>
      </c>
    </row>
    <row r="1052" customFormat="false" ht="15" hidden="false" customHeight="false" outlineLevel="0" collapsed="false">
      <c r="A1052" s="12" t="n">
        <v>11</v>
      </c>
      <c r="B1052" s="12" t="s">
        <v>41</v>
      </c>
      <c r="C1052" s="12" t="s">
        <v>256</v>
      </c>
      <c r="D1052" s="12" t="s">
        <v>257</v>
      </c>
      <c r="E1052" s="12" t="s">
        <v>32</v>
      </c>
      <c r="F1052" s="12" t="s">
        <v>32</v>
      </c>
      <c r="G1052" s="12" t="n">
        <v>9</v>
      </c>
      <c r="H1052" s="12" t="n">
        <v>4.06</v>
      </c>
      <c r="I1052" s="12" t="s">
        <v>282</v>
      </c>
      <c r="J1052" s="12" t="n">
        <v>10</v>
      </c>
      <c r="K1052" s="12" t="n">
        <v>11</v>
      </c>
      <c r="L1052" s="28" t="n">
        <v>0</v>
      </c>
      <c r="M1052" s="12" t="str">
        <f aca="false">IF(L1052=1,COUNTIFS($C$2:$C$1090,C1052,$L$2:$L$1090,1),"")</f>
        <v/>
      </c>
      <c r="N1052" s="12" t="str">
        <f aca="false">IF(L1052=1,1+COUNTIFS($C$2:$C$1090,C1052,$L$2:$L$1090,1,$G$2:$G$1090,"&gt;"&amp;G1052),"")</f>
        <v/>
      </c>
      <c r="O1052" s="12" t="str">
        <f aca="false">IF(L1052=1,1+COUNTIFS($C$2:$C$1090,C1052,$L$2:$L$1090,1,$H$2:$H$1090,"&gt;"&amp;H1052),"")</f>
        <v/>
      </c>
      <c r="P1052" s="12" t="str">
        <f aca="false">IF(L1052=1,N1052-O1052,"")</f>
        <v/>
      </c>
      <c r="Q1052" s="12" t="n">
        <f aca="false">INDEX(Directions!$D$2:$D$100,MATCH(C1052,Directions!$A$2:$A$100,0))</f>
        <v>0</v>
      </c>
      <c r="R1052" s="12" t="str">
        <f aca="false">IF(L1052=1,P1052*Q1052,"")</f>
        <v/>
      </c>
      <c r="S1052" s="12" t="str">
        <f aca="false">IF(L1052&lt;&gt;1,"Excluded",IF(Q1052=0,"No direction",IF(R1052&gt;0,"Better",IF(R1052&lt;0,"Worse","No change"))))</f>
        <v>Excluded</v>
      </c>
      <c r="T1052" s="12" t="s">
        <v>336</v>
      </c>
      <c r="U1052" s="12" t="str">
        <f aca="false">C1052&amp;"|"&amp;E1052</f>
        <v>F11_07|NLD</v>
      </c>
    </row>
    <row r="1053" customFormat="false" ht="15" hidden="false" customHeight="false" outlineLevel="0" collapsed="false">
      <c r="A1053" s="12" t="n">
        <v>11</v>
      </c>
      <c r="B1053" s="12" t="s">
        <v>41</v>
      </c>
      <c r="C1053" s="12" t="s">
        <v>256</v>
      </c>
      <c r="D1053" s="12" t="s">
        <v>257</v>
      </c>
      <c r="E1053" s="12" t="s">
        <v>33</v>
      </c>
      <c r="F1053" s="12" t="s">
        <v>33</v>
      </c>
      <c r="G1053" s="12" t="n">
        <v>26</v>
      </c>
      <c r="H1053" s="12" t="n">
        <v>14.27</v>
      </c>
      <c r="I1053" s="12" t="s">
        <v>282</v>
      </c>
      <c r="J1053" s="12" t="n">
        <v>1</v>
      </c>
      <c r="K1053" s="12" t="n">
        <v>6</v>
      </c>
      <c r="L1053" s="28" t="n">
        <v>0</v>
      </c>
      <c r="M1053" s="12" t="str">
        <f aca="false">IF(L1053=1,COUNTIFS($C$2:$C$1090,C1053,$L$2:$L$1090,1),"")</f>
        <v/>
      </c>
      <c r="N1053" s="12" t="str">
        <f aca="false">IF(L1053=1,1+COUNTIFS($C$2:$C$1090,C1053,$L$2:$L$1090,1,$G$2:$G$1090,"&gt;"&amp;G1053),"")</f>
        <v/>
      </c>
      <c r="O1053" s="12" t="str">
        <f aca="false">IF(L1053=1,1+COUNTIFS($C$2:$C$1090,C1053,$L$2:$L$1090,1,$H$2:$H$1090,"&gt;"&amp;H1053),"")</f>
        <v/>
      </c>
      <c r="P1053" s="12" t="str">
        <f aca="false">IF(L1053=1,N1053-O1053,"")</f>
        <v/>
      </c>
      <c r="Q1053" s="12" t="n">
        <f aca="false">INDEX(Directions!$D$2:$D$100,MATCH(C1053,Directions!$A$2:$A$100,0))</f>
        <v>0</v>
      </c>
      <c r="R1053" s="12" t="str">
        <f aca="false">IF(L1053=1,P1053*Q1053,"")</f>
        <v/>
      </c>
      <c r="S1053" s="12" t="str">
        <f aca="false">IF(L1053&lt;&gt;1,"Excluded",IF(Q1053=0,"No direction",IF(R1053&gt;0,"Better",IF(R1053&lt;0,"Worse","No change"))))</f>
        <v>Excluded</v>
      </c>
      <c r="T1053" s="12" t="s">
        <v>336</v>
      </c>
      <c r="U1053" s="12" t="str">
        <f aca="false">C1053&amp;"|"&amp;E1053</f>
        <v>F11_07|CHE</v>
      </c>
    </row>
    <row r="1054" customFormat="false" ht="15" hidden="false" customHeight="false" outlineLevel="0" collapsed="false">
      <c r="A1054" s="12" t="n">
        <v>11</v>
      </c>
      <c r="B1054" s="12" t="s">
        <v>41</v>
      </c>
      <c r="C1054" s="12" t="s">
        <v>256</v>
      </c>
      <c r="D1054" s="12" t="s">
        <v>257</v>
      </c>
      <c r="E1054" s="12" t="s">
        <v>287</v>
      </c>
      <c r="F1054" s="12" t="s">
        <v>34</v>
      </c>
      <c r="G1054" s="12" t="n">
        <v>12</v>
      </c>
      <c r="H1054" s="12" t="n">
        <v>11.15</v>
      </c>
      <c r="I1054" s="12" t="s">
        <v>282</v>
      </c>
      <c r="J1054" s="12" t="n">
        <v>8</v>
      </c>
      <c r="K1054" s="12" t="n">
        <v>8</v>
      </c>
      <c r="L1054" s="28" t="n">
        <v>1</v>
      </c>
      <c r="M1054" s="12" t="n">
        <f aca="false">IF(L1054=1,COUNTIFS($C$2:$C$1090,C1054,$L$2:$L$1090,1),"")</f>
        <v>9</v>
      </c>
      <c r="N1054" s="12" t="n">
        <f aca="false">IF(L1054=1,1+COUNTIFS($C$2:$C$1090,C1054,$L$2:$L$1090,1,$G$2:$G$1090,"&gt;"&amp;G1054),"")</f>
        <v>7</v>
      </c>
      <c r="O1054" s="12" t="n">
        <f aca="false">IF(L1054=1,1+COUNTIFS($C$2:$C$1090,C1054,$L$2:$L$1090,1,$H$2:$H$1090,"&gt;"&amp;H1054),"")</f>
        <v>7</v>
      </c>
      <c r="P1054" s="12" t="n">
        <f aca="false">IF(L1054=1,N1054-O1054,"")</f>
        <v>0</v>
      </c>
      <c r="Q1054" s="12" t="n">
        <f aca="false">INDEX(Directions!$D$2:$D$100,MATCH(C1054,Directions!$A$2:$A$100,0))</f>
        <v>0</v>
      </c>
      <c r="R1054" s="12" t="n">
        <f aca="false">IF(L1054=1,P1054*Q1054,"")</f>
        <v>0</v>
      </c>
      <c r="S1054" s="12" t="str">
        <f aca="false">IF(L1054&lt;&gt;1,"Excluded",IF(Q1054=0,"No direction",IF(R1054&gt;0,"Better",IF(R1054&lt;0,"Worse","No change"))))</f>
        <v>No direction</v>
      </c>
      <c r="T1054" s="12"/>
      <c r="U1054" s="12" t="str">
        <f aca="false">C1054&amp;"|"&amp;E1054</f>
        <v>F11_07|DNK</v>
      </c>
    </row>
    <row r="1055" customFormat="false" ht="15" hidden="false" customHeight="false" outlineLevel="0" collapsed="false">
      <c r="A1055" s="12" t="n">
        <v>11</v>
      </c>
      <c r="B1055" s="12" t="s">
        <v>41</v>
      </c>
      <c r="C1055" s="12" t="s">
        <v>256</v>
      </c>
      <c r="D1055" s="12" t="s">
        <v>257</v>
      </c>
      <c r="E1055" s="12" t="s">
        <v>288</v>
      </c>
      <c r="F1055" s="12" t="s">
        <v>35</v>
      </c>
      <c r="G1055" s="12" t="n">
        <v>18</v>
      </c>
      <c r="H1055" s="12" t="n">
        <v>17.12</v>
      </c>
      <c r="I1055" s="12" t="s">
        <v>282</v>
      </c>
      <c r="J1055" s="12" t="n">
        <v>5</v>
      </c>
      <c r="K1055" s="12" t="n">
        <v>4</v>
      </c>
      <c r="L1055" s="28" t="n">
        <v>1</v>
      </c>
      <c r="M1055" s="12" t="n">
        <f aca="false">IF(L1055=1,COUNTIFS($C$2:$C$1090,C1055,$L$2:$L$1090,1),"")</f>
        <v>9</v>
      </c>
      <c r="N1055" s="12" t="n">
        <f aca="false">IF(L1055=1,1+COUNTIFS($C$2:$C$1090,C1055,$L$2:$L$1090,1,$G$2:$G$1090,"&gt;"&amp;G1055),"")</f>
        <v>2</v>
      </c>
      <c r="O1055" s="12" t="n">
        <f aca="false">IF(L1055=1,1+COUNTIFS($C$2:$C$1090,C1055,$L$2:$L$1090,1,$H$2:$H$1090,"&gt;"&amp;H1055),"")</f>
        <v>4</v>
      </c>
      <c r="P1055" s="12" t="n">
        <f aca="false">IF(L1055=1,N1055-O1055,"")</f>
        <v>-2</v>
      </c>
      <c r="Q1055" s="12" t="n">
        <f aca="false">INDEX(Directions!$D$2:$D$100,MATCH(C1055,Directions!$A$2:$A$100,0))</f>
        <v>0</v>
      </c>
      <c r="R1055" s="12" t="n">
        <f aca="false">IF(L1055=1,P1055*Q1055,"")</f>
        <v>-0</v>
      </c>
      <c r="S1055" s="12" t="str">
        <f aca="false">IF(L1055&lt;&gt;1,"Excluded",IF(Q1055=0,"No direction",IF(R1055&gt;0,"Better",IF(R1055&lt;0,"Worse","No change"))))</f>
        <v>No direction</v>
      </c>
      <c r="T1055" s="12"/>
      <c r="U1055" s="12" t="str">
        <f aca="false">C1055&amp;"|"&amp;E1055</f>
        <v>F11_07|CAN</v>
      </c>
    </row>
    <row r="1056" customFormat="false" ht="15" hidden="false" customHeight="false" outlineLevel="0" collapsed="false">
      <c r="A1056" s="12" t="n">
        <v>11</v>
      </c>
      <c r="B1056" s="12" t="s">
        <v>41</v>
      </c>
      <c r="C1056" s="12" t="s">
        <v>256</v>
      </c>
      <c r="D1056" s="12" t="s">
        <v>257</v>
      </c>
      <c r="E1056" s="12" t="s">
        <v>289</v>
      </c>
      <c r="F1056" s="12" t="s">
        <v>36</v>
      </c>
      <c r="G1056" s="12" t="n">
        <v>6</v>
      </c>
      <c r="H1056" s="12" t="n">
        <v>7.7</v>
      </c>
      <c r="I1056" s="12" t="s">
        <v>282</v>
      </c>
      <c r="J1056" s="12" t="n">
        <v>11</v>
      </c>
      <c r="K1056" s="12" t="n">
        <v>10</v>
      </c>
      <c r="L1056" s="28" t="n">
        <v>1</v>
      </c>
      <c r="M1056" s="12" t="n">
        <f aca="false">IF(L1056=1,COUNTIFS($C$2:$C$1090,C1056,$L$2:$L$1090,1),"")</f>
        <v>9</v>
      </c>
      <c r="N1056" s="12" t="n">
        <f aca="false">IF(L1056=1,1+COUNTIFS($C$2:$C$1090,C1056,$L$2:$L$1090,1,$G$2:$G$1090,"&gt;"&amp;G1056),"")</f>
        <v>9</v>
      </c>
      <c r="O1056" s="12" t="n">
        <f aca="false">IF(L1056=1,1+COUNTIFS($C$2:$C$1090,C1056,$L$2:$L$1090,1,$H$2:$H$1090,"&gt;"&amp;H1056),"")</f>
        <v>9</v>
      </c>
      <c r="P1056" s="12" t="n">
        <f aca="false">IF(L1056=1,N1056-O1056,"")</f>
        <v>0</v>
      </c>
      <c r="Q1056" s="12" t="n">
        <f aca="false">INDEX(Directions!$D$2:$D$100,MATCH(C1056,Directions!$A$2:$A$100,0))</f>
        <v>0</v>
      </c>
      <c r="R1056" s="12" t="n">
        <f aca="false">IF(L1056=1,P1056*Q1056,"")</f>
        <v>0</v>
      </c>
      <c r="S1056" s="12" t="str">
        <f aca="false">IF(L1056&lt;&gt;1,"Excluded",IF(Q1056=0,"No direction",IF(R1056&gt;0,"Better",IF(R1056&lt;0,"Worse","No change"))))</f>
        <v>No direction</v>
      </c>
      <c r="T1056" s="12"/>
      <c r="U1056" s="12" t="str">
        <f aca="false">C1056&amp;"|"&amp;E1056</f>
        <v>F11_07|JPN</v>
      </c>
    </row>
    <row r="1057" customFormat="false" ht="15" hidden="false" customHeight="false" outlineLevel="0" collapsed="false">
      <c r="A1057" s="12" t="n">
        <v>11</v>
      </c>
      <c r="B1057" s="12" t="s">
        <v>41</v>
      </c>
      <c r="C1057" s="12" t="s">
        <v>256</v>
      </c>
      <c r="D1057" s="12" t="s">
        <v>257</v>
      </c>
      <c r="E1057" s="12" t="s">
        <v>290</v>
      </c>
      <c r="F1057" s="12" t="s">
        <v>37</v>
      </c>
      <c r="G1057" s="12" t="n">
        <v>10</v>
      </c>
      <c r="H1057" s="12" t="n">
        <v>12.28</v>
      </c>
      <c r="I1057" s="12" t="s">
        <v>282</v>
      </c>
      <c r="J1057" s="12" t="n">
        <v>9</v>
      </c>
      <c r="K1057" s="12" t="n">
        <v>7</v>
      </c>
      <c r="L1057" s="28" t="n">
        <v>1</v>
      </c>
      <c r="M1057" s="12" t="n">
        <f aca="false">IF(L1057=1,COUNTIFS($C$2:$C$1090,C1057,$L$2:$L$1090,1),"")</f>
        <v>9</v>
      </c>
      <c r="N1057" s="12" t="n">
        <f aca="false">IF(L1057=1,1+COUNTIFS($C$2:$C$1090,C1057,$L$2:$L$1090,1,$G$2:$G$1090,"&gt;"&amp;G1057),"")</f>
        <v>8</v>
      </c>
      <c r="O1057" s="12" t="n">
        <f aca="false">IF(L1057=1,1+COUNTIFS($C$2:$C$1090,C1057,$L$2:$L$1090,1,$H$2:$H$1090,"&gt;"&amp;H1057),"")</f>
        <v>6</v>
      </c>
      <c r="P1057" s="12" t="n">
        <f aca="false">IF(L1057=1,N1057-O1057,"")</f>
        <v>2</v>
      </c>
      <c r="Q1057" s="12" t="n">
        <f aca="false">INDEX(Directions!$D$2:$D$100,MATCH(C1057,Directions!$A$2:$A$100,0))</f>
        <v>0</v>
      </c>
      <c r="R1057" s="12" t="n">
        <f aca="false">IF(L1057=1,P1057*Q1057,"")</f>
        <v>0</v>
      </c>
      <c r="S1057" s="12" t="str">
        <f aca="false">IF(L1057&lt;&gt;1,"Excluded",IF(Q1057=0,"No direction",IF(R1057&gt;0,"Better",IF(R1057&lt;0,"Worse","No change"))))</f>
        <v>No direction</v>
      </c>
      <c r="T1057" s="12"/>
      <c r="U1057" s="12" t="str">
        <f aca="false">C1057&amp;"|"&amp;E1057</f>
        <v>F11_07|AUS</v>
      </c>
    </row>
    <row r="1058" customFormat="false" ht="15" hidden="false" customHeight="false" outlineLevel="0" collapsed="false">
      <c r="A1058" s="12" t="n">
        <v>11</v>
      </c>
      <c r="B1058" s="12" t="s">
        <v>41</v>
      </c>
      <c r="C1058" s="12" t="s">
        <v>258</v>
      </c>
      <c r="D1058" s="12" t="s">
        <v>259</v>
      </c>
      <c r="E1058" s="12" t="s">
        <v>281</v>
      </c>
      <c r="F1058" s="12" t="s">
        <v>27</v>
      </c>
      <c r="G1058" s="12" t="n">
        <v>35</v>
      </c>
      <c r="H1058" s="12" t="n">
        <v>36.8</v>
      </c>
      <c r="I1058" s="12" t="s">
        <v>291</v>
      </c>
      <c r="J1058" s="12" t="n">
        <v>8</v>
      </c>
      <c r="K1058" s="12" t="n">
        <v>8</v>
      </c>
      <c r="L1058" s="28" t="n">
        <v>1</v>
      </c>
      <c r="M1058" s="12" t="n">
        <f aca="false">IF(L1058=1,COUNTIFS($C$2:$C$1090,C1058,$L$2:$L$1090,1),"")</f>
        <v>11</v>
      </c>
      <c r="N1058" s="12" t="n">
        <f aca="false">IF(L1058=1,1+COUNTIFS($C$2:$C$1090,C1058,$L$2:$L$1090,1,$G$2:$G$1090,"&gt;"&amp;G1058),"")</f>
        <v>8</v>
      </c>
      <c r="O1058" s="12" t="n">
        <f aca="false">IF(L1058=1,1+COUNTIFS($C$2:$C$1090,C1058,$L$2:$L$1090,1,$H$2:$H$1090,"&gt;"&amp;H1058),"")</f>
        <v>8</v>
      </c>
      <c r="P1058" s="12" t="n">
        <f aca="false">IF(L1058=1,N1058-O1058,"")</f>
        <v>0</v>
      </c>
      <c r="Q1058" s="12" t="n">
        <f aca="false">INDEX(Directions!$D$2:$D$100,MATCH(C1058,Directions!$A$2:$A$100,0))</f>
        <v>0</v>
      </c>
      <c r="R1058" s="12" t="n">
        <f aca="false">IF(L1058=1,P1058*Q1058,"")</f>
        <v>0</v>
      </c>
      <c r="S1058" s="12" t="str">
        <f aca="false">IF(L1058&lt;&gt;1,"Excluded",IF(Q1058=0,"No direction",IF(R1058&gt;0,"Better",IF(R1058&lt;0,"Worse","No change"))))</f>
        <v>No direction</v>
      </c>
      <c r="T1058" s="12"/>
      <c r="U1058" s="12" t="str">
        <f aca="false">C1058&amp;"|"&amp;E1058</f>
        <v>F11_08|USA</v>
      </c>
    </row>
    <row r="1059" customFormat="false" ht="15" hidden="false" customHeight="false" outlineLevel="0" collapsed="false">
      <c r="A1059" s="12" t="n">
        <v>11</v>
      </c>
      <c r="B1059" s="12" t="s">
        <v>41</v>
      </c>
      <c r="C1059" s="12" t="s">
        <v>258</v>
      </c>
      <c r="D1059" s="12" t="s">
        <v>259</v>
      </c>
      <c r="E1059" s="12" t="s">
        <v>283</v>
      </c>
      <c r="F1059" s="12" t="s">
        <v>28</v>
      </c>
      <c r="G1059" s="12" t="n">
        <v>271</v>
      </c>
      <c r="H1059" s="12" t="n">
        <v>283.2</v>
      </c>
      <c r="I1059" s="12" t="s">
        <v>291</v>
      </c>
      <c r="J1059" s="12" t="n">
        <v>3</v>
      </c>
      <c r="K1059" s="12" t="n">
        <v>3</v>
      </c>
      <c r="L1059" s="28" t="n">
        <v>1</v>
      </c>
      <c r="M1059" s="12" t="n">
        <f aca="false">IF(L1059=1,COUNTIFS($C$2:$C$1090,C1059,$L$2:$L$1090,1),"")</f>
        <v>11</v>
      </c>
      <c r="N1059" s="12" t="n">
        <f aca="false">IF(L1059=1,1+COUNTIFS($C$2:$C$1090,C1059,$L$2:$L$1090,1,$G$2:$G$1090,"&gt;"&amp;G1059),"")</f>
        <v>3</v>
      </c>
      <c r="O1059" s="12" t="n">
        <f aca="false">IF(L1059=1,1+COUNTIFS($C$2:$C$1090,C1059,$L$2:$L$1090,1,$H$2:$H$1090,"&gt;"&amp;H1059),"")</f>
        <v>3</v>
      </c>
      <c r="P1059" s="12" t="n">
        <f aca="false">IF(L1059=1,N1059-O1059,"")</f>
        <v>0</v>
      </c>
      <c r="Q1059" s="12" t="n">
        <f aca="false">INDEX(Directions!$D$2:$D$100,MATCH(C1059,Directions!$A$2:$A$100,0))</f>
        <v>0</v>
      </c>
      <c r="R1059" s="12" t="n">
        <f aca="false">IF(L1059=1,P1059*Q1059,"")</f>
        <v>0</v>
      </c>
      <c r="S1059" s="12" t="str">
        <f aca="false">IF(L1059&lt;&gt;1,"Excluded",IF(Q1059=0,"No direction",IF(R1059&gt;0,"Better",IF(R1059&lt;0,"Worse","No change"))))</f>
        <v>No direction</v>
      </c>
      <c r="T1059" s="12"/>
      <c r="U1059" s="12" t="str">
        <f aca="false">C1059&amp;"|"&amp;E1059</f>
        <v>F11_08|GBR</v>
      </c>
    </row>
    <row r="1060" customFormat="false" ht="15" hidden="false" customHeight="false" outlineLevel="0" collapsed="false">
      <c r="A1060" s="12" t="n">
        <v>11</v>
      </c>
      <c r="B1060" s="12" t="s">
        <v>41</v>
      </c>
      <c r="C1060" s="12" t="s">
        <v>258</v>
      </c>
      <c r="D1060" s="12" t="s">
        <v>259</v>
      </c>
      <c r="E1060" s="12" t="s">
        <v>284</v>
      </c>
      <c r="F1060" s="12" t="s">
        <v>29</v>
      </c>
      <c r="G1060" s="12" t="n">
        <v>237</v>
      </c>
      <c r="H1060" s="12" t="n">
        <v>238.4</v>
      </c>
      <c r="I1060" s="12" t="s">
        <v>291</v>
      </c>
      <c r="J1060" s="12" t="n">
        <v>4</v>
      </c>
      <c r="K1060" s="12" t="n">
        <v>4</v>
      </c>
      <c r="L1060" s="28" t="n">
        <v>1</v>
      </c>
      <c r="M1060" s="12" t="n">
        <f aca="false">IF(L1060=1,COUNTIFS($C$2:$C$1090,C1060,$L$2:$L$1090,1),"")</f>
        <v>11</v>
      </c>
      <c r="N1060" s="12" t="n">
        <f aca="false">IF(L1060=1,1+COUNTIFS($C$2:$C$1090,C1060,$L$2:$L$1090,1,$G$2:$G$1090,"&gt;"&amp;G1060),"")</f>
        <v>4</v>
      </c>
      <c r="O1060" s="12" t="n">
        <f aca="false">IF(L1060=1,1+COUNTIFS($C$2:$C$1090,C1060,$L$2:$L$1090,1,$H$2:$H$1090,"&gt;"&amp;H1060),"")</f>
        <v>4</v>
      </c>
      <c r="P1060" s="12" t="n">
        <f aca="false">IF(L1060=1,N1060-O1060,"")</f>
        <v>0</v>
      </c>
      <c r="Q1060" s="12" t="n">
        <f aca="false">INDEX(Directions!$D$2:$D$100,MATCH(C1060,Directions!$A$2:$A$100,0))</f>
        <v>0</v>
      </c>
      <c r="R1060" s="12" t="n">
        <f aca="false">IF(L1060=1,P1060*Q1060,"")</f>
        <v>0</v>
      </c>
      <c r="S1060" s="12" t="str">
        <f aca="false">IF(L1060&lt;&gt;1,"Excluded",IF(Q1060=0,"No direction",IF(R1060&gt;0,"Better",IF(R1060&lt;0,"Worse","No change"))))</f>
        <v>No direction</v>
      </c>
      <c r="T1060" s="12"/>
      <c r="U1060" s="12" t="str">
        <f aca="false">C1060&amp;"|"&amp;E1060</f>
        <v>F11_08|DEU</v>
      </c>
    </row>
    <row r="1061" customFormat="false" ht="15" hidden="false" customHeight="false" outlineLevel="0" collapsed="false">
      <c r="A1061" s="12" t="n">
        <v>11</v>
      </c>
      <c r="B1061" s="12" t="s">
        <v>41</v>
      </c>
      <c r="C1061" s="12" t="s">
        <v>258</v>
      </c>
      <c r="D1061" s="12" t="s">
        <v>259</v>
      </c>
      <c r="E1061" s="12" t="s">
        <v>285</v>
      </c>
      <c r="F1061" s="12" t="s">
        <v>30</v>
      </c>
      <c r="G1061" s="12" t="n">
        <v>24</v>
      </c>
      <c r="H1061" s="12" t="n">
        <v>25.9</v>
      </c>
      <c r="I1061" s="12" t="s">
        <v>291</v>
      </c>
      <c r="J1061" s="12" t="n">
        <v>9</v>
      </c>
      <c r="K1061" s="12" t="n">
        <v>9</v>
      </c>
      <c r="L1061" s="28" t="n">
        <v>1</v>
      </c>
      <c r="M1061" s="12" t="n">
        <f aca="false">IF(L1061=1,COUNTIFS($C$2:$C$1090,C1061,$L$2:$L$1090,1),"")</f>
        <v>11</v>
      </c>
      <c r="N1061" s="12" t="n">
        <f aca="false">IF(L1061=1,1+COUNTIFS($C$2:$C$1090,C1061,$L$2:$L$1090,1,$G$2:$G$1090,"&gt;"&amp;G1061),"")</f>
        <v>9</v>
      </c>
      <c r="O1061" s="12" t="n">
        <f aca="false">IF(L1061=1,1+COUNTIFS($C$2:$C$1090,C1061,$L$2:$L$1090,1,$H$2:$H$1090,"&gt;"&amp;H1061),"")</f>
        <v>9</v>
      </c>
      <c r="P1061" s="12" t="n">
        <f aca="false">IF(L1061=1,N1061-O1061,"")</f>
        <v>0</v>
      </c>
      <c r="Q1061" s="12" t="n">
        <f aca="false">INDEX(Directions!$D$2:$D$100,MATCH(C1061,Directions!$A$2:$A$100,0))</f>
        <v>0</v>
      </c>
      <c r="R1061" s="12" t="n">
        <f aca="false">IF(L1061=1,P1061*Q1061,"")</f>
        <v>0</v>
      </c>
      <c r="S1061" s="12" t="str">
        <f aca="false">IF(L1061&lt;&gt;1,"Excluded",IF(Q1061=0,"No direction",IF(R1061&gt;0,"Better",IF(R1061&lt;0,"Worse","No change"))))</f>
        <v>No direction</v>
      </c>
      <c r="T1061" s="12"/>
      <c r="U1061" s="12" t="str">
        <f aca="false">C1061&amp;"|"&amp;E1061</f>
        <v>F11_08|SWE</v>
      </c>
    </row>
    <row r="1062" customFormat="false" ht="15" hidden="false" customHeight="false" outlineLevel="0" collapsed="false">
      <c r="A1062" s="12" t="n">
        <v>11</v>
      </c>
      <c r="B1062" s="12" t="s">
        <v>41</v>
      </c>
      <c r="C1062" s="12" t="s">
        <v>258</v>
      </c>
      <c r="D1062" s="12" t="s">
        <v>259</v>
      </c>
      <c r="E1062" s="12" t="s">
        <v>286</v>
      </c>
      <c r="F1062" s="12" t="s">
        <v>31</v>
      </c>
      <c r="G1062" s="12" t="n">
        <v>122</v>
      </c>
      <c r="H1062" s="12" t="n">
        <v>126.9</v>
      </c>
      <c r="I1062" s="12" t="s">
        <v>291</v>
      </c>
      <c r="J1062" s="12" t="n">
        <v>7</v>
      </c>
      <c r="K1062" s="12" t="n">
        <v>7</v>
      </c>
      <c r="L1062" s="28" t="n">
        <v>1</v>
      </c>
      <c r="M1062" s="12" t="n">
        <f aca="false">IF(L1062=1,COUNTIFS($C$2:$C$1090,C1062,$L$2:$L$1090,1),"")</f>
        <v>11</v>
      </c>
      <c r="N1062" s="12" t="n">
        <f aca="false">IF(L1062=1,1+COUNTIFS($C$2:$C$1090,C1062,$L$2:$L$1090,1,$G$2:$G$1090,"&gt;"&amp;G1062),"")</f>
        <v>7</v>
      </c>
      <c r="O1062" s="12" t="n">
        <f aca="false">IF(L1062=1,1+COUNTIFS($C$2:$C$1090,C1062,$L$2:$L$1090,1,$H$2:$H$1090,"&gt;"&amp;H1062),"")</f>
        <v>7</v>
      </c>
      <c r="P1062" s="12" t="n">
        <f aca="false">IF(L1062=1,N1062-O1062,"")</f>
        <v>0</v>
      </c>
      <c r="Q1062" s="12" t="n">
        <f aca="false">INDEX(Directions!$D$2:$D$100,MATCH(C1062,Directions!$A$2:$A$100,0))</f>
        <v>0</v>
      </c>
      <c r="R1062" s="12" t="n">
        <f aca="false">IF(L1062=1,P1062*Q1062,"")</f>
        <v>0</v>
      </c>
      <c r="S1062" s="12" t="str">
        <f aca="false">IF(L1062&lt;&gt;1,"Excluded",IF(Q1062=0,"No direction",IF(R1062&gt;0,"Better",IF(R1062&lt;0,"Worse","No change"))))</f>
        <v>No direction</v>
      </c>
      <c r="T1062" s="12"/>
      <c r="U1062" s="12" t="str">
        <f aca="false">C1062&amp;"|"&amp;E1062</f>
        <v>F11_08|FRA</v>
      </c>
    </row>
    <row r="1063" customFormat="false" ht="15" hidden="false" customHeight="false" outlineLevel="0" collapsed="false">
      <c r="A1063" s="12" t="n">
        <v>11</v>
      </c>
      <c r="B1063" s="12" t="s">
        <v>41</v>
      </c>
      <c r="C1063" s="12" t="s">
        <v>258</v>
      </c>
      <c r="D1063" s="12" t="s">
        <v>259</v>
      </c>
      <c r="E1063" s="12" t="s">
        <v>32</v>
      </c>
      <c r="F1063" s="12" t="s">
        <v>32</v>
      </c>
      <c r="G1063" s="12" t="n">
        <v>505</v>
      </c>
      <c r="H1063" s="12" t="n">
        <v>531</v>
      </c>
      <c r="I1063" s="12" t="s">
        <v>291</v>
      </c>
      <c r="J1063" s="12" t="n">
        <v>1</v>
      </c>
      <c r="K1063" s="12" t="n">
        <v>1</v>
      </c>
      <c r="L1063" s="28" t="n">
        <v>1</v>
      </c>
      <c r="M1063" s="12" t="n">
        <f aca="false">IF(L1063=1,COUNTIFS($C$2:$C$1090,C1063,$L$2:$L$1090,1),"")</f>
        <v>11</v>
      </c>
      <c r="N1063" s="12" t="n">
        <f aca="false">IF(L1063=1,1+COUNTIFS($C$2:$C$1090,C1063,$L$2:$L$1090,1,$G$2:$G$1090,"&gt;"&amp;G1063),"")</f>
        <v>1</v>
      </c>
      <c r="O1063" s="12" t="n">
        <f aca="false">IF(L1063=1,1+COUNTIFS($C$2:$C$1090,C1063,$L$2:$L$1090,1,$H$2:$H$1090,"&gt;"&amp;H1063),"")</f>
        <v>1</v>
      </c>
      <c r="P1063" s="12" t="n">
        <f aca="false">IF(L1063=1,N1063-O1063,"")</f>
        <v>0</v>
      </c>
      <c r="Q1063" s="12" t="n">
        <f aca="false">INDEX(Directions!$D$2:$D$100,MATCH(C1063,Directions!$A$2:$A$100,0))</f>
        <v>0</v>
      </c>
      <c r="R1063" s="12" t="n">
        <f aca="false">IF(L1063=1,P1063*Q1063,"")</f>
        <v>0</v>
      </c>
      <c r="S1063" s="12" t="str">
        <f aca="false">IF(L1063&lt;&gt;1,"Excluded",IF(Q1063=0,"No direction",IF(R1063&gt;0,"Better",IF(R1063&lt;0,"Worse","No change"))))</f>
        <v>No direction</v>
      </c>
      <c r="T1063" s="12"/>
      <c r="U1063" s="12" t="str">
        <f aca="false">C1063&amp;"|"&amp;E1063</f>
        <v>F11_08|NLD</v>
      </c>
    </row>
    <row r="1064" customFormat="false" ht="15" hidden="false" customHeight="false" outlineLevel="0" collapsed="false">
      <c r="A1064" s="12" t="n">
        <v>11</v>
      </c>
      <c r="B1064" s="12" t="s">
        <v>41</v>
      </c>
      <c r="C1064" s="12" t="s">
        <v>258</v>
      </c>
      <c r="D1064" s="12" t="s">
        <v>259</v>
      </c>
      <c r="E1064" s="12" t="s">
        <v>33</v>
      </c>
      <c r="F1064" s="12" t="s">
        <v>33</v>
      </c>
      <c r="G1064" s="12" t="n">
        <v>212</v>
      </c>
      <c r="H1064" s="12" t="n">
        <v>225</v>
      </c>
      <c r="I1064" s="12" t="s">
        <v>291</v>
      </c>
      <c r="J1064" s="12" t="n">
        <v>5</v>
      </c>
      <c r="K1064" s="12" t="n">
        <v>5</v>
      </c>
      <c r="L1064" s="28" t="n">
        <v>1</v>
      </c>
      <c r="M1064" s="12" t="n">
        <f aca="false">IF(L1064=1,COUNTIFS($C$2:$C$1090,C1064,$L$2:$L$1090,1),"")</f>
        <v>11</v>
      </c>
      <c r="N1064" s="12" t="n">
        <f aca="false">IF(L1064=1,1+COUNTIFS($C$2:$C$1090,C1064,$L$2:$L$1090,1,$G$2:$G$1090,"&gt;"&amp;G1064),"")</f>
        <v>5</v>
      </c>
      <c r="O1064" s="12" t="n">
        <f aca="false">IF(L1064=1,1+COUNTIFS($C$2:$C$1090,C1064,$L$2:$L$1090,1,$H$2:$H$1090,"&gt;"&amp;H1064),"")</f>
        <v>5</v>
      </c>
      <c r="P1064" s="12" t="n">
        <f aca="false">IF(L1064=1,N1064-O1064,"")</f>
        <v>0</v>
      </c>
      <c r="Q1064" s="12" t="n">
        <f aca="false">INDEX(Directions!$D$2:$D$100,MATCH(C1064,Directions!$A$2:$A$100,0))</f>
        <v>0</v>
      </c>
      <c r="R1064" s="12" t="n">
        <f aca="false">IF(L1064=1,P1064*Q1064,"")</f>
        <v>0</v>
      </c>
      <c r="S1064" s="12" t="str">
        <f aca="false">IF(L1064&lt;&gt;1,"Excluded",IF(Q1064=0,"No direction",IF(R1064&gt;0,"Better",IF(R1064&lt;0,"Worse","No change"))))</f>
        <v>No direction</v>
      </c>
      <c r="T1064" s="12"/>
      <c r="U1064" s="12" t="str">
        <f aca="false">C1064&amp;"|"&amp;E1064</f>
        <v>F11_08|CHE</v>
      </c>
    </row>
    <row r="1065" customFormat="false" ht="15" hidden="false" customHeight="false" outlineLevel="0" collapsed="false">
      <c r="A1065" s="12" t="n">
        <v>11</v>
      </c>
      <c r="B1065" s="12" t="s">
        <v>41</v>
      </c>
      <c r="C1065" s="12" t="s">
        <v>258</v>
      </c>
      <c r="D1065" s="12" t="s">
        <v>259</v>
      </c>
      <c r="E1065" s="12" t="s">
        <v>287</v>
      </c>
      <c r="F1065" s="12" t="s">
        <v>34</v>
      </c>
      <c r="G1065" s="12" t="n">
        <v>136</v>
      </c>
      <c r="H1065" s="12" t="n">
        <v>148.7</v>
      </c>
      <c r="I1065" s="12" t="s">
        <v>291</v>
      </c>
      <c r="J1065" s="12" t="n">
        <v>6</v>
      </c>
      <c r="K1065" s="12" t="n">
        <v>6</v>
      </c>
      <c r="L1065" s="28" t="n">
        <v>1</v>
      </c>
      <c r="M1065" s="12" t="n">
        <f aca="false">IF(L1065=1,COUNTIFS($C$2:$C$1090,C1065,$L$2:$L$1090,1),"")</f>
        <v>11</v>
      </c>
      <c r="N1065" s="12" t="n">
        <f aca="false">IF(L1065=1,1+COUNTIFS($C$2:$C$1090,C1065,$L$2:$L$1090,1,$G$2:$G$1090,"&gt;"&amp;G1065),"")</f>
        <v>6</v>
      </c>
      <c r="O1065" s="12" t="n">
        <f aca="false">IF(L1065=1,1+COUNTIFS($C$2:$C$1090,C1065,$L$2:$L$1090,1,$H$2:$H$1090,"&gt;"&amp;H1065),"")</f>
        <v>6</v>
      </c>
      <c r="P1065" s="12" t="n">
        <f aca="false">IF(L1065=1,N1065-O1065,"")</f>
        <v>0</v>
      </c>
      <c r="Q1065" s="12" t="n">
        <f aca="false">INDEX(Directions!$D$2:$D$100,MATCH(C1065,Directions!$A$2:$A$100,0))</f>
        <v>0</v>
      </c>
      <c r="R1065" s="12" t="n">
        <f aca="false">IF(L1065=1,P1065*Q1065,"")</f>
        <v>0</v>
      </c>
      <c r="S1065" s="12" t="str">
        <f aca="false">IF(L1065&lt;&gt;1,"Excluded",IF(Q1065=0,"No direction",IF(R1065&gt;0,"Better",IF(R1065&lt;0,"Worse","No change"))))</f>
        <v>No direction</v>
      </c>
      <c r="T1065" s="12"/>
      <c r="U1065" s="12" t="str">
        <f aca="false">C1065&amp;"|"&amp;E1065</f>
        <v>F11_08|DNK</v>
      </c>
    </row>
    <row r="1066" customFormat="false" ht="15" hidden="false" customHeight="false" outlineLevel="0" collapsed="false">
      <c r="A1066" s="12" t="n">
        <v>11</v>
      </c>
      <c r="B1066" s="12" t="s">
        <v>41</v>
      </c>
      <c r="C1066" s="12" t="s">
        <v>258</v>
      </c>
      <c r="D1066" s="12" t="s">
        <v>259</v>
      </c>
      <c r="E1066" s="12" t="s">
        <v>288</v>
      </c>
      <c r="F1066" s="12" t="s">
        <v>35</v>
      </c>
      <c r="G1066" s="12" t="n">
        <v>4</v>
      </c>
      <c r="H1066" s="12" t="n">
        <v>4.6</v>
      </c>
      <c r="I1066" s="12" t="s">
        <v>291</v>
      </c>
      <c r="J1066" s="12" t="n">
        <v>10</v>
      </c>
      <c r="K1066" s="12" t="n">
        <v>10</v>
      </c>
      <c r="L1066" s="28" t="n">
        <v>1</v>
      </c>
      <c r="M1066" s="12" t="n">
        <f aca="false">IF(L1066=1,COUNTIFS($C$2:$C$1090,C1066,$L$2:$L$1090,1),"")</f>
        <v>11</v>
      </c>
      <c r="N1066" s="12" t="n">
        <f aca="false">IF(L1066=1,1+COUNTIFS($C$2:$C$1090,C1066,$L$2:$L$1090,1,$G$2:$G$1090,"&gt;"&amp;G1066),"")</f>
        <v>10</v>
      </c>
      <c r="O1066" s="12" t="n">
        <f aca="false">IF(L1066=1,1+COUNTIFS($C$2:$C$1090,C1066,$L$2:$L$1090,1,$H$2:$H$1090,"&gt;"&amp;H1066),"")</f>
        <v>10</v>
      </c>
      <c r="P1066" s="12" t="n">
        <f aca="false">IF(L1066=1,N1066-O1066,"")</f>
        <v>0</v>
      </c>
      <c r="Q1066" s="12" t="n">
        <f aca="false">INDEX(Directions!$D$2:$D$100,MATCH(C1066,Directions!$A$2:$A$100,0))</f>
        <v>0</v>
      </c>
      <c r="R1066" s="12" t="n">
        <f aca="false">IF(L1066=1,P1066*Q1066,"")</f>
        <v>0</v>
      </c>
      <c r="S1066" s="12" t="str">
        <f aca="false">IF(L1066&lt;&gt;1,"Excluded",IF(Q1066=0,"No direction",IF(R1066&gt;0,"Better",IF(R1066&lt;0,"Worse","No change"))))</f>
        <v>No direction</v>
      </c>
      <c r="T1066" s="12"/>
      <c r="U1066" s="12" t="str">
        <f aca="false">C1066&amp;"|"&amp;E1066</f>
        <v>F11_08|CAN</v>
      </c>
    </row>
    <row r="1067" customFormat="false" ht="15" hidden="false" customHeight="false" outlineLevel="0" collapsed="false">
      <c r="A1067" s="12" t="n">
        <v>11</v>
      </c>
      <c r="B1067" s="12" t="s">
        <v>41</v>
      </c>
      <c r="C1067" s="12" t="s">
        <v>258</v>
      </c>
      <c r="D1067" s="12" t="s">
        <v>259</v>
      </c>
      <c r="E1067" s="12" t="s">
        <v>289</v>
      </c>
      <c r="F1067" s="12" t="s">
        <v>36</v>
      </c>
      <c r="G1067" s="12" t="n">
        <v>348</v>
      </c>
      <c r="H1067" s="12" t="n">
        <v>341.5</v>
      </c>
      <c r="I1067" s="12" t="s">
        <v>291</v>
      </c>
      <c r="J1067" s="12" t="n">
        <v>2</v>
      </c>
      <c r="K1067" s="12" t="n">
        <v>2</v>
      </c>
      <c r="L1067" s="28" t="n">
        <v>1</v>
      </c>
      <c r="M1067" s="12" t="n">
        <f aca="false">IF(L1067=1,COUNTIFS($C$2:$C$1090,C1067,$L$2:$L$1090,1),"")</f>
        <v>11</v>
      </c>
      <c r="N1067" s="12" t="n">
        <f aca="false">IF(L1067=1,1+COUNTIFS($C$2:$C$1090,C1067,$L$2:$L$1090,1,$G$2:$G$1090,"&gt;"&amp;G1067),"")</f>
        <v>2</v>
      </c>
      <c r="O1067" s="12" t="n">
        <f aca="false">IF(L1067=1,1+COUNTIFS($C$2:$C$1090,C1067,$L$2:$L$1090,1,$H$2:$H$1090,"&gt;"&amp;H1067),"")</f>
        <v>2</v>
      </c>
      <c r="P1067" s="12" t="n">
        <f aca="false">IF(L1067=1,N1067-O1067,"")</f>
        <v>0</v>
      </c>
      <c r="Q1067" s="12" t="n">
        <f aca="false">INDEX(Directions!$D$2:$D$100,MATCH(C1067,Directions!$A$2:$A$100,0))</f>
        <v>0</v>
      </c>
      <c r="R1067" s="12" t="n">
        <f aca="false">IF(L1067=1,P1067*Q1067,"")</f>
        <v>0</v>
      </c>
      <c r="S1067" s="12" t="str">
        <f aca="false">IF(L1067&lt;&gt;1,"Excluded",IF(Q1067=0,"No direction",IF(R1067&gt;0,"Better",IF(R1067&lt;0,"Worse","No change"))))</f>
        <v>No direction</v>
      </c>
      <c r="T1067" s="12"/>
      <c r="U1067" s="12" t="str">
        <f aca="false">C1067&amp;"|"&amp;E1067</f>
        <v>F11_08|JPN</v>
      </c>
    </row>
    <row r="1068" customFormat="false" ht="15" hidden="false" customHeight="false" outlineLevel="0" collapsed="false">
      <c r="A1068" s="12" t="n">
        <v>11</v>
      </c>
      <c r="B1068" s="12" t="s">
        <v>41</v>
      </c>
      <c r="C1068" s="12" t="s">
        <v>258</v>
      </c>
      <c r="D1068" s="12" t="s">
        <v>259</v>
      </c>
      <c r="E1068" s="12" t="s">
        <v>290</v>
      </c>
      <c r="F1068" s="12" t="s">
        <v>37</v>
      </c>
      <c r="G1068" s="12" t="n">
        <v>3</v>
      </c>
      <c r="H1068" s="12" t="n">
        <v>3.5</v>
      </c>
      <c r="I1068" s="12" t="s">
        <v>291</v>
      </c>
      <c r="J1068" s="12" t="n">
        <v>11</v>
      </c>
      <c r="K1068" s="12" t="n">
        <v>11</v>
      </c>
      <c r="L1068" s="28" t="n">
        <v>1</v>
      </c>
      <c r="M1068" s="12" t="n">
        <f aca="false">IF(L1068=1,COUNTIFS($C$2:$C$1090,C1068,$L$2:$L$1090,1),"")</f>
        <v>11</v>
      </c>
      <c r="N1068" s="12" t="n">
        <f aca="false">IF(L1068=1,1+COUNTIFS($C$2:$C$1090,C1068,$L$2:$L$1090,1,$G$2:$G$1090,"&gt;"&amp;G1068),"")</f>
        <v>11</v>
      </c>
      <c r="O1068" s="12" t="n">
        <f aca="false">IF(L1068=1,1+COUNTIFS($C$2:$C$1090,C1068,$L$2:$L$1090,1,$H$2:$H$1090,"&gt;"&amp;H1068),"")</f>
        <v>11</v>
      </c>
      <c r="P1068" s="12" t="n">
        <f aca="false">IF(L1068=1,N1068-O1068,"")</f>
        <v>0</v>
      </c>
      <c r="Q1068" s="12" t="n">
        <f aca="false">INDEX(Directions!$D$2:$D$100,MATCH(C1068,Directions!$A$2:$A$100,0))</f>
        <v>0</v>
      </c>
      <c r="R1068" s="12" t="n">
        <f aca="false">IF(L1068=1,P1068*Q1068,"")</f>
        <v>0</v>
      </c>
      <c r="S1068" s="12" t="str">
        <f aca="false">IF(L1068&lt;&gt;1,"Excluded",IF(Q1068=0,"No direction",IF(R1068&gt;0,"Better",IF(R1068&lt;0,"Worse","No change"))))</f>
        <v>No direction</v>
      </c>
      <c r="T1068" s="12"/>
      <c r="U1068" s="12" t="str">
        <f aca="false">C1068&amp;"|"&amp;E1068</f>
        <v>F11_08|AUS</v>
      </c>
    </row>
    <row r="1069" customFormat="false" ht="15" hidden="false" customHeight="false" outlineLevel="0" collapsed="false">
      <c r="A1069" s="12" t="n">
        <v>11</v>
      </c>
      <c r="B1069" s="12" t="s">
        <v>41</v>
      </c>
      <c r="C1069" s="12" t="s">
        <v>260</v>
      </c>
      <c r="D1069" s="12" t="s">
        <v>261</v>
      </c>
      <c r="E1069" s="12" t="s">
        <v>281</v>
      </c>
      <c r="F1069" s="12" t="s">
        <v>27</v>
      </c>
      <c r="G1069" s="12" t="n">
        <v>3.2</v>
      </c>
      <c r="H1069" s="12" t="s">
        <v>302</v>
      </c>
      <c r="I1069" s="12"/>
      <c r="J1069" s="12" t="n">
        <v>4</v>
      </c>
      <c r="K1069" s="12" t="s">
        <v>302</v>
      </c>
      <c r="L1069" s="28" t="n">
        <v>0</v>
      </c>
      <c r="M1069" s="12" t="str">
        <f aca="false">IF(L1069=1,COUNTIFS($C$2:$C$1090,C1069,$L$2:$L$1090,1),"")</f>
        <v/>
      </c>
      <c r="N1069" s="12" t="str">
        <f aca="false">IF(L1069=1,1+COUNTIFS($C$2:$C$1090,C1069,$L$2:$L$1090,1,$G$2:$G$1090,"&gt;"&amp;G1069),"")</f>
        <v/>
      </c>
      <c r="O1069" s="12" t="str">
        <f aca="false">IF(L1069=1,1+COUNTIFS($C$2:$C$1090,C1069,$L$2:$L$1090,1,$H$2:$H$1090,"&gt;"&amp;H1069),"")</f>
        <v/>
      </c>
      <c r="P1069" s="12" t="str">
        <f aca="false">IF(L1069=1,N1069-O1069,"")</f>
        <v/>
      </c>
      <c r="Q1069" s="12" t="n">
        <f aca="false">INDEX(Directions!$D$2:$D$100,MATCH(C1069,Directions!$A$2:$A$100,0))</f>
        <v>0</v>
      </c>
      <c r="R1069" s="12" t="str">
        <f aca="false">IF(L1069=1,P1069*Q1069,"")</f>
        <v/>
      </c>
      <c r="S1069" s="12" t="str">
        <f aca="false">IF(L1069&lt;&gt;1,"Excluded",IF(Q1069=0,"No direction",IF(R1069&gt;0,"Better",IF(R1069&lt;0,"Worse","No change"))))</f>
        <v>Excluded</v>
      </c>
      <c r="T1069" s="12" t="s">
        <v>303</v>
      </c>
      <c r="U1069" s="12" t="str">
        <f aca="false">C1069&amp;"|"&amp;E1069</f>
        <v>F11_09|USA</v>
      </c>
    </row>
    <row r="1070" customFormat="false" ht="15" hidden="false" customHeight="false" outlineLevel="0" collapsed="false">
      <c r="A1070" s="12" t="n">
        <v>11</v>
      </c>
      <c r="B1070" s="12" t="s">
        <v>41</v>
      </c>
      <c r="C1070" s="12" t="s">
        <v>260</v>
      </c>
      <c r="D1070" s="12" t="s">
        <v>261</v>
      </c>
      <c r="E1070" s="12" t="s">
        <v>283</v>
      </c>
      <c r="F1070" s="12" t="s">
        <v>28</v>
      </c>
      <c r="G1070" s="12" t="s">
        <v>302</v>
      </c>
      <c r="H1070" s="12" t="s">
        <v>302</v>
      </c>
      <c r="I1070" s="12"/>
      <c r="J1070" s="12" t="s">
        <v>302</v>
      </c>
      <c r="K1070" s="12" t="s">
        <v>302</v>
      </c>
      <c r="L1070" s="28" t="n">
        <v>0</v>
      </c>
      <c r="M1070" s="12" t="str">
        <f aca="false">IF(L1070=1,COUNTIFS($C$2:$C$1090,C1070,$L$2:$L$1090,1),"")</f>
        <v/>
      </c>
      <c r="N1070" s="12" t="str">
        <f aca="false">IF(L1070=1,1+COUNTIFS($C$2:$C$1090,C1070,$L$2:$L$1090,1,$G$2:$G$1090,"&gt;"&amp;G1070),"")</f>
        <v/>
      </c>
      <c r="O1070" s="12" t="str">
        <f aca="false">IF(L1070=1,1+COUNTIFS($C$2:$C$1090,C1070,$L$2:$L$1090,1,$H$2:$H$1090,"&gt;"&amp;H1070),"")</f>
        <v/>
      </c>
      <c r="P1070" s="12" t="str">
        <f aca="false">IF(L1070=1,N1070-O1070,"")</f>
        <v/>
      </c>
      <c r="Q1070" s="12" t="n">
        <f aca="false">INDEX(Directions!$D$2:$D$100,MATCH(C1070,Directions!$A$2:$A$100,0))</f>
        <v>0</v>
      </c>
      <c r="R1070" s="12" t="str">
        <f aca="false">IF(L1070=1,P1070*Q1070,"")</f>
        <v/>
      </c>
      <c r="S1070" s="12" t="str">
        <f aca="false">IF(L1070&lt;&gt;1,"Excluded",IF(Q1070=0,"No direction",IF(R1070&gt;0,"Better",IF(R1070&lt;0,"Worse","No change"))))</f>
        <v>Excluded</v>
      </c>
      <c r="T1070" s="12" t="s">
        <v>304</v>
      </c>
      <c r="U1070" s="12" t="str">
        <f aca="false">C1070&amp;"|"&amp;E1070</f>
        <v>F11_09|GBR</v>
      </c>
    </row>
    <row r="1071" customFormat="false" ht="15" hidden="false" customHeight="false" outlineLevel="0" collapsed="false">
      <c r="A1071" s="12" t="n">
        <v>11</v>
      </c>
      <c r="B1071" s="12" t="s">
        <v>41</v>
      </c>
      <c r="C1071" s="12" t="s">
        <v>260</v>
      </c>
      <c r="D1071" s="12" t="s">
        <v>261</v>
      </c>
      <c r="E1071" s="12" t="s">
        <v>284</v>
      </c>
      <c r="F1071" s="12" t="s">
        <v>29</v>
      </c>
      <c r="G1071" s="12" t="n">
        <v>2</v>
      </c>
      <c r="H1071" s="12" t="s">
        <v>302</v>
      </c>
      <c r="I1071" s="12"/>
      <c r="J1071" s="12" t="n">
        <v>8</v>
      </c>
      <c r="K1071" s="12" t="s">
        <v>302</v>
      </c>
      <c r="L1071" s="28" t="n">
        <v>0</v>
      </c>
      <c r="M1071" s="12" t="str">
        <f aca="false">IF(L1071=1,COUNTIFS($C$2:$C$1090,C1071,$L$2:$L$1090,1),"")</f>
        <v/>
      </c>
      <c r="N1071" s="12" t="str">
        <f aca="false">IF(L1071=1,1+COUNTIFS($C$2:$C$1090,C1071,$L$2:$L$1090,1,$G$2:$G$1090,"&gt;"&amp;G1071),"")</f>
        <v/>
      </c>
      <c r="O1071" s="12" t="str">
        <f aca="false">IF(L1071=1,1+COUNTIFS($C$2:$C$1090,C1071,$L$2:$L$1090,1,$H$2:$H$1090,"&gt;"&amp;H1071),"")</f>
        <v/>
      </c>
      <c r="P1071" s="12" t="str">
        <f aca="false">IF(L1071=1,N1071-O1071,"")</f>
        <v/>
      </c>
      <c r="Q1071" s="12" t="n">
        <f aca="false">INDEX(Directions!$D$2:$D$100,MATCH(C1071,Directions!$A$2:$A$100,0))</f>
        <v>0</v>
      </c>
      <c r="R1071" s="12" t="str">
        <f aca="false">IF(L1071=1,P1071*Q1071,"")</f>
        <v/>
      </c>
      <c r="S1071" s="12" t="str">
        <f aca="false">IF(L1071&lt;&gt;1,"Excluded",IF(Q1071=0,"No direction",IF(R1071&gt;0,"Better",IF(R1071&lt;0,"Worse","No change"))))</f>
        <v>Excluded</v>
      </c>
      <c r="T1071" s="12" t="s">
        <v>303</v>
      </c>
      <c r="U1071" s="12" t="str">
        <f aca="false">C1071&amp;"|"&amp;E1071</f>
        <v>F11_09|DEU</v>
      </c>
    </row>
    <row r="1072" customFormat="false" ht="15" hidden="false" customHeight="false" outlineLevel="0" collapsed="false">
      <c r="A1072" s="12" t="n">
        <v>11</v>
      </c>
      <c r="B1072" s="12" t="s">
        <v>41</v>
      </c>
      <c r="C1072" s="12" t="s">
        <v>260</v>
      </c>
      <c r="D1072" s="12" t="s">
        <v>261</v>
      </c>
      <c r="E1072" s="12" t="s">
        <v>285</v>
      </c>
      <c r="F1072" s="12" t="s">
        <v>30</v>
      </c>
      <c r="G1072" s="12" t="n">
        <v>4.5</v>
      </c>
      <c r="H1072" s="12" t="n">
        <v>4.79</v>
      </c>
      <c r="I1072" s="12" t="s">
        <v>291</v>
      </c>
      <c r="J1072" s="12" t="n">
        <v>1</v>
      </c>
      <c r="K1072" s="12" t="n">
        <v>2</v>
      </c>
      <c r="L1072" s="28" t="n">
        <v>0</v>
      </c>
      <c r="M1072" s="12" t="str">
        <f aca="false">IF(L1072=1,COUNTIFS($C$2:$C$1090,C1072,$L$2:$L$1090,1),"")</f>
        <v/>
      </c>
      <c r="N1072" s="12" t="str">
        <f aca="false">IF(L1072=1,1+COUNTIFS($C$2:$C$1090,C1072,$L$2:$L$1090,1,$G$2:$G$1090,"&gt;"&amp;G1072),"")</f>
        <v/>
      </c>
      <c r="O1072" s="12" t="str">
        <f aca="false">IF(L1072=1,1+COUNTIFS($C$2:$C$1090,C1072,$L$2:$L$1090,1,$H$2:$H$1090,"&gt;"&amp;H1072),"")</f>
        <v/>
      </c>
      <c r="P1072" s="12" t="str">
        <f aca="false">IF(L1072=1,N1072-O1072,"")</f>
        <v/>
      </c>
      <c r="Q1072" s="12" t="n">
        <f aca="false">INDEX(Directions!$D$2:$D$100,MATCH(C1072,Directions!$A$2:$A$100,0))</f>
        <v>0</v>
      </c>
      <c r="R1072" s="12" t="str">
        <f aca="false">IF(L1072=1,P1072*Q1072,"")</f>
        <v/>
      </c>
      <c r="S1072" s="12" t="str">
        <f aca="false">IF(L1072&lt;&gt;1,"Excluded",IF(Q1072=0,"No direction",IF(R1072&gt;0,"Better",IF(R1072&lt;0,"Worse","No change"))))</f>
        <v>Excluded</v>
      </c>
      <c r="T1072" s="12" t="s">
        <v>337</v>
      </c>
      <c r="U1072" s="12" t="str">
        <f aca="false">C1072&amp;"|"&amp;E1072</f>
        <v>F11_09|SWE</v>
      </c>
    </row>
    <row r="1073" customFormat="false" ht="15" hidden="false" customHeight="false" outlineLevel="0" collapsed="false">
      <c r="A1073" s="12" t="n">
        <v>11</v>
      </c>
      <c r="B1073" s="12" t="s">
        <v>41</v>
      </c>
      <c r="C1073" s="12" t="s">
        <v>260</v>
      </c>
      <c r="D1073" s="12" t="s">
        <v>261</v>
      </c>
      <c r="E1073" s="12" t="s">
        <v>286</v>
      </c>
      <c r="F1073" s="12" t="s">
        <v>31</v>
      </c>
      <c r="G1073" s="12" t="n">
        <v>4.1</v>
      </c>
      <c r="H1073" s="12" t="n">
        <v>4.08</v>
      </c>
      <c r="I1073" s="12" t="s">
        <v>282</v>
      </c>
      <c r="J1073" s="12" t="n">
        <v>2</v>
      </c>
      <c r="K1073" s="12" t="n">
        <v>4</v>
      </c>
      <c r="L1073" s="28" t="n">
        <v>0</v>
      </c>
      <c r="M1073" s="12" t="str">
        <f aca="false">IF(L1073=1,COUNTIFS($C$2:$C$1090,C1073,$L$2:$L$1090,1),"")</f>
        <v/>
      </c>
      <c r="N1073" s="12" t="str">
        <f aca="false">IF(L1073=1,1+COUNTIFS($C$2:$C$1090,C1073,$L$2:$L$1090,1,$G$2:$G$1090,"&gt;"&amp;G1073),"")</f>
        <v/>
      </c>
      <c r="O1073" s="12" t="str">
        <f aca="false">IF(L1073=1,1+COUNTIFS($C$2:$C$1090,C1073,$L$2:$L$1090,1,$H$2:$H$1090,"&gt;"&amp;H1073),"")</f>
        <v/>
      </c>
      <c r="P1073" s="12" t="str">
        <f aca="false">IF(L1073=1,N1073-O1073,"")</f>
        <v/>
      </c>
      <c r="Q1073" s="12" t="n">
        <f aca="false">INDEX(Directions!$D$2:$D$100,MATCH(C1073,Directions!$A$2:$A$100,0))</f>
        <v>0</v>
      </c>
      <c r="R1073" s="12" t="str">
        <f aca="false">IF(L1073=1,P1073*Q1073,"")</f>
        <v/>
      </c>
      <c r="S1073" s="12" t="str">
        <f aca="false">IF(L1073&lt;&gt;1,"Excluded",IF(Q1073=0,"No direction",IF(R1073&gt;0,"Better",IF(R1073&lt;0,"Worse","No change"))))</f>
        <v>Excluded</v>
      </c>
      <c r="T1073" s="12" t="s">
        <v>337</v>
      </c>
      <c r="U1073" s="12" t="str">
        <f aca="false">C1073&amp;"|"&amp;E1073</f>
        <v>F11_09|FRA</v>
      </c>
    </row>
    <row r="1074" customFormat="false" ht="15" hidden="false" customHeight="false" outlineLevel="0" collapsed="false">
      <c r="A1074" s="12" t="n">
        <v>11</v>
      </c>
      <c r="B1074" s="12" t="s">
        <v>41</v>
      </c>
      <c r="C1074" s="12" t="s">
        <v>260</v>
      </c>
      <c r="D1074" s="12" t="s">
        <v>261</v>
      </c>
      <c r="E1074" s="12" t="s">
        <v>32</v>
      </c>
      <c r="F1074" s="12" t="s">
        <v>32</v>
      </c>
      <c r="G1074" s="12" t="s">
        <v>302</v>
      </c>
      <c r="H1074" s="12" t="s">
        <v>302</v>
      </c>
      <c r="I1074" s="12"/>
      <c r="J1074" s="12" t="s">
        <v>302</v>
      </c>
      <c r="K1074" s="12" t="s">
        <v>302</v>
      </c>
      <c r="L1074" s="28" t="n">
        <v>0</v>
      </c>
      <c r="M1074" s="12" t="str">
        <f aca="false">IF(L1074=1,COUNTIFS($C$2:$C$1090,C1074,$L$2:$L$1090,1),"")</f>
        <v/>
      </c>
      <c r="N1074" s="12" t="str">
        <f aca="false">IF(L1074=1,1+COUNTIFS($C$2:$C$1090,C1074,$L$2:$L$1090,1,$G$2:$G$1090,"&gt;"&amp;G1074),"")</f>
        <v/>
      </c>
      <c r="O1074" s="12" t="str">
        <f aca="false">IF(L1074=1,1+COUNTIFS($C$2:$C$1090,C1074,$L$2:$L$1090,1,$H$2:$H$1090,"&gt;"&amp;H1074),"")</f>
        <v/>
      </c>
      <c r="P1074" s="12" t="str">
        <f aca="false">IF(L1074=1,N1074-O1074,"")</f>
        <v/>
      </c>
      <c r="Q1074" s="12" t="n">
        <f aca="false">INDEX(Directions!$D$2:$D$100,MATCH(C1074,Directions!$A$2:$A$100,0))</f>
        <v>0</v>
      </c>
      <c r="R1074" s="12" t="str">
        <f aca="false">IF(L1074=1,P1074*Q1074,"")</f>
        <v/>
      </c>
      <c r="S1074" s="12" t="str">
        <f aca="false">IF(L1074&lt;&gt;1,"Excluded",IF(Q1074=0,"No direction",IF(R1074&gt;0,"Better",IF(R1074&lt;0,"Worse","No change"))))</f>
        <v>Excluded</v>
      </c>
      <c r="T1074" s="12" t="s">
        <v>304</v>
      </c>
      <c r="U1074" s="12" t="str">
        <f aca="false">C1074&amp;"|"&amp;E1074</f>
        <v>F11_09|NLD</v>
      </c>
    </row>
    <row r="1075" customFormat="false" ht="15" hidden="false" customHeight="false" outlineLevel="0" collapsed="false">
      <c r="A1075" s="12" t="n">
        <v>11</v>
      </c>
      <c r="B1075" s="12" t="s">
        <v>41</v>
      </c>
      <c r="C1075" s="12" t="s">
        <v>260</v>
      </c>
      <c r="D1075" s="12" t="s">
        <v>261</v>
      </c>
      <c r="E1075" s="12" t="s">
        <v>33</v>
      </c>
      <c r="F1075" s="12" t="s">
        <v>33</v>
      </c>
      <c r="G1075" s="12" t="n">
        <v>2.8</v>
      </c>
      <c r="H1075" s="12" t="n">
        <v>5.36</v>
      </c>
      <c r="I1075" s="12" t="s">
        <v>293</v>
      </c>
      <c r="J1075" s="12" t="n">
        <v>6</v>
      </c>
      <c r="K1075" s="12" t="n">
        <v>1</v>
      </c>
      <c r="L1075" s="28" t="n">
        <v>0</v>
      </c>
      <c r="M1075" s="12" t="str">
        <f aca="false">IF(L1075=1,COUNTIFS($C$2:$C$1090,C1075,$L$2:$L$1090,1),"")</f>
        <v/>
      </c>
      <c r="N1075" s="12" t="str">
        <f aca="false">IF(L1075=1,1+COUNTIFS($C$2:$C$1090,C1075,$L$2:$L$1090,1,$G$2:$G$1090,"&gt;"&amp;G1075),"")</f>
        <v/>
      </c>
      <c r="O1075" s="12" t="str">
        <f aca="false">IF(L1075=1,1+COUNTIFS($C$2:$C$1090,C1075,$L$2:$L$1090,1,$H$2:$H$1090,"&gt;"&amp;H1075),"")</f>
        <v/>
      </c>
      <c r="P1075" s="12" t="str">
        <f aca="false">IF(L1075=1,N1075-O1075,"")</f>
        <v/>
      </c>
      <c r="Q1075" s="12" t="n">
        <f aca="false">INDEX(Directions!$D$2:$D$100,MATCH(C1075,Directions!$A$2:$A$100,0))</f>
        <v>0</v>
      </c>
      <c r="R1075" s="12" t="str">
        <f aca="false">IF(L1075=1,P1075*Q1075,"")</f>
        <v/>
      </c>
      <c r="S1075" s="12" t="str">
        <f aca="false">IF(L1075&lt;&gt;1,"Excluded",IF(Q1075=0,"No direction",IF(R1075&gt;0,"Better",IF(R1075&lt;0,"Worse","No change"))))</f>
        <v>Excluded</v>
      </c>
      <c r="T1075" s="12" t="s">
        <v>337</v>
      </c>
      <c r="U1075" s="12" t="str">
        <f aca="false">C1075&amp;"|"&amp;E1075</f>
        <v>F11_09|CHE</v>
      </c>
    </row>
    <row r="1076" customFormat="false" ht="15" hidden="false" customHeight="false" outlineLevel="0" collapsed="false">
      <c r="A1076" s="12" t="n">
        <v>11</v>
      </c>
      <c r="B1076" s="12" t="s">
        <v>41</v>
      </c>
      <c r="C1076" s="12" t="s">
        <v>260</v>
      </c>
      <c r="D1076" s="12" t="s">
        <v>261</v>
      </c>
      <c r="E1076" s="12" t="s">
        <v>287</v>
      </c>
      <c r="F1076" s="12" t="s">
        <v>34</v>
      </c>
      <c r="G1076" s="12" t="s">
        <v>302</v>
      </c>
      <c r="H1076" s="12" t="s">
        <v>302</v>
      </c>
      <c r="I1076" s="12"/>
      <c r="J1076" s="12" t="s">
        <v>302</v>
      </c>
      <c r="K1076" s="12" t="s">
        <v>302</v>
      </c>
      <c r="L1076" s="28" t="n">
        <v>0</v>
      </c>
      <c r="M1076" s="12" t="str">
        <f aca="false">IF(L1076=1,COUNTIFS($C$2:$C$1090,C1076,$L$2:$L$1090,1),"")</f>
        <v/>
      </c>
      <c r="N1076" s="12" t="str">
        <f aca="false">IF(L1076=1,1+COUNTIFS($C$2:$C$1090,C1076,$L$2:$L$1090,1,$G$2:$G$1090,"&gt;"&amp;G1076),"")</f>
        <v/>
      </c>
      <c r="O1076" s="12" t="str">
        <f aca="false">IF(L1076=1,1+COUNTIFS($C$2:$C$1090,C1076,$L$2:$L$1090,1,$H$2:$H$1090,"&gt;"&amp;H1076),"")</f>
        <v/>
      </c>
      <c r="P1076" s="12" t="str">
        <f aca="false">IF(L1076=1,N1076-O1076,"")</f>
        <v/>
      </c>
      <c r="Q1076" s="12" t="n">
        <f aca="false">INDEX(Directions!$D$2:$D$100,MATCH(C1076,Directions!$A$2:$A$100,0))</f>
        <v>0</v>
      </c>
      <c r="R1076" s="12" t="str">
        <f aca="false">IF(L1076=1,P1076*Q1076,"")</f>
        <v/>
      </c>
      <c r="S1076" s="12" t="str">
        <f aca="false">IF(L1076&lt;&gt;1,"Excluded",IF(Q1076=0,"No direction",IF(R1076&gt;0,"Better",IF(R1076&lt;0,"Worse","No change"))))</f>
        <v>Excluded</v>
      </c>
      <c r="T1076" s="12" t="s">
        <v>304</v>
      </c>
      <c r="U1076" s="12" t="str">
        <f aca="false">C1076&amp;"|"&amp;E1076</f>
        <v>F11_09|DNK</v>
      </c>
    </row>
    <row r="1077" customFormat="false" ht="15" hidden="false" customHeight="false" outlineLevel="0" collapsed="false">
      <c r="A1077" s="12" t="n">
        <v>11</v>
      </c>
      <c r="B1077" s="12" t="s">
        <v>41</v>
      </c>
      <c r="C1077" s="12" t="s">
        <v>260</v>
      </c>
      <c r="D1077" s="12" t="s">
        <v>261</v>
      </c>
      <c r="E1077" s="12" t="s">
        <v>288</v>
      </c>
      <c r="F1077" s="12" t="s">
        <v>35</v>
      </c>
      <c r="G1077" s="12" t="n">
        <v>4.1</v>
      </c>
      <c r="H1077" s="12" t="s">
        <v>302</v>
      </c>
      <c r="I1077" s="12"/>
      <c r="J1077" s="12" t="n">
        <v>3</v>
      </c>
      <c r="K1077" s="12" t="s">
        <v>302</v>
      </c>
      <c r="L1077" s="28" t="n">
        <v>0</v>
      </c>
      <c r="M1077" s="12" t="str">
        <f aca="false">IF(L1077=1,COUNTIFS($C$2:$C$1090,C1077,$L$2:$L$1090,1),"")</f>
        <v/>
      </c>
      <c r="N1077" s="12" t="str">
        <f aca="false">IF(L1077=1,1+COUNTIFS($C$2:$C$1090,C1077,$L$2:$L$1090,1,$G$2:$G$1090,"&gt;"&amp;G1077),"")</f>
        <v/>
      </c>
      <c r="O1077" s="12" t="str">
        <f aca="false">IF(L1077=1,1+COUNTIFS($C$2:$C$1090,C1077,$L$2:$L$1090,1,$H$2:$H$1090,"&gt;"&amp;H1077),"")</f>
        <v/>
      </c>
      <c r="P1077" s="12" t="str">
        <f aca="false">IF(L1077=1,N1077-O1077,"")</f>
        <v/>
      </c>
      <c r="Q1077" s="12" t="n">
        <f aca="false">INDEX(Directions!$D$2:$D$100,MATCH(C1077,Directions!$A$2:$A$100,0))</f>
        <v>0</v>
      </c>
      <c r="R1077" s="12" t="str">
        <f aca="false">IF(L1077=1,P1077*Q1077,"")</f>
        <v/>
      </c>
      <c r="S1077" s="12" t="str">
        <f aca="false">IF(L1077&lt;&gt;1,"Excluded",IF(Q1077=0,"No direction",IF(R1077&gt;0,"Better",IF(R1077&lt;0,"Worse","No change"))))</f>
        <v>Excluded</v>
      </c>
      <c r="T1077" s="12" t="s">
        <v>303</v>
      </c>
      <c r="U1077" s="12" t="str">
        <f aca="false">C1077&amp;"|"&amp;E1077</f>
        <v>F11_09|CAN</v>
      </c>
    </row>
    <row r="1078" customFormat="false" ht="15" hidden="false" customHeight="false" outlineLevel="0" collapsed="false">
      <c r="A1078" s="12" t="n">
        <v>11</v>
      </c>
      <c r="B1078" s="12" t="s">
        <v>41</v>
      </c>
      <c r="C1078" s="12" t="s">
        <v>260</v>
      </c>
      <c r="D1078" s="12" t="s">
        <v>261</v>
      </c>
      <c r="E1078" s="12" t="s">
        <v>289</v>
      </c>
      <c r="F1078" s="12" t="s">
        <v>36</v>
      </c>
      <c r="G1078" s="12" t="n">
        <v>2.9</v>
      </c>
      <c r="H1078" s="12" t="n">
        <v>2.72</v>
      </c>
      <c r="I1078" s="12" t="s">
        <v>293</v>
      </c>
      <c r="J1078" s="12" t="n">
        <v>5</v>
      </c>
      <c r="K1078" s="12" t="n">
        <v>5</v>
      </c>
      <c r="L1078" s="28" t="n">
        <v>0</v>
      </c>
      <c r="M1078" s="12" t="str">
        <f aca="false">IF(L1078=1,COUNTIFS($C$2:$C$1090,C1078,$L$2:$L$1090,1),"")</f>
        <v/>
      </c>
      <c r="N1078" s="12" t="str">
        <f aca="false">IF(L1078=1,1+COUNTIFS($C$2:$C$1090,C1078,$L$2:$L$1090,1,$G$2:$G$1090,"&gt;"&amp;G1078),"")</f>
        <v/>
      </c>
      <c r="O1078" s="12" t="str">
        <f aca="false">IF(L1078=1,1+COUNTIFS($C$2:$C$1090,C1078,$L$2:$L$1090,1,$H$2:$H$1090,"&gt;"&amp;H1078),"")</f>
        <v/>
      </c>
      <c r="P1078" s="12" t="str">
        <f aca="false">IF(L1078=1,N1078-O1078,"")</f>
        <v/>
      </c>
      <c r="Q1078" s="12" t="n">
        <f aca="false">INDEX(Directions!$D$2:$D$100,MATCH(C1078,Directions!$A$2:$A$100,0))</f>
        <v>0</v>
      </c>
      <c r="R1078" s="12" t="str">
        <f aca="false">IF(L1078=1,P1078*Q1078,"")</f>
        <v/>
      </c>
      <c r="S1078" s="12" t="str">
        <f aca="false">IF(L1078&lt;&gt;1,"Excluded",IF(Q1078=0,"No direction",IF(R1078&gt;0,"Better",IF(R1078&lt;0,"Worse","No change"))))</f>
        <v>Excluded</v>
      </c>
      <c r="T1078" s="12" t="s">
        <v>337</v>
      </c>
      <c r="U1078" s="12" t="str">
        <f aca="false">C1078&amp;"|"&amp;E1078</f>
        <v>F11_09|JPN</v>
      </c>
    </row>
    <row r="1079" customFormat="false" ht="15" hidden="false" customHeight="false" outlineLevel="0" collapsed="false">
      <c r="A1079" s="12" t="n">
        <v>11</v>
      </c>
      <c r="B1079" s="12" t="s">
        <v>41</v>
      </c>
      <c r="C1079" s="12" t="s">
        <v>260</v>
      </c>
      <c r="D1079" s="12" t="s">
        <v>261</v>
      </c>
      <c r="E1079" s="12" t="s">
        <v>290</v>
      </c>
      <c r="F1079" s="12" t="s">
        <v>37</v>
      </c>
      <c r="G1079" s="12" t="n">
        <v>2.6</v>
      </c>
      <c r="H1079" s="12" t="n">
        <v>4.74</v>
      </c>
      <c r="I1079" s="12" t="s">
        <v>293</v>
      </c>
      <c r="J1079" s="12" t="n">
        <v>7</v>
      </c>
      <c r="K1079" s="12" t="n">
        <v>3</v>
      </c>
      <c r="L1079" s="28" t="n">
        <v>0</v>
      </c>
      <c r="M1079" s="12" t="str">
        <f aca="false">IF(L1079=1,COUNTIFS($C$2:$C$1090,C1079,$L$2:$L$1090,1),"")</f>
        <v/>
      </c>
      <c r="N1079" s="12" t="str">
        <f aca="false">IF(L1079=1,1+COUNTIFS($C$2:$C$1090,C1079,$L$2:$L$1090,1,$G$2:$G$1090,"&gt;"&amp;G1079),"")</f>
        <v/>
      </c>
      <c r="O1079" s="12" t="str">
        <f aca="false">IF(L1079=1,1+COUNTIFS($C$2:$C$1090,C1079,$L$2:$L$1090,1,$H$2:$H$1090,"&gt;"&amp;H1079),"")</f>
        <v/>
      </c>
      <c r="P1079" s="12" t="str">
        <f aca="false">IF(L1079=1,N1079-O1079,"")</f>
        <v/>
      </c>
      <c r="Q1079" s="12" t="n">
        <f aca="false">INDEX(Directions!$D$2:$D$100,MATCH(C1079,Directions!$A$2:$A$100,0))</f>
        <v>0</v>
      </c>
      <c r="R1079" s="12" t="str">
        <f aca="false">IF(L1079=1,P1079*Q1079,"")</f>
        <v/>
      </c>
      <c r="S1079" s="12" t="str">
        <f aca="false">IF(L1079&lt;&gt;1,"Excluded",IF(Q1079=0,"No direction",IF(R1079&gt;0,"Better",IF(R1079&lt;0,"Worse","No change"))))</f>
        <v>Excluded</v>
      </c>
      <c r="T1079" s="12" t="s">
        <v>337</v>
      </c>
      <c r="U1079" s="12" t="str">
        <f aca="false">C1079&amp;"|"&amp;E1079</f>
        <v>F11_09|AUS</v>
      </c>
    </row>
    <row r="1080" customFormat="false" ht="15" hidden="false" customHeight="false" outlineLevel="0" collapsed="false">
      <c r="A1080" s="12" t="n">
        <v>11</v>
      </c>
      <c r="B1080" s="12" t="s">
        <v>41</v>
      </c>
      <c r="C1080" s="12" t="s">
        <v>262</v>
      </c>
      <c r="D1080" s="12" t="s">
        <v>263</v>
      </c>
      <c r="E1080" s="12" t="s">
        <v>281</v>
      </c>
      <c r="F1080" s="12" t="s">
        <v>27</v>
      </c>
      <c r="G1080" s="12" t="n">
        <v>1.4</v>
      </c>
      <c r="H1080" s="12" t="s">
        <v>302</v>
      </c>
      <c r="I1080" s="12"/>
      <c r="J1080" s="12" t="n">
        <v>5</v>
      </c>
      <c r="K1080" s="12" t="s">
        <v>302</v>
      </c>
      <c r="L1080" s="28" t="n">
        <v>0</v>
      </c>
      <c r="M1080" s="12" t="str">
        <f aca="false">IF(L1080=1,COUNTIFS($C$2:$C$1090,C1080,$L$2:$L$1090,1),"")</f>
        <v/>
      </c>
      <c r="N1080" s="12" t="str">
        <f aca="false">IF(L1080=1,1+COUNTIFS($C$2:$C$1090,C1080,$L$2:$L$1090,1,$G$2:$G$1090,"&gt;"&amp;G1080),"")</f>
        <v/>
      </c>
      <c r="O1080" s="12" t="str">
        <f aca="false">IF(L1080=1,1+COUNTIFS($C$2:$C$1090,C1080,$L$2:$L$1090,1,$H$2:$H$1090,"&gt;"&amp;H1080),"")</f>
        <v/>
      </c>
      <c r="P1080" s="12" t="str">
        <f aca="false">IF(L1080=1,N1080-O1080,"")</f>
        <v/>
      </c>
      <c r="Q1080" s="12" t="n">
        <f aca="false">INDEX(Directions!$D$2:$D$100,MATCH(C1080,Directions!$A$2:$A$100,0))</f>
        <v>0</v>
      </c>
      <c r="R1080" s="12" t="str">
        <f aca="false">IF(L1080=1,P1080*Q1080,"")</f>
        <v/>
      </c>
      <c r="S1080" s="12" t="str">
        <f aca="false">IF(L1080&lt;&gt;1,"Excluded",IF(Q1080=0,"No direction",IF(R1080&gt;0,"Better",IF(R1080&lt;0,"Worse","No change"))))</f>
        <v>Excluded</v>
      </c>
      <c r="T1080" s="12" t="s">
        <v>303</v>
      </c>
      <c r="U1080" s="12" t="str">
        <f aca="false">C1080&amp;"|"&amp;E1080</f>
        <v>F11_10|USA</v>
      </c>
    </row>
    <row r="1081" customFormat="false" ht="15" hidden="false" customHeight="false" outlineLevel="0" collapsed="false">
      <c r="A1081" s="12" t="n">
        <v>11</v>
      </c>
      <c r="B1081" s="12" t="s">
        <v>41</v>
      </c>
      <c r="C1081" s="12" t="s">
        <v>262</v>
      </c>
      <c r="D1081" s="12" t="s">
        <v>263</v>
      </c>
      <c r="E1081" s="12" t="s">
        <v>283</v>
      </c>
      <c r="F1081" s="12" t="s">
        <v>28</v>
      </c>
      <c r="G1081" s="12" t="s">
        <v>302</v>
      </c>
      <c r="H1081" s="12" t="s">
        <v>302</v>
      </c>
      <c r="I1081" s="12"/>
      <c r="J1081" s="12" t="s">
        <v>302</v>
      </c>
      <c r="K1081" s="12" t="s">
        <v>302</v>
      </c>
      <c r="L1081" s="28" t="n">
        <v>0</v>
      </c>
      <c r="M1081" s="12" t="str">
        <f aca="false">IF(L1081=1,COUNTIFS($C$2:$C$1090,C1081,$L$2:$L$1090,1),"")</f>
        <v/>
      </c>
      <c r="N1081" s="12" t="str">
        <f aca="false">IF(L1081=1,1+COUNTIFS($C$2:$C$1090,C1081,$L$2:$L$1090,1,$G$2:$G$1090,"&gt;"&amp;G1081),"")</f>
        <v/>
      </c>
      <c r="O1081" s="12" t="str">
        <f aca="false">IF(L1081=1,1+COUNTIFS($C$2:$C$1090,C1081,$L$2:$L$1090,1,$H$2:$H$1090,"&gt;"&amp;H1081),"")</f>
        <v/>
      </c>
      <c r="P1081" s="12" t="str">
        <f aca="false">IF(L1081=1,N1081-O1081,"")</f>
        <v/>
      </c>
      <c r="Q1081" s="12" t="n">
        <f aca="false">INDEX(Directions!$D$2:$D$100,MATCH(C1081,Directions!$A$2:$A$100,0))</f>
        <v>0</v>
      </c>
      <c r="R1081" s="12" t="str">
        <f aca="false">IF(L1081=1,P1081*Q1081,"")</f>
        <v/>
      </c>
      <c r="S1081" s="12" t="str">
        <f aca="false">IF(L1081&lt;&gt;1,"Excluded",IF(Q1081=0,"No direction",IF(R1081&gt;0,"Better",IF(R1081&lt;0,"Worse","No change"))))</f>
        <v>Excluded</v>
      </c>
      <c r="T1081" s="12" t="s">
        <v>304</v>
      </c>
      <c r="U1081" s="12" t="str">
        <f aca="false">C1081&amp;"|"&amp;E1081</f>
        <v>F11_10|GBR</v>
      </c>
    </row>
    <row r="1082" customFormat="false" ht="15" hidden="false" customHeight="false" outlineLevel="0" collapsed="false">
      <c r="A1082" s="12" t="n">
        <v>11</v>
      </c>
      <c r="B1082" s="12" t="s">
        <v>41</v>
      </c>
      <c r="C1082" s="12" t="s">
        <v>262</v>
      </c>
      <c r="D1082" s="12" t="s">
        <v>263</v>
      </c>
      <c r="E1082" s="12" t="s">
        <v>284</v>
      </c>
      <c r="F1082" s="12" t="s">
        <v>29</v>
      </c>
      <c r="G1082" s="12" t="n">
        <v>1.3</v>
      </c>
      <c r="H1082" s="12" t="s">
        <v>302</v>
      </c>
      <c r="I1082" s="12"/>
      <c r="J1082" s="12" t="n">
        <v>7</v>
      </c>
      <c r="K1082" s="12" t="s">
        <v>302</v>
      </c>
      <c r="L1082" s="28" t="n">
        <v>0</v>
      </c>
      <c r="M1082" s="12" t="str">
        <f aca="false">IF(L1082=1,COUNTIFS($C$2:$C$1090,C1082,$L$2:$L$1090,1),"")</f>
        <v/>
      </c>
      <c r="N1082" s="12" t="str">
        <f aca="false">IF(L1082=1,1+COUNTIFS($C$2:$C$1090,C1082,$L$2:$L$1090,1,$G$2:$G$1090,"&gt;"&amp;G1082),"")</f>
        <v/>
      </c>
      <c r="O1082" s="12" t="str">
        <f aca="false">IF(L1082=1,1+COUNTIFS($C$2:$C$1090,C1082,$L$2:$L$1090,1,$H$2:$H$1090,"&gt;"&amp;H1082),"")</f>
        <v/>
      </c>
      <c r="P1082" s="12" t="str">
        <f aca="false">IF(L1082=1,N1082-O1082,"")</f>
        <v/>
      </c>
      <c r="Q1082" s="12" t="n">
        <f aca="false">INDEX(Directions!$D$2:$D$100,MATCH(C1082,Directions!$A$2:$A$100,0))</f>
        <v>0</v>
      </c>
      <c r="R1082" s="12" t="str">
        <f aca="false">IF(L1082=1,P1082*Q1082,"")</f>
        <v/>
      </c>
      <c r="S1082" s="12" t="str">
        <f aca="false">IF(L1082&lt;&gt;1,"Excluded",IF(Q1082=0,"No direction",IF(R1082&gt;0,"Better",IF(R1082&lt;0,"Worse","No change"))))</f>
        <v>Excluded</v>
      </c>
      <c r="T1082" s="12" t="s">
        <v>303</v>
      </c>
      <c r="U1082" s="12" t="str">
        <f aca="false">C1082&amp;"|"&amp;E1082</f>
        <v>F11_10|DEU</v>
      </c>
    </row>
    <row r="1083" customFormat="false" ht="15" hidden="false" customHeight="false" outlineLevel="0" collapsed="false">
      <c r="A1083" s="12" t="n">
        <v>11</v>
      </c>
      <c r="B1083" s="12" t="s">
        <v>41</v>
      </c>
      <c r="C1083" s="12" t="s">
        <v>262</v>
      </c>
      <c r="D1083" s="12" t="s">
        <v>263</v>
      </c>
      <c r="E1083" s="12" t="s">
        <v>285</v>
      </c>
      <c r="F1083" s="12" t="s">
        <v>30</v>
      </c>
      <c r="G1083" s="12" t="n">
        <v>3.5</v>
      </c>
      <c r="H1083" s="12" t="n">
        <v>4.16</v>
      </c>
      <c r="I1083" s="12" t="s">
        <v>291</v>
      </c>
      <c r="J1083" s="12" t="n">
        <v>2</v>
      </c>
      <c r="K1083" s="12" t="n">
        <v>2</v>
      </c>
      <c r="L1083" s="28" t="n">
        <v>0</v>
      </c>
      <c r="M1083" s="12" t="str">
        <f aca="false">IF(L1083=1,COUNTIFS($C$2:$C$1090,C1083,$L$2:$L$1090,1),"")</f>
        <v/>
      </c>
      <c r="N1083" s="12" t="str">
        <f aca="false">IF(L1083=1,1+COUNTIFS($C$2:$C$1090,C1083,$L$2:$L$1090,1,$G$2:$G$1090,"&gt;"&amp;G1083),"")</f>
        <v/>
      </c>
      <c r="O1083" s="12" t="str">
        <f aca="false">IF(L1083=1,1+COUNTIFS($C$2:$C$1090,C1083,$L$2:$L$1090,1,$H$2:$H$1090,"&gt;"&amp;H1083),"")</f>
        <v/>
      </c>
      <c r="P1083" s="12" t="str">
        <f aca="false">IF(L1083=1,N1083-O1083,"")</f>
        <v/>
      </c>
      <c r="Q1083" s="12" t="n">
        <f aca="false">INDEX(Directions!$D$2:$D$100,MATCH(C1083,Directions!$A$2:$A$100,0))</f>
        <v>0</v>
      </c>
      <c r="R1083" s="12" t="str">
        <f aca="false">IF(L1083=1,P1083*Q1083,"")</f>
        <v/>
      </c>
      <c r="S1083" s="12" t="str">
        <f aca="false">IF(L1083&lt;&gt;1,"Excluded",IF(Q1083=0,"No direction",IF(R1083&gt;0,"Better",IF(R1083&lt;0,"Worse","No change"))))</f>
        <v>Excluded</v>
      </c>
      <c r="T1083" s="12" t="s">
        <v>337</v>
      </c>
      <c r="U1083" s="12" t="str">
        <f aca="false">C1083&amp;"|"&amp;E1083</f>
        <v>F11_10|SWE</v>
      </c>
    </row>
    <row r="1084" customFormat="false" ht="15" hidden="false" customHeight="false" outlineLevel="0" collapsed="false">
      <c r="A1084" s="12" t="n">
        <v>11</v>
      </c>
      <c r="B1084" s="12" t="s">
        <v>41</v>
      </c>
      <c r="C1084" s="12" t="s">
        <v>262</v>
      </c>
      <c r="D1084" s="12" t="s">
        <v>263</v>
      </c>
      <c r="E1084" s="12" t="s">
        <v>286</v>
      </c>
      <c r="F1084" s="12" t="s">
        <v>31</v>
      </c>
      <c r="G1084" s="12" t="n">
        <v>2.5</v>
      </c>
      <c r="H1084" s="12" t="n">
        <v>2.73</v>
      </c>
      <c r="I1084" s="12" t="s">
        <v>282</v>
      </c>
      <c r="J1084" s="12" t="n">
        <v>3</v>
      </c>
      <c r="K1084" s="12" t="n">
        <v>4</v>
      </c>
      <c r="L1084" s="28" t="n">
        <v>0</v>
      </c>
      <c r="M1084" s="12" t="str">
        <f aca="false">IF(L1084=1,COUNTIFS($C$2:$C$1090,C1084,$L$2:$L$1090,1),"")</f>
        <v/>
      </c>
      <c r="N1084" s="12" t="str">
        <f aca="false">IF(L1084=1,1+COUNTIFS($C$2:$C$1090,C1084,$L$2:$L$1090,1,$G$2:$G$1090,"&gt;"&amp;G1084),"")</f>
        <v/>
      </c>
      <c r="O1084" s="12" t="str">
        <f aca="false">IF(L1084=1,1+COUNTIFS($C$2:$C$1090,C1084,$L$2:$L$1090,1,$H$2:$H$1090,"&gt;"&amp;H1084),"")</f>
        <v/>
      </c>
      <c r="P1084" s="12" t="str">
        <f aca="false">IF(L1084=1,N1084-O1084,"")</f>
        <v/>
      </c>
      <c r="Q1084" s="12" t="n">
        <f aca="false">INDEX(Directions!$D$2:$D$100,MATCH(C1084,Directions!$A$2:$A$100,0))</f>
        <v>0</v>
      </c>
      <c r="R1084" s="12" t="str">
        <f aca="false">IF(L1084=1,P1084*Q1084,"")</f>
        <v/>
      </c>
      <c r="S1084" s="12" t="str">
        <f aca="false">IF(L1084&lt;&gt;1,"Excluded",IF(Q1084=0,"No direction",IF(R1084&gt;0,"Better",IF(R1084&lt;0,"Worse","No change"))))</f>
        <v>Excluded</v>
      </c>
      <c r="T1084" s="12" t="s">
        <v>337</v>
      </c>
      <c r="U1084" s="12" t="str">
        <f aca="false">C1084&amp;"|"&amp;E1084</f>
        <v>F11_10|FRA</v>
      </c>
    </row>
    <row r="1085" customFormat="false" ht="15" hidden="false" customHeight="false" outlineLevel="0" collapsed="false">
      <c r="A1085" s="12" t="n">
        <v>11</v>
      </c>
      <c r="B1085" s="12" t="s">
        <v>41</v>
      </c>
      <c r="C1085" s="12" t="s">
        <v>262</v>
      </c>
      <c r="D1085" s="12" t="s">
        <v>263</v>
      </c>
      <c r="E1085" s="12" t="s">
        <v>32</v>
      </c>
      <c r="F1085" s="12" t="s">
        <v>32</v>
      </c>
      <c r="G1085" s="12" t="s">
        <v>302</v>
      </c>
      <c r="H1085" s="12" t="s">
        <v>302</v>
      </c>
      <c r="I1085" s="12"/>
      <c r="J1085" s="12" t="s">
        <v>302</v>
      </c>
      <c r="K1085" s="12" t="s">
        <v>302</v>
      </c>
      <c r="L1085" s="28" t="n">
        <v>0</v>
      </c>
      <c r="M1085" s="12" t="str">
        <f aca="false">IF(L1085=1,COUNTIFS($C$2:$C$1090,C1085,$L$2:$L$1090,1),"")</f>
        <v/>
      </c>
      <c r="N1085" s="12" t="str">
        <f aca="false">IF(L1085=1,1+COUNTIFS($C$2:$C$1090,C1085,$L$2:$L$1090,1,$G$2:$G$1090,"&gt;"&amp;G1085),"")</f>
        <v/>
      </c>
      <c r="O1085" s="12" t="str">
        <f aca="false">IF(L1085=1,1+COUNTIFS($C$2:$C$1090,C1085,$L$2:$L$1090,1,$H$2:$H$1090,"&gt;"&amp;H1085),"")</f>
        <v/>
      </c>
      <c r="P1085" s="12" t="str">
        <f aca="false">IF(L1085=1,N1085-O1085,"")</f>
        <v/>
      </c>
      <c r="Q1085" s="12" t="n">
        <f aca="false">INDEX(Directions!$D$2:$D$100,MATCH(C1085,Directions!$A$2:$A$100,0))</f>
        <v>0</v>
      </c>
      <c r="R1085" s="12" t="str">
        <f aca="false">IF(L1085=1,P1085*Q1085,"")</f>
        <v/>
      </c>
      <c r="S1085" s="12" t="str">
        <f aca="false">IF(L1085&lt;&gt;1,"Excluded",IF(Q1085=0,"No direction",IF(R1085&gt;0,"Better",IF(R1085&lt;0,"Worse","No change"))))</f>
        <v>Excluded</v>
      </c>
      <c r="T1085" s="12" t="s">
        <v>304</v>
      </c>
      <c r="U1085" s="12" t="str">
        <f aca="false">C1085&amp;"|"&amp;E1085</f>
        <v>F11_10|NLD</v>
      </c>
    </row>
    <row r="1086" customFormat="false" ht="15" hidden="false" customHeight="false" outlineLevel="0" collapsed="false">
      <c r="A1086" s="12" t="n">
        <v>11</v>
      </c>
      <c r="B1086" s="12" t="s">
        <v>41</v>
      </c>
      <c r="C1086" s="12" t="s">
        <v>262</v>
      </c>
      <c r="D1086" s="12" t="s">
        <v>263</v>
      </c>
      <c r="E1086" s="12" t="s">
        <v>33</v>
      </c>
      <c r="F1086" s="12" t="s">
        <v>33</v>
      </c>
      <c r="G1086" s="12" t="n">
        <v>4.4</v>
      </c>
      <c r="H1086" s="12" t="n">
        <v>4.23</v>
      </c>
      <c r="I1086" s="12" t="s">
        <v>293</v>
      </c>
      <c r="J1086" s="12" t="n">
        <v>1</v>
      </c>
      <c r="K1086" s="12" t="n">
        <v>1</v>
      </c>
      <c r="L1086" s="28" t="n">
        <v>0</v>
      </c>
      <c r="M1086" s="12" t="str">
        <f aca="false">IF(L1086=1,COUNTIFS($C$2:$C$1090,C1086,$L$2:$L$1090,1),"")</f>
        <v/>
      </c>
      <c r="N1086" s="12" t="str">
        <f aca="false">IF(L1086=1,1+COUNTIFS($C$2:$C$1090,C1086,$L$2:$L$1090,1,$G$2:$G$1090,"&gt;"&amp;G1086),"")</f>
        <v/>
      </c>
      <c r="O1086" s="12" t="str">
        <f aca="false">IF(L1086=1,1+COUNTIFS($C$2:$C$1090,C1086,$L$2:$L$1090,1,$H$2:$H$1090,"&gt;"&amp;H1086),"")</f>
        <v/>
      </c>
      <c r="P1086" s="12" t="str">
        <f aca="false">IF(L1086=1,N1086-O1086,"")</f>
        <v/>
      </c>
      <c r="Q1086" s="12" t="n">
        <f aca="false">INDEX(Directions!$D$2:$D$100,MATCH(C1086,Directions!$A$2:$A$100,0))</f>
        <v>0</v>
      </c>
      <c r="R1086" s="12" t="str">
        <f aca="false">IF(L1086=1,P1086*Q1086,"")</f>
        <v/>
      </c>
      <c r="S1086" s="12" t="str">
        <f aca="false">IF(L1086&lt;&gt;1,"Excluded",IF(Q1086=0,"No direction",IF(R1086&gt;0,"Better",IF(R1086&lt;0,"Worse","No change"))))</f>
        <v>Excluded</v>
      </c>
      <c r="T1086" s="12" t="s">
        <v>337</v>
      </c>
      <c r="U1086" s="12" t="str">
        <f aca="false">C1086&amp;"|"&amp;E1086</f>
        <v>F11_10|CHE</v>
      </c>
    </row>
    <row r="1087" customFormat="false" ht="15" hidden="false" customHeight="false" outlineLevel="0" collapsed="false">
      <c r="A1087" s="12" t="n">
        <v>11</v>
      </c>
      <c r="B1087" s="12" t="s">
        <v>41</v>
      </c>
      <c r="C1087" s="12" t="s">
        <v>262</v>
      </c>
      <c r="D1087" s="12" t="s">
        <v>263</v>
      </c>
      <c r="E1087" s="12" t="s">
        <v>287</v>
      </c>
      <c r="F1087" s="12" t="s">
        <v>34</v>
      </c>
      <c r="G1087" s="12" t="s">
        <v>302</v>
      </c>
      <c r="H1087" s="12" t="s">
        <v>302</v>
      </c>
      <c r="I1087" s="12"/>
      <c r="J1087" s="12" t="s">
        <v>302</v>
      </c>
      <c r="K1087" s="12" t="s">
        <v>302</v>
      </c>
      <c r="L1087" s="28" t="n">
        <v>0</v>
      </c>
      <c r="M1087" s="12" t="str">
        <f aca="false">IF(L1087=1,COUNTIFS($C$2:$C$1090,C1087,$L$2:$L$1090,1),"")</f>
        <v/>
      </c>
      <c r="N1087" s="12" t="str">
        <f aca="false">IF(L1087=1,1+COUNTIFS($C$2:$C$1090,C1087,$L$2:$L$1090,1,$G$2:$G$1090,"&gt;"&amp;G1087),"")</f>
        <v/>
      </c>
      <c r="O1087" s="12" t="str">
        <f aca="false">IF(L1087=1,1+COUNTIFS($C$2:$C$1090,C1087,$L$2:$L$1090,1,$H$2:$H$1090,"&gt;"&amp;H1087),"")</f>
        <v/>
      </c>
      <c r="P1087" s="12" t="str">
        <f aca="false">IF(L1087=1,N1087-O1087,"")</f>
        <v/>
      </c>
      <c r="Q1087" s="12" t="n">
        <f aca="false">INDEX(Directions!$D$2:$D$100,MATCH(C1087,Directions!$A$2:$A$100,0))</f>
        <v>0</v>
      </c>
      <c r="R1087" s="12" t="str">
        <f aca="false">IF(L1087=1,P1087*Q1087,"")</f>
        <v/>
      </c>
      <c r="S1087" s="12" t="str">
        <f aca="false">IF(L1087&lt;&gt;1,"Excluded",IF(Q1087=0,"No direction",IF(R1087&gt;0,"Better",IF(R1087&lt;0,"Worse","No change"))))</f>
        <v>Excluded</v>
      </c>
      <c r="T1087" s="12" t="s">
        <v>304</v>
      </c>
      <c r="U1087" s="12" t="str">
        <f aca="false">C1087&amp;"|"&amp;E1087</f>
        <v>F11_10|DNK</v>
      </c>
    </row>
    <row r="1088" customFormat="false" ht="15" hidden="false" customHeight="false" outlineLevel="0" collapsed="false">
      <c r="A1088" s="12" t="n">
        <v>11</v>
      </c>
      <c r="B1088" s="12" t="s">
        <v>41</v>
      </c>
      <c r="C1088" s="12" t="s">
        <v>262</v>
      </c>
      <c r="D1088" s="12" t="s">
        <v>263</v>
      </c>
      <c r="E1088" s="12" t="s">
        <v>288</v>
      </c>
      <c r="F1088" s="12" t="s">
        <v>35</v>
      </c>
      <c r="G1088" s="12" t="n">
        <v>0.4</v>
      </c>
      <c r="H1088" s="12" t="s">
        <v>302</v>
      </c>
      <c r="I1088" s="12"/>
      <c r="J1088" s="12" t="n">
        <v>8</v>
      </c>
      <c r="K1088" s="12" t="s">
        <v>302</v>
      </c>
      <c r="L1088" s="28" t="n">
        <v>0</v>
      </c>
      <c r="M1088" s="12" t="str">
        <f aca="false">IF(L1088=1,COUNTIFS($C$2:$C$1090,C1088,$L$2:$L$1090,1),"")</f>
        <v/>
      </c>
      <c r="N1088" s="12" t="str">
        <f aca="false">IF(L1088=1,1+COUNTIFS($C$2:$C$1090,C1088,$L$2:$L$1090,1,$G$2:$G$1090,"&gt;"&amp;G1088),"")</f>
        <v/>
      </c>
      <c r="O1088" s="12" t="str">
        <f aca="false">IF(L1088=1,1+COUNTIFS($C$2:$C$1090,C1088,$L$2:$L$1090,1,$H$2:$H$1090,"&gt;"&amp;H1088),"")</f>
        <v/>
      </c>
      <c r="P1088" s="12" t="str">
        <f aca="false">IF(L1088=1,N1088-O1088,"")</f>
        <v/>
      </c>
      <c r="Q1088" s="12" t="n">
        <f aca="false">INDEX(Directions!$D$2:$D$100,MATCH(C1088,Directions!$A$2:$A$100,0))</f>
        <v>0</v>
      </c>
      <c r="R1088" s="12" t="str">
        <f aca="false">IF(L1088=1,P1088*Q1088,"")</f>
        <v/>
      </c>
      <c r="S1088" s="12" t="str">
        <f aca="false">IF(L1088&lt;&gt;1,"Excluded",IF(Q1088=0,"No direction",IF(R1088&gt;0,"Better",IF(R1088&lt;0,"Worse","No change"))))</f>
        <v>Excluded</v>
      </c>
      <c r="T1088" s="12" t="s">
        <v>303</v>
      </c>
      <c r="U1088" s="12" t="str">
        <f aca="false">C1088&amp;"|"&amp;E1088</f>
        <v>F11_10|CAN</v>
      </c>
    </row>
    <row r="1089" customFormat="false" ht="15" hidden="false" customHeight="false" outlineLevel="0" collapsed="false">
      <c r="A1089" s="12" t="n">
        <v>11</v>
      </c>
      <c r="B1089" s="12" t="s">
        <v>41</v>
      </c>
      <c r="C1089" s="12" t="s">
        <v>262</v>
      </c>
      <c r="D1089" s="12" t="s">
        <v>263</v>
      </c>
      <c r="E1089" s="12" t="s">
        <v>289</v>
      </c>
      <c r="F1089" s="12" t="s">
        <v>36</v>
      </c>
      <c r="G1089" s="12" t="n">
        <v>1.4</v>
      </c>
      <c r="H1089" s="12" t="n">
        <v>2.64</v>
      </c>
      <c r="I1089" s="12" t="s">
        <v>293</v>
      </c>
      <c r="J1089" s="12" t="n">
        <v>6</v>
      </c>
      <c r="K1089" s="12" t="n">
        <v>5</v>
      </c>
      <c r="L1089" s="28" t="n">
        <v>0</v>
      </c>
      <c r="M1089" s="12" t="str">
        <f aca="false">IF(L1089=1,COUNTIFS($C$2:$C$1090,C1089,$L$2:$L$1090,1),"")</f>
        <v/>
      </c>
      <c r="N1089" s="12" t="str">
        <f aca="false">IF(L1089=1,1+COUNTIFS($C$2:$C$1090,C1089,$L$2:$L$1090,1,$G$2:$G$1090,"&gt;"&amp;G1089),"")</f>
        <v/>
      </c>
      <c r="O1089" s="12" t="str">
        <f aca="false">IF(L1089=1,1+COUNTIFS($C$2:$C$1090,C1089,$L$2:$L$1090,1,$H$2:$H$1090,"&gt;"&amp;H1089),"")</f>
        <v/>
      </c>
      <c r="P1089" s="12" t="str">
        <f aca="false">IF(L1089=1,N1089-O1089,"")</f>
        <v/>
      </c>
      <c r="Q1089" s="12" t="n">
        <f aca="false">INDEX(Directions!$D$2:$D$100,MATCH(C1089,Directions!$A$2:$A$100,0))</f>
        <v>0</v>
      </c>
      <c r="R1089" s="12" t="str">
        <f aca="false">IF(L1089=1,P1089*Q1089,"")</f>
        <v/>
      </c>
      <c r="S1089" s="12" t="str">
        <f aca="false">IF(L1089&lt;&gt;1,"Excluded",IF(Q1089=0,"No direction",IF(R1089&gt;0,"Better",IF(R1089&lt;0,"Worse","No change"))))</f>
        <v>Excluded</v>
      </c>
      <c r="T1089" s="12" t="s">
        <v>337</v>
      </c>
      <c r="U1089" s="12" t="str">
        <f aca="false">C1089&amp;"|"&amp;E1089</f>
        <v>F11_10|JPN</v>
      </c>
    </row>
    <row r="1090" customFormat="false" ht="15" hidden="false" customHeight="false" outlineLevel="0" collapsed="false">
      <c r="A1090" s="12" t="n">
        <v>11</v>
      </c>
      <c r="B1090" s="12" t="s">
        <v>41</v>
      </c>
      <c r="C1090" s="12" t="s">
        <v>262</v>
      </c>
      <c r="D1090" s="12" t="s">
        <v>263</v>
      </c>
      <c r="E1090" s="12" t="s">
        <v>290</v>
      </c>
      <c r="F1090" s="12" t="s">
        <v>37</v>
      </c>
      <c r="G1090" s="12" t="n">
        <v>1.7</v>
      </c>
      <c r="H1090" s="12" t="n">
        <v>3.25</v>
      </c>
      <c r="I1090" s="12" t="s">
        <v>293</v>
      </c>
      <c r="J1090" s="12" t="n">
        <v>4</v>
      </c>
      <c r="K1090" s="12" t="n">
        <v>3</v>
      </c>
      <c r="L1090" s="28" t="n">
        <v>0</v>
      </c>
      <c r="M1090" s="12" t="str">
        <f aca="false">IF(L1090=1,COUNTIFS($C$2:$C$1090,C1090,$L$2:$L$1090,1),"")</f>
        <v/>
      </c>
      <c r="N1090" s="12" t="str">
        <f aca="false">IF(L1090=1,1+COUNTIFS($C$2:$C$1090,C1090,$L$2:$L$1090,1,$G$2:$G$1090,"&gt;"&amp;G1090),"")</f>
        <v/>
      </c>
      <c r="O1090" s="12" t="str">
        <f aca="false">IF(L1090=1,1+COUNTIFS($C$2:$C$1090,C1090,$L$2:$L$1090,1,$H$2:$H$1090,"&gt;"&amp;H1090),"")</f>
        <v/>
      </c>
      <c r="P1090" s="12" t="str">
        <f aca="false">IF(L1090=1,N1090-O1090,"")</f>
        <v/>
      </c>
      <c r="Q1090" s="12" t="n">
        <f aca="false">INDEX(Directions!$D$2:$D$100,MATCH(C1090,Directions!$A$2:$A$100,0))</f>
        <v>0</v>
      </c>
      <c r="R1090" s="12" t="str">
        <f aca="false">IF(L1090=1,P1090*Q1090,"")</f>
        <v/>
      </c>
      <c r="S1090" s="12" t="str">
        <f aca="false">IF(L1090&lt;&gt;1,"Excluded",IF(Q1090=0,"No direction",IF(R1090&gt;0,"Better",IF(R1090&lt;0,"Worse","No change"))))</f>
        <v>Excluded</v>
      </c>
      <c r="T1090" s="12" t="s">
        <v>337</v>
      </c>
      <c r="U1090" s="12" t="str">
        <f aca="false">C1090&amp;"|"&amp;E1090</f>
        <v>F11_10|AUS</v>
      </c>
    </row>
  </sheetData>
  <autoFilter ref="A1:U1090"/>
  <conditionalFormatting sqref="S2:S1090">
    <cfRule type="cellIs" priority="2" operator="equal" aboveAverage="0" equalAverage="0" bottom="0" percent="0" rank="0" text="" dxfId="0">
      <formula>"Better"</formula>
    </cfRule>
    <cfRule type="cellIs" priority="3" operator="equal" aboveAverage="0" equalAverage="0" bottom="0" percent="0" rank="0" text="" dxfId="1">
      <formula>"Worse"</formula>
    </cfRule>
  </conditionalFormatting>
  <conditionalFormatting sqref="P2:P1090">
    <cfRule type="cellIs" priority="4" operator="greaterThan" aboveAverage="0" equalAverage="0" bottom="0" percent="0" rank="0" text="" dxfId="10">
      <formula>0</formula>
    </cfRule>
    <cfRule type="cellIs" priority="5" operator="lessThan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14" min="4" style="0" width="9"/>
  </cols>
  <sheetData>
    <row r="1" customFormat="false" ht="16.15" hidden="false" customHeight="false" outlineLevel="0" collapsed="false">
      <c r="A1" s="4" t="s">
        <v>338</v>
      </c>
    </row>
    <row r="2" customFormat="false" ht="15" hidden="false" customHeight="false" outlineLevel="0" collapsed="false">
      <c r="A2" s="5" t="s">
        <v>339</v>
      </c>
    </row>
    <row r="4" customFormat="false" ht="19.5" hidden="false" customHeight="true" outlineLevel="0" collapsed="false">
      <c r="A4" s="6" t="s">
        <v>45</v>
      </c>
      <c r="B4" s="6" t="s">
        <v>264</v>
      </c>
      <c r="C4" s="6" t="s">
        <v>47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35</v>
      </c>
      <c r="M4" s="6" t="s">
        <v>36</v>
      </c>
      <c r="N4" s="6" t="s">
        <v>37</v>
      </c>
    </row>
    <row r="5" customFormat="false" ht="15" hidden="false" customHeight="false" outlineLevel="0" collapsed="false">
      <c r="A5" s="12" t="s">
        <v>59</v>
      </c>
      <c r="B5" s="12" t="s">
        <v>42</v>
      </c>
      <c r="C5" s="12" t="s">
        <v>60</v>
      </c>
      <c r="D5" s="26" t="n">
        <f aca="false">IFERROR(IF(INDEX(Rank_Changes!$R$2:$R$1090,MATCH($A5&amp;"|"&amp;"USA",Rank_Changes!$U$2:$U$1090,0))="","–",INDEX(Rank_Changes!$R$2:$R$1090,MATCH($A5&amp;"|"&amp;"USA",Rank_Changes!$U$2:$U$1090,0))),"–")</f>
        <v>-0</v>
      </c>
      <c r="E5" s="26" t="n">
        <f aca="false">IFERROR(IF(INDEX(Rank_Changes!$R$2:$R$1090,MATCH($A5&amp;"|"&amp;"GBR",Rank_Changes!$U$2:$U$1090,0))="","–",INDEX(Rank_Changes!$R$2:$R$1090,MATCH($A5&amp;"|"&amp;"GBR",Rank_Changes!$U$2:$U$1090,0))),"–")</f>
        <v>-0</v>
      </c>
      <c r="F5" s="26" t="n">
        <f aca="false">IFERROR(IF(INDEX(Rank_Changes!$R$2:$R$1090,MATCH($A5&amp;"|"&amp;"DEU",Rank_Changes!$U$2:$U$1090,0))="","–",INDEX(Rank_Changes!$R$2:$R$1090,MATCH($A5&amp;"|"&amp;"DEU",Rank_Changes!$U$2:$U$1090,0))),"–")</f>
        <v>-2</v>
      </c>
      <c r="G5" s="26" t="n">
        <f aca="false">IFERROR(IF(INDEX(Rank_Changes!$R$2:$R$1090,MATCH($A5&amp;"|"&amp;"SWE",Rank_Changes!$U$2:$U$1090,0))="","–",INDEX(Rank_Changes!$R$2:$R$1090,MATCH($A5&amp;"|"&amp;"SWE",Rank_Changes!$U$2:$U$1090,0))),"–")</f>
        <v>2</v>
      </c>
      <c r="H5" s="26" t="n">
        <f aca="false">IFERROR(IF(INDEX(Rank_Changes!$R$2:$R$1090,MATCH($A5&amp;"|"&amp;"FRA",Rank_Changes!$U$2:$U$1090,0))="","–",INDEX(Rank_Changes!$R$2:$R$1090,MATCH($A5&amp;"|"&amp;"FRA",Rank_Changes!$U$2:$U$1090,0))),"–")</f>
        <v>-0</v>
      </c>
      <c r="I5" s="26" t="n">
        <f aca="false">IFERROR(IF(INDEX(Rank_Changes!$R$2:$R$1090,MATCH($A5&amp;"|"&amp;"NLD",Rank_Changes!$U$2:$U$1090,0))="","–",INDEX(Rank_Changes!$R$2:$R$1090,MATCH($A5&amp;"|"&amp;"NLD",Rank_Changes!$U$2:$U$1090,0))),"–")</f>
        <v>1</v>
      </c>
      <c r="J5" s="26" t="n">
        <f aca="false">IFERROR(IF(INDEX(Rank_Changes!$R$2:$R$1090,MATCH($A5&amp;"|"&amp;"CHE",Rank_Changes!$U$2:$U$1090,0))="","–",INDEX(Rank_Changes!$R$2:$R$1090,MATCH($A5&amp;"|"&amp;"CHE",Rank_Changes!$U$2:$U$1090,0))),"–")</f>
        <v>1</v>
      </c>
      <c r="K5" s="26" t="n">
        <f aca="false">IFERROR(IF(INDEX(Rank_Changes!$R$2:$R$1090,MATCH($A5&amp;"|"&amp;"DNK",Rank_Changes!$U$2:$U$1090,0))="","–",INDEX(Rank_Changes!$R$2:$R$1090,MATCH($A5&amp;"|"&amp;"DNK",Rank_Changes!$U$2:$U$1090,0))),"–")</f>
        <v>-0</v>
      </c>
      <c r="L5" s="26" t="n">
        <f aca="false">IFERROR(IF(INDEX(Rank_Changes!$R$2:$R$1090,MATCH($A5&amp;"|"&amp;"CAN",Rank_Changes!$U$2:$U$1090,0))="","–",INDEX(Rank_Changes!$R$2:$R$1090,MATCH($A5&amp;"|"&amp;"CAN",Rank_Changes!$U$2:$U$1090,0))),"–")</f>
        <v>1</v>
      </c>
      <c r="M5" s="26" t="n">
        <f aca="false">IFERROR(IF(INDEX(Rank_Changes!$R$2:$R$1090,MATCH($A5&amp;"|"&amp;"JPN",Rank_Changes!$U$2:$U$1090,0))="","–",INDEX(Rank_Changes!$R$2:$R$1090,MATCH($A5&amp;"|"&amp;"JPN",Rank_Changes!$U$2:$U$1090,0))),"–")</f>
        <v>-0</v>
      </c>
      <c r="N5" s="26" t="n">
        <f aca="false">IFERROR(IF(INDEX(Rank_Changes!$R$2:$R$1090,MATCH($A5&amp;"|"&amp;"AUS",Rank_Changes!$U$2:$U$1090,0))="","–",INDEX(Rank_Changes!$R$2:$R$1090,MATCH($A5&amp;"|"&amp;"AUS",Rank_Changes!$U$2:$U$1090,0))),"–")</f>
        <v>-1</v>
      </c>
    </row>
    <row r="6" customFormat="false" ht="15" hidden="false" customHeight="false" outlineLevel="0" collapsed="false">
      <c r="A6" s="12" t="s">
        <v>84</v>
      </c>
      <c r="B6" s="12" t="s">
        <v>42</v>
      </c>
      <c r="C6" s="12" t="s">
        <v>85</v>
      </c>
      <c r="D6" s="26" t="n">
        <f aca="false">IFERROR(IF(INDEX(Rank_Changes!$R$2:$R$1090,MATCH($A6&amp;"|"&amp;"USA",Rank_Changes!$U$2:$U$1090,0))="","–",INDEX(Rank_Changes!$R$2:$R$1090,MATCH($A6&amp;"|"&amp;"USA",Rank_Changes!$U$2:$U$1090,0))),"–")</f>
        <v>0</v>
      </c>
      <c r="E6" s="26" t="n">
        <f aca="false">IFERROR(IF(INDEX(Rank_Changes!$R$2:$R$1090,MATCH($A6&amp;"|"&amp;"GBR",Rank_Changes!$U$2:$U$1090,0))="","–",INDEX(Rank_Changes!$R$2:$R$1090,MATCH($A6&amp;"|"&amp;"GBR",Rank_Changes!$U$2:$U$1090,0))),"–")</f>
        <v>0</v>
      </c>
      <c r="F6" s="26" t="n">
        <f aca="false">IFERROR(IF(INDEX(Rank_Changes!$R$2:$R$1090,MATCH($A6&amp;"|"&amp;"DEU",Rank_Changes!$U$2:$U$1090,0))="","–",INDEX(Rank_Changes!$R$2:$R$1090,MATCH($A6&amp;"|"&amp;"DEU",Rank_Changes!$U$2:$U$1090,0))),"–")</f>
        <v>2</v>
      </c>
      <c r="G6" s="26" t="n">
        <f aca="false">IFERROR(IF(INDEX(Rank_Changes!$R$2:$R$1090,MATCH($A6&amp;"|"&amp;"SWE",Rank_Changes!$U$2:$U$1090,0))="","–",INDEX(Rank_Changes!$R$2:$R$1090,MATCH($A6&amp;"|"&amp;"SWE",Rank_Changes!$U$2:$U$1090,0))),"–")</f>
        <v>0</v>
      </c>
      <c r="H6" s="26" t="n">
        <f aca="false">IFERROR(IF(INDEX(Rank_Changes!$R$2:$R$1090,MATCH($A6&amp;"|"&amp;"FRA",Rank_Changes!$U$2:$U$1090,0))="","–",INDEX(Rank_Changes!$R$2:$R$1090,MATCH($A6&amp;"|"&amp;"FRA",Rank_Changes!$U$2:$U$1090,0))),"–")</f>
        <v>0</v>
      </c>
      <c r="I6" s="26" t="n">
        <f aca="false">IFERROR(IF(INDEX(Rank_Changes!$R$2:$R$1090,MATCH($A6&amp;"|"&amp;"NLD",Rank_Changes!$U$2:$U$1090,0))="","–",INDEX(Rank_Changes!$R$2:$R$1090,MATCH($A6&amp;"|"&amp;"NLD",Rank_Changes!$U$2:$U$1090,0))),"–")</f>
        <v>-2</v>
      </c>
      <c r="J6" s="26" t="n">
        <f aca="false">IFERROR(IF(INDEX(Rank_Changes!$R$2:$R$1090,MATCH($A6&amp;"|"&amp;"CHE",Rank_Changes!$U$2:$U$1090,0))="","–",INDEX(Rank_Changes!$R$2:$R$1090,MATCH($A6&amp;"|"&amp;"CHE",Rank_Changes!$U$2:$U$1090,0))),"–")</f>
        <v>0</v>
      </c>
      <c r="K6" s="26" t="n">
        <f aca="false">IFERROR(IF(INDEX(Rank_Changes!$R$2:$R$1090,MATCH($A6&amp;"|"&amp;"DNK",Rank_Changes!$U$2:$U$1090,0))="","–",INDEX(Rank_Changes!$R$2:$R$1090,MATCH($A6&amp;"|"&amp;"DNK",Rank_Changes!$U$2:$U$1090,0))),"–")</f>
        <v>0</v>
      </c>
      <c r="L6" s="26" t="n">
        <f aca="false">IFERROR(IF(INDEX(Rank_Changes!$R$2:$R$1090,MATCH($A6&amp;"|"&amp;"CAN",Rank_Changes!$U$2:$U$1090,0))="","–",INDEX(Rank_Changes!$R$2:$R$1090,MATCH($A6&amp;"|"&amp;"CAN",Rank_Changes!$U$2:$U$1090,0))),"–")</f>
        <v>0</v>
      </c>
      <c r="M6" s="26" t="n">
        <f aca="false">IFERROR(IF(INDEX(Rank_Changes!$R$2:$R$1090,MATCH($A6&amp;"|"&amp;"JPN",Rank_Changes!$U$2:$U$1090,0))="","–",INDEX(Rank_Changes!$R$2:$R$1090,MATCH($A6&amp;"|"&amp;"JPN",Rank_Changes!$U$2:$U$1090,0))),"–")</f>
        <v>0</v>
      </c>
      <c r="N6" s="26" t="n">
        <f aca="false">IFERROR(IF(INDEX(Rank_Changes!$R$2:$R$1090,MATCH($A6&amp;"|"&amp;"AUS",Rank_Changes!$U$2:$U$1090,0))="","–",INDEX(Rank_Changes!$R$2:$R$1090,MATCH($A6&amp;"|"&amp;"AUS",Rank_Changes!$U$2:$U$1090,0))),"–")</f>
        <v>0</v>
      </c>
    </row>
    <row r="7" customFormat="false" ht="15" hidden="false" customHeight="false" outlineLevel="0" collapsed="false">
      <c r="A7" s="12" t="s">
        <v>87</v>
      </c>
      <c r="B7" s="12" t="s">
        <v>39</v>
      </c>
      <c r="C7" s="12" t="s">
        <v>88</v>
      </c>
      <c r="D7" s="26" t="n">
        <f aca="false">IFERROR(IF(INDEX(Rank_Changes!$R$2:$R$1090,MATCH($A7&amp;"|"&amp;"USA",Rank_Changes!$U$2:$U$1090,0))="","–",INDEX(Rank_Changes!$R$2:$R$1090,MATCH($A7&amp;"|"&amp;"USA",Rank_Changes!$U$2:$U$1090,0))),"–")</f>
        <v>1</v>
      </c>
      <c r="E7" s="26" t="n">
        <f aca="false">IFERROR(IF(INDEX(Rank_Changes!$R$2:$R$1090,MATCH($A7&amp;"|"&amp;"GBR",Rank_Changes!$U$2:$U$1090,0))="","–",INDEX(Rank_Changes!$R$2:$R$1090,MATCH($A7&amp;"|"&amp;"GBR",Rank_Changes!$U$2:$U$1090,0))),"–")</f>
        <v>-0</v>
      </c>
      <c r="F7" s="26" t="n">
        <f aca="false">IFERROR(IF(INDEX(Rank_Changes!$R$2:$R$1090,MATCH($A7&amp;"|"&amp;"DEU",Rank_Changes!$U$2:$U$1090,0))="","–",INDEX(Rank_Changes!$R$2:$R$1090,MATCH($A7&amp;"|"&amp;"DEU",Rank_Changes!$U$2:$U$1090,0))),"–")</f>
        <v>2</v>
      </c>
      <c r="G7" s="26" t="n">
        <f aca="false">IFERROR(IF(INDEX(Rank_Changes!$R$2:$R$1090,MATCH($A7&amp;"|"&amp;"SWE",Rank_Changes!$U$2:$U$1090,0))="","–",INDEX(Rank_Changes!$R$2:$R$1090,MATCH($A7&amp;"|"&amp;"SWE",Rank_Changes!$U$2:$U$1090,0))),"–")</f>
        <v>-2</v>
      </c>
      <c r="H7" s="26" t="n">
        <f aca="false">IFERROR(IF(INDEX(Rank_Changes!$R$2:$R$1090,MATCH($A7&amp;"|"&amp;"FRA",Rank_Changes!$U$2:$U$1090,0))="","–",INDEX(Rank_Changes!$R$2:$R$1090,MATCH($A7&amp;"|"&amp;"FRA",Rank_Changes!$U$2:$U$1090,0))),"–")</f>
        <v>-0</v>
      </c>
      <c r="I7" s="26" t="n">
        <f aca="false">IFERROR(IF(INDEX(Rank_Changes!$R$2:$R$1090,MATCH($A7&amp;"|"&amp;"NLD",Rank_Changes!$U$2:$U$1090,0))="","–",INDEX(Rank_Changes!$R$2:$R$1090,MATCH($A7&amp;"|"&amp;"NLD",Rank_Changes!$U$2:$U$1090,0))),"–")</f>
        <v>1</v>
      </c>
      <c r="J7" s="26" t="n">
        <f aca="false">IFERROR(IF(INDEX(Rank_Changes!$R$2:$R$1090,MATCH($A7&amp;"|"&amp;"CHE",Rank_Changes!$U$2:$U$1090,0))="","–",INDEX(Rank_Changes!$R$2:$R$1090,MATCH($A7&amp;"|"&amp;"CHE",Rank_Changes!$U$2:$U$1090,0))),"–")</f>
        <v>-1</v>
      </c>
      <c r="K7" s="26" t="n">
        <f aca="false">IFERROR(IF(INDEX(Rank_Changes!$R$2:$R$1090,MATCH($A7&amp;"|"&amp;"DNK",Rank_Changes!$U$2:$U$1090,0))="","–",INDEX(Rank_Changes!$R$2:$R$1090,MATCH($A7&amp;"|"&amp;"DNK",Rank_Changes!$U$2:$U$1090,0))),"–")</f>
        <v>-0</v>
      </c>
      <c r="L7" s="26" t="n">
        <f aca="false">IFERROR(IF(INDEX(Rank_Changes!$R$2:$R$1090,MATCH($A7&amp;"|"&amp;"CAN",Rank_Changes!$U$2:$U$1090,0))="","–",INDEX(Rank_Changes!$R$2:$R$1090,MATCH($A7&amp;"|"&amp;"CAN",Rank_Changes!$U$2:$U$1090,0))),"–")</f>
        <v>2</v>
      </c>
      <c r="M7" s="26" t="n">
        <f aca="false">IFERROR(IF(INDEX(Rank_Changes!$R$2:$R$1090,MATCH($A7&amp;"|"&amp;"JPN",Rank_Changes!$U$2:$U$1090,0))="","–",INDEX(Rank_Changes!$R$2:$R$1090,MATCH($A7&amp;"|"&amp;"JPN",Rank_Changes!$U$2:$U$1090,0))),"–")</f>
        <v>-2</v>
      </c>
      <c r="N7" s="26" t="n">
        <f aca="false">IFERROR(IF(INDEX(Rank_Changes!$R$2:$R$1090,MATCH($A7&amp;"|"&amp;"AUS",Rank_Changes!$U$2:$U$1090,0))="","–",INDEX(Rank_Changes!$R$2:$R$1090,MATCH($A7&amp;"|"&amp;"AUS",Rank_Changes!$U$2:$U$1090,0))),"–")</f>
        <v>-1</v>
      </c>
    </row>
    <row r="8" customFormat="false" ht="15" hidden="false" customHeight="false" outlineLevel="0" collapsed="false">
      <c r="A8" s="12" t="s">
        <v>90</v>
      </c>
      <c r="B8" s="12" t="s">
        <v>39</v>
      </c>
      <c r="C8" s="12" t="s">
        <v>91</v>
      </c>
      <c r="D8" s="26" t="n">
        <f aca="false">IFERROR(IF(INDEX(Rank_Changes!$R$2:$R$1090,MATCH($A8&amp;"|"&amp;"USA",Rank_Changes!$U$2:$U$1090,0))="","–",INDEX(Rank_Changes!$R$2:$R$1090,MATCH($A8&amp;"|"&amp;"USA",Rank_Changes!$U$2:$U$1090,0))),"–")</f>
        <v>-3</v>
      </c>
      <c r="E8" s="26" t="n">
        <f aca="false">IFERROR(IF(INDEX(Rank_Changes!$R$2:$R$1090,MATCH($A8&amp;"|"&amp;"GBR",Rank_Changes!$U$2:$U$1090,0))="","–",INDEX(Rank_Changes!$R$2:$R$1090,MATCH($A8&amp;"|"&amp;"GBR",Rank_Changes!$U$2:$U$1090,0))),"–")</f>
        <v>2</v>
      </c>
      <c r="F8" s="26" t="n">
        <f aca="false">IFERROR(IF(INDEX(Rank_Changes!$R$2:$R$1090,MATCH($A8&amp;"|"&amp;"DEU",Rank_Changes!$U$2:$U$1090,0))="","–",INDEX(Rank_Changes!$R$2:$R$1090,MATCH($A8&amp;"|"&amp;"DEU",Rank_Changes!$U$2:$U$1090,0))),"–")</f>
        <v>-1</v>
      </c>
      <c r="G8" s="26" t="n">
        <f aca="false">IFERROR(IF(INDEX(Rank_Changes!$R$2:$R$1090,MATCH($A8&amp;"|"&amp;"SWE",Rank_Changes!$U$2:$U$1090,0))="","–",INDEX(Rank_Changes!$R$2:$R$1090,MATCH($A8&amp;"|"&amp;"SWE",Rank_Changes!$U$2:$U$1090,0))),"–")</f>
        <v>-1</v>
      </c>
      <c r="H8" s="26" t="n">
        <f aca="false">IFERROR(IF(INDEX(Rank_Changes!$R$2:$R$1090,MATCH($A8&amp;"|"&amp;"FRA",Rank_Changes!$U$2:$U$1090,0))="","–",INDEX(Rank_Changes!$R$2:$R$1090,MATCH($A8&amp;"|"&amp;"FRA",Rank_Changes!$U$2:$U$1090,0))),"–")</f>
        <v>1</v>
      </c>
      <c r="I8" s="26" t="n">
        <f aca="false">IFERROR(IF(INDEX(Rank_Changes!$R$2:$R$1090,MATCH($A8&amp;"|"&amp;"NLD",Rank_Changes!$U$2:$U$1090,0))="","–",INDEX(Rank_Changes!$R$2:$R$1090,MATCH($A8&amp;"|"&amp;"NLD",Rank_Changes!$U$2:$U$1090,0))),"–")</f>
        <v>-0</v>
      </c>
      <c r="J8" s="26" t="n">
        <f aca="false">IFERROR(IF(INDEX(Rank_Changes!$R$2:$R$1090,MATCH($A8&amp;"|"&amp;"CHE",Rank_Changes!$U$2:$U$1090,0))="","–",INDEX(Rank_Changes!$R$2:$R$1090,MATCH($A8&amp;"|"&amp;"CHE",Rank_Changes!$U$2:$U$1090,0))),"–")</f>
        <v>4</v>
      </c>
      <c r="K8" s="26" t="n">
        <f aca="false">IFERROR(IF(INDEX(Rank_Changes!$R$2:$R$1090,MATCH($A8&amp;"|"&amp;"DNK",Rank_Changes!$U$2:$U$1090,0))="","–",INDEX(Rank_Changes!$R$2:$R$1090,MATCH($A8&amp;"|"&amp;"DNK",Rank_Changes!$U$2:$U$1090,0))),"–")</f>
        <v>-1</v>
      </c>
      <c r="L8" s="26" t="n">
        <f aca="false">IFERROR(IF(INDEX(Rank_Changes!$R$2:$R$1090,MATCH($A8&amp;"|"&amp;"CAN",Rank_Changes!$U$2:$U$1090,0))="","–",INDEX(Rank_Changes!$R$2:$R$1090,MATCH($A8&amp;"|"&amp;"CAN",Rank_Changes!$U$2:$U$1090,0))),"–")</f>
        <v>-1</v>
      </c>
      <c r="M8" s="26" t="n">
        <f aca="false">IFERROR(IF(INDEX(Rank_Changes!$R$2:$R$1090,MATCH($A8&amp;"|"&amp;"JPN",Rank_Changes!$U$2:$U$1090,0))="","–",INDEX(Rank_Changes!$R$2:$R$1090,MATCH($A8&amp;"|"&amp;"JPN",Rank_Changes!$U$2:$U$1090,0))),"–")</f>
        <v>1</v>
      </c>
      <c r="N8" s="26" t="n">
        <f aca="false">IFERROR(IF(INDEX(Rank_Changes!$R$2:$R$1090,MATCH($A8&amp;"|"&amp;"AUS",Rank_Changes!$U$2:$U$1090,0))="","–",INDEX(Rank_Changes!$R$2:$R$1090,MATCH($A8&amp;"|"&amp;"AUS",Rank_Changes!$U$2:$U$1090,0))),"–")</f>
        <v>-1</v>
      </c>
    </row>
    <row r="9" customFormat="false" ht="15" hidden="false" customHeight="false" outlineLevel="0" collapsed="false">
      <c r="A9" s="12" t="s">
        <v>92</v>
      </c>
      <c r="B9" s="12" t="s">
        <v>39</v>
      </c>
      <c r="C9" s="12" t="s">
        <v>93</v>
      </c>
      <c r="D9" s="26" t="n">
        <f aca="false">IFERROR(IF(INDEX(Rank_Changes!$R$2:$R$1090,MATCH($A9&amp;"|"&amp;"USA",Rank_Changes!$U$2:$U$1090,0))="","–",INDEX(Rank_Changes!$R$2:$R$1090,MATCH($A9&amp;"|"&amp;"USA",Rank_Changes!$U$2:$U$1090,0))),"–")</f>
        <v>-0</v>
      </c>
      <c r="E9" s="26" t="n">
        <f aca="false">IFERROR(IF(INDEX(Rank_Changes!$R$2:$R$1090,MATCH($A9&amp;"|"&amp;"GBR",Rank_Changes!$U$2:$U$1090,0))="","–",INDEX(Rank_Changes!$R$2:$R$1090,MATCH($A9&amp;"|"&amp;"GBR",Rank_Changes!$U$2:$U$1090,0))),"–")</f>
        <v>-1</v>
      </c>
      <c r="F9" s="26" t="str">
        <f aca="false">IFERROR(IF(INDEX(Rank_Changes!$R$2:$R$1090,MATCH($A9&amp;"|"&amp;"DEU",Rank_Changes!$U$2:$U$1090,0))="","–",INDEX(Rank_Changes!$R$2:$R$1090,MATCH($A9&amp;"|"&amp;"DEU",Rank_Changes!$U$2:$U$1090,0))),"–")</f>
        <v>–</v>
      </c>
      <c r="G9" s="26" t="n">
        <f aca="false">IFERROR(IF(INDEX(Rank_Changes!$R$2:$R$1090,MATCH($A9&amp;"|"&amp;"SWE",Rank_Changes!$U$2:$U$1090,0))="","–",INDEX(Rank_Changes!$R$2:$R$1090,MATCH($A9&amp;"|"&amp;"SWE",Rank_Changes!$U$2:$U$1090,0))),"–")</f>
        <v>-1</v>
      </c>
      <c r="H9" s="26" t="n">
        <f aca="false">IFERROR(IF(INDEX(Rank_Changes!$R$2:$R$1090,MATCH($A9&amp;"|"&amp;"FRA",Rank_Changes!$U$2:$U$1090,0))="","–",INDEX(Rank_Changes!$R$2:$R$1090,MATCH($A9&amp;"|"&amp;"FRA",Rank_Changes!$U$2:$U$1090,0))),"–")</f>
        <v>3</v>
      </c>
      <c r="I9" s="26" t="n">
        <f aca="false">IFERROR(IF(INDEX(Rank_Changes!$R$2:$R$1090,MATCH($A9&amp;"|"&amp;"NLD",Rank_Changes!$U$2:$U$1090,0))="","–",INDEX(Rank_Changes!$R$2:$R$1090,MATCH($A9&amp;"|"&amp;"NLD",Rank_Changes!$U$2:$U$1090,0))),"–")</f>
        <v>-0</v>
      </c>
      <c r="J9" s="26" t="n">
        <f aca="false">IFERROR(IF(INDEX(Rank_Changes!$R$2:$R$1090,MATCH($A9&amp;"|"&amp;"CHE",Rank_Changes!$U$2:$U$1090,0))="","–",INDEX(Rank_Changes!$R$2:$R$1090,MATCH($A9&amp;"|"&amp;"CHE",Rank_Changes!$U$2:$U$1090,0))),"–")</f>
        <v>-0</v>
      </c>
      <c r="K9" s="26" t="n">
        <f aca="false">IFERROR(IF(INDEX(Rank_Changes!$R$2:$R$1090,MATCH($A9&amp;"|"&amp;"DNK",Rank_Changes!$U$2:$U$1090,0))="","–",INDEX(Rank_Changes!$R$2:$R$1090,MATCH($A9&amp;"|"&amp;"DNK",Rank_Changes!$U$2:$U$1090,0))),"–")</f>
        <v>-1</v>
      </c>
      <c r="L9" s="26" t="n">
        <f aca="false">IFERROR(IF(INDEX(Rank_Changes!$R$2:$R$1090,MATCH($A9&amp;"|"&amp;"CAN",Rank_Changes!$U$2:$U$1090,0))="","–",INDEX(Rank_Changes!$R$2:$R$1090,MATCH($A9&amp;"|"&amp;"CAN",Rank_Changes!$U$2:$U$1090,0))),"–")</f>
        <v>-0</v>
      </c>
      <c r="M9" s="26" t="n">
        <f aca="false">IFERROR(IF(INDEX(Rank_Changes!$R$2:$R$1090,MATCH($A9&amp;"|"&amp;"JPN",Rank_Changes!$U$2:$U$1090,0))="","–",INDEX(Rank_Changes!$R$2:$R$1090,MATCH($A9&amp;"|"&amp;"JPN",Rank_Changes!$U$2:$U$1090,0))),"–")</f>
        <v>-0</v>
      </c>
      <c r="N9" s="26" t="n">
        <f aca="false">IFERROR(IF(INDEX(Rank_Changes!$R$2:$R$1090,MATCH($A9&amp;"|"&amp;"AUS",Rank_Changes!$U$2:$U$1090,0))="","–",INDEX(Rank_Changes!$R$2:$R$1090,MATCH($A9&amp;"|"&amp;"AUS",Rank_Changes!$U$2:$U$1090,0))),"–")</f>
        <v>1</v>
      </c>
    </row>
    <row r="10" customFormat="false" ht="15" hidden="false" customHeight="false" outlineLevel="0" collapsed="false">
      <c r="A10" s="12" t="s">
        <v>94</v>
      </c>
      <c r="B10" s="12" t="s">
        <v>39</v>
      </c>
      <c r="C10" s="12" t="s">
        <v>95</v>
      </c>
      <c r="D10" s="26" t="n">
        <f aca="false">IFERROR(IF(INDEX(Rank_Changes!$R$2:$R$1090,MATCH($A10&amp;"|"&amp;"USA",Rank_Changes!$U$2:$U$1090,0))="","–",INDEX(Rank_Changes!$R$2:$R$1090,MATCH($A10&amp;"|"&amp;"USA",Rank_Changes!$U$2:$U$1090,0))),"–")</f>
        <v>0</v>
      </c>
      <c r="E10" s="26" t="n">
        <f aca="false">IFERROR(IF(INDEX(Rank_Changes!$R$2:$R$1090,MATCH($A10&amp;"|"&amp;"GBR",Rank_Changes!$U$2:$U$1090,0))="","–",INDEX(Rank_Changes!$R$2:$R$1090,MATCH($A10&amp;"|"&amp;"GBR",Rank_Changes!$U$2:$U$1090,0))),"–")</f>
        <v>-1</v>
      </c>
      <c r="F10" s="26" t="n">
        <f aca="false">IFERROR(IF(INDEX(Rank_Changes!$R$2:$R$1090,MATCH($A10&amp;"|"&amp;"DEU",Rank_Changes!$U$2:$U$1090,0))="","–",INDEX(Rank_Changes!$R$2:$R$1090,MATCH($A10&amp;"|"&amp;"DEU",Rank_Changes!$U$2:$U$1090,0))),"–")</f>
        <v>0</v>
      </c>
      <c r="G10" s="26" t="n">
        <f aca="false">IFERROR(IF(INDEX(Rank_Changes!$R$2:$R$1090,MATCH($A10&amp;"|"&amp;"SWE",Rank_Changes!$U$2:$U$1090,0))="","–",INDEX(Rank_Changes!$R$2:$R$1090,MATCH($A10&amp;"|"&amp;"SWE",Rank_Changes!$U$2:$U$1090,0))),"–")</f>
        <v>2</v>
      </c>
      <c r="H10" s="26" t="n">
        <f aca="false">IFERROR(IF(INDEX(Rank_Changes!$R$2:$R$1090,MATCH($A10&amp;"|"&amp;"FRA",Rank_Changes!$U$2:$U$1090,0))="","–",INDEX(Rank_Changes!$R$2:$R$1090,MATCH($A10&amp;"|"&amp;"FRA",Rank_Changes!$U$2:$U$1090,0))),"–")</f>
        <v>0</v>
      </c>
      <c r="I10" s="26" t="n">
        <f aca="false">IFERROR(IF(INDEX(Rank_Changes!$R$2:$R$1090,MATCH($A10&amp;"|"&amp;"NLD",Rank_Changes!$U$2:$U$1090,0))="","–",INDEX(Rank_Changes!$R$2:$R$1090,MATCH($A10&amp;"|"&amp;"NLD",Rank_Changes!$U$2:$U$1090,0))),"–")</f>
        <v>-1</v>
      </c>
      <c r="J10" s="26" t="n">
        <f aca="false">IFERROR(IF(INDEX(Rank_Changes!$R$2:$R$1090,MATCH($A10&amp;"|"&amp;"CHE",Rank_Changes!$U$2:$U$1090,0))="","–",INDEX(Rank_Changes!$R$2:$R$1090,MATCH($A10&amp;"|"&amp;"CHE",Rank_Changes!$U$2:$U$1090,0))),"–")</f>
        <v>1</v>
      </c>
      <c r="K10" s="26" t="n">
        <f aca="false">IFERROR(IF(INDEX(Rank_Changes!$R$2:$R$1090,MATCH($A10&amp;"|"&amp;"DNK",Rank_Changes!$U$2:$U$1090,0))="","–",INDEX(Rank_Changes!$R$2:$R$1090,MATCH($A10&amp;"|"&amp;"DNK",Rank_Changes!$U$2:$U$1090,0))),"–")</f>
        <v>2</v>
      </c>
      <c r="L10" s="26" t="n">
        <f aca="false">IFERROR(IF(INDEX(Rank_Changes!$R$2:$R$1090,MATCH($A10&amp;"|"&amp;"CAN",Rank_Changes!$U$2:$U$1090,0))="","–",INDEX(Rank_Changes!$R$2:$R$1090,MATCH($A10&amp;"|"&amp;"CAN",Rank_Changes!$U$2:$U$1090,0))),"–")</f>
        <v>0</v>
      </c>
      <c r="M10" s="26" t="n">
        <f aca="false">IFERROR(IF(INDEX(Rank_Changes!$R$2:$R$1090,MATCH($A10&amp;"|"&amp;"JPN",Rank_Changes!$U$2:$U$1090,0))="","–",INDEX(Rank_Changes!$R$2:$R$1090,MATCH($A10&amp;"|"&amp;"JPN",Rank_Changes!$U$2:$U$1090,0))),"–")</f>
        <v>-1</v>
      </c>
      <c r="N10" s="26" t="n">
        <f aca="false">IFERROR(IF(INDEX(Rank_Changes!$R$2:$R$1090,MATCH($A10&amp;"|"&amp;"AUS",Rank_Changes!$U$2:$U$1090,0))="","–",INDEX(Rank_Changes!$R$2:$R$1090,MATCH($A10&amp;"|"&amp;"AUS",Rank_Changes!$U$2:$U$1090,0))),"–")</f>
        <v>-1</v>
      </c>
    </row>
    <row r="11" customFormat="false" ht="15" hidden="false" customHeight="false" outlineLevel="0" collapsed="false">
      <c r="A11" s="12" t="s">
        <v>97</v>
      </c>
      <c r="B11" s="12" t="s">
        <v>39</v>
      </c>
      <c r="C11" s="12" t="s">
        <v>98</v>
      </c>
      <c r="D11" s="26" t="n">
        <f aca="false">IFERROR(IF(INDEX(Rank_Changes!$R$2:$R$1090,MATCH($A11&amp;"|"&amp;"USA",Rank_Changes!$U$2:$U$1090,0))="","–",INDEX(Rank_Changes!$R$2:$R$1090,MATCH($A11&amp;"|"&amp;"USA",Rank_Changes!$U$2:$U$1090,0))),"–")</f>
        <v>0</v>
      </c>
      <c r="E11" s="26" t="n">
        <f aca="false">IFERROR(IF(INDEX(Rank_Changes!$R$2:$R$1090,MATCH($A11&amp;"|"&amp;"GBR",Rank_Changes!$U$2:$U$1090,0))="","–",INDEX(Rank_Changes!$R$2:$R$1090,MATCH($A11&amp;"|"&amp;"GBR",Rank_Changes!$U$2:$U$1090,0))),"–")</f>
        <v>-2</v>
      </c>
      <c r="F11" s="26" t="n">
        <f aca="false">IFERROR(IF(INDEX(Rank_Changes!$R$2:$R$1090,MATCH($A11&amp;"|"&amp;"DEU",Rank_Changes!$U$2:$U$1090,0))="","–",INDEX(Rank_Changes!$R$2:$R$1090,MATCH($A11&amp;"|"&amp;"DEU",Rank_Changes!$U$2:$U$1090,0))),"–")</f>
        <v>0</v>
      </c>
      <c r="G11" s="26" t="n">
        <f aca="false">IFERROR(IF(INDEX(Rank_Changes!$R$2:$R$1090,MATCH($A11&amp;"|"&amp;"SWE",Rank_Changes!$U$2:$U$1090,0))="","–",INDEX(Rank_Changes!$R$2:$R$1090,MATCH($A11&amp;"|"&amp;"SWE",Rank_Changes!$U$2:$U$1090,0))),"–")</f>
        <v>3</v>
      </c>
      <c r="H11" s="26" t="n">
        <f aca="false">IFERROR(IF(INDEX(Rank_Changes!$R$2:$R$1090,MATCH($A11&amp;"|"&amp;"FRA",Rank_Changes!$U$2:$U$1090,0))="","–",INDEX(Rank_Changes!$R$2:$R$1090,MATCH($A11&amp;"|"&amp;"FRA",Rank_Changes!$U$2:$U$1090,0))),"–")</f>
        <v>-2</v>
      </c>
      <c r="I11" s="26" t="n">
        <f aca="false">IFERROR(IF(INDEX(Rank_Changes!$R$2:$R$1090,MATCH($A11&amp;"|"&amp;"NLD",Rank_Changes!$U$2:$U$1090,0))="","–",INDEX(Rank_Changes!$R$2:$R$1090,MATCH($A11&amp;"|"&amp;"NLD",Rank_Changes!$U$2:$U$1090,0))),"–")</f>
        <v>-2</v>
      </c>
      <c r="J11" s="26" t="n">
        <f aca="false">IFERROR(IF(INDEX(Rank_Changes!$R$2:$R$1090,MATCH($A11&amp;"|"&amp;"CHE",Rank_Changes!$U$2:$U$1090,0))="","–",INDEX(Rank_Changes!$R$2:$R$1090,MATCH($A11&amp;"|"&amp;"CHE",Rank_Changes!$U$2:$U$1090,0))),"–")</f>
        <v>0</v>
      </c>
      <c r="K11" s="26" t="n">
        <f aca="false">IFERROR(IF(INDEX(Rank_Changes!$R$2:$R$1090,MATCH($A11&amp;"|"&amp;"DNK",Rank_Changes!$U$2:$U$1090,0))="","–",INDEX(Rank_Changes!$R$2:$R$1090,MATCH($A11&amp;"|"&amp;"DNK",Rank_Changes!$U$2:$U$1090,0))),"–")</f>
        <v>4</v>
      </c>
      <c r="L11" s="26" t="n">
        <f aca="false">IFERROR(IF(INDEX(Rank_Changes!$R$2:$R$1090,MATCH($A11&amp;"|"&amp;"CAN",Rank_Changes!$U$2:$U$1090,0))="","–",INDEX(Rank_Changes!$R$2:$R$1090,MATCH($A11&amp;"|"&amp;"CAN",Rank_Changes!$U$2:$U$1090,0))),"–")</f>
        <v>-4</v>
      </c>
      <c r="M11" s="26" t="n">
        <f aca="false">IFERROR(IF(INDEX(Rank_Changes!$R$2:$R$1090,MATCH($A11&amp;"|"&amp;"JPN",Rank_Changes!$U$2:$U$1090,0))="","–",INDEX(Rank_Changes!$R$2:$R$1090,MATCH($A11&amp;"|"&amp;"JPN",Rank_Changes!$U$2:$U$1090,0))),"–")</f>
        <v>0</v>
      </c>
      <c r="N11" s="26" t="n">
        <f aca="false">IFERROR(IF(INDEX(Rank_Changes!$R$2:$R$1090,MATCH($A11&amp;"|"&amp;"AUS",Rank_Changes!$U$2:$U$1090,0))="","–",INDEX(Rank_Changes!$R$2:$R$1090,MATCH($A11&amp;"|"&amp;"AUS",Rank_Changes!$U$2:$U$1090,0))),"–")</f>
        <v>3</v>
      </c>
    </row>
    <row r="12" customFormat="false" ht="15" hidden="false" customHeight="false" outlineLevel="0" collapsed="false">
      <c r="A12" s="12" t="s">
        <v>99</v>
      </c>
      <c r="B12" s="12" t="s">
        <v>39</v>
      </c>
      <c r="C12" s="12" t="s">
        <v>100</v>
      </c>
      <c r="D12" s="26" t="n">
        <f aca="false">IFERROR(IF(INDEX(Rank_Changes!$R$2:$R$1090,MATCH($A12&amp;"|"&amp;"USA",Rank_Changes!$U$2:$U$1090,0))="","–",INDEX(Rank_Changes!$R$2:$R$1090,MATCH($A12&amp;"|"&amp;"USA",Rank_Changes!$U$2:$U$1090,0))),"–")</f>
        <v>0</v>
      </c>
      <c r="E12" s="26" t="n">
        <f aca="false">IFERROR(IF(INDEX(Rank_Changes!$R$2:$R$1090,MATCH($A12&amp;"|"&amp;"GBR",Rank_Changes!$U$2:$U$1090,0))="","–",INDEX(Rank_Changes!$R$2:$R$1090,MATCH($A12&amp;"|"&amp;"GBR",Rank_Changes!$U$2:$U$1090,0))),"–")</f>
        <v>1</v>
      </c>
      <c r="F12" s="26" t="n">
        <f aca="false">IFERROR(IF(INDEX(Rank_Changes!$R$2:$R$1090,MATCH($A12&amp;"|"&amp;"DEU",Rank_Changes!$U$2:$U$1090,0))="","–",INDEX(Rank_Changes!$R$2:$R$1090,MATCH($A12&amp;"|"&amp;"DEU",Rank_Changes!$U$2:$U$1090,0))),"–")</f>
        <v>-1</v>
      </c>
      <c r="G12" s="26" t="n">
        <f aca="false">IFERROR(IF(INDEX(Rank_Changes!$R$2:$R$1090,MATCH($A12&amp;"|"&amp;"SWE",Rank_Changes!$U$2:$U$1090,0))="","–",INDEX(Rank_Changes!$R$2:$R$1090,MATCH($A12&amp;"|"&amp;"SWE",Rank_Changes!$U$2:$U$1090,0))),"–")</f>
        <v>1</v>
      </c>
      <c r="H12" s="26" t="n">
        <f aca="false">IFERROR(IF(INDEX(Rank_Changes!$R$2:$R$1090,MATCH($A12&amp;"|"&amp;"FRA",Rank_Changes!$U$2:$U$1090,0))="","–",INDEX(Rank_Changes!$R$2:$R$1090,MATCH($A12&amp;"|"&amp;"FRA",Rank_Changes!$U$2:$U$1090,0))),"–")</f>
        <v>0</v>
      </c>
      <c r="I12" s="26" t="n">
        <f aca="false">IFERROR(IF(INDEX(Rank_Changes!$R$2:$R$1090,MATCH($A12&amp;"|"&amp;"NLD",Rank_Changes!$U$2:$U$1090,0))="","–",INDEX(Rank_Changes!$R$2:$R$1090,MATCH($A12&amp;"|"&amp;"NLD",Rank_Changes!$U$2:$U$1090,0))),"–")</f>
        <v>-3</v>
      </c>
      <c r="J12" s="26" t="n">
        <f aca="false">IFERROR(IF(INDEX(Rank_Changes!$R$2:$R$1090,MATCH($A12&amp;"|"&amp;"CHE",Rank_Changes!$U$2:$U$1090,0))="","–",INDEX(Rank_Changes!$R$2:$R$1090,MATCH($A12&amp;"|"&amp;"CHE",Rank_Changes!$U$2:$U$1090,0))),"–")</f>
        <v>1</v>
      </c>
      <c r="K12" s="26" t="n">
        <f aca="false">IFERROR(IF(INDEX(Rank_Changes!$R$2:$R$1090,MATCH($A12&amp;"|"&amp;"DNK",Rank_Changes!$U$2:$U$1090,0))="","–",INDEX(Rank_Changes!$R$2:$R$1090,MATCH($A12&amp;"|"&amp;"DNK",Rank_Changes!$U$2:$U$1090,0))),"–")</f>
        <v>3</v>
      </c>
      <c r="L12" s="26" t="n">
        <f aca="false">IFERROR(IF(INDEX(Rank_Changes!$R$2:$R$1090,MATCH($A12&amp;"|"&amp;"CAN",Rank_Changes!$U$2:$U$1090,0))="","–",INDEX(Rank_Changes!$R$2:$R$1090,MATCH($A12&amp;"|"&amp;"CAN",Rank_Changes!$U$2:$U$1090,0))),"–")</f>
        <v>-1</v>
      </c>
      <c r="M12" s="26" t="n">
        <f aca="false">IFERROR(IF(INDEX(Rank_Changes!$R$2:$R$1090,MATCH($A12&amp;"|"&amp;"JPN",Rank_Changes!$U$2:$U$1090,0))="","–",INDEX(Rank_Changes!$R$2:$R$1090,MATCH($A12&amp;"|"&amp;"JPN",Rank_Changes!$U$2:$U$1090,0))),"–")</f>
        <v>0</v>
      </c>
      <c r="N12" s="26" t="n">
        <f aca="false">IFERROR(IF(INDEX(Rank_Changes!$R$2:$R$1090,MATCH($A12&amp;"|"&amp;"AUS",Rank_Changes!$U$2:$U$1090,0))="","–",INDEX(Rank_Changes!$R$2:$R$1090,MATCH($A12&amp;"|"&amp;"AUS",Rank_Changes!$U$2:$U$1090,0))),"–")</f>
        <v>0</v>
      </c>
    </row>
    <row r="13" customFormat="false" ht="15" hidden="false" customHeight="false" outlineLevel="0" collapsed="false">
      <c r="A13" s="12" t="s">
        <v>101</v>
      </c>
      <c r="B13" s="12" t="s">
        <v>39</v>
      </c>
      <c r="C13" s="12" t="s">
        <v>102</v>
      </c>
      <c r="D13" s="26" t="n">
        <f aca="false">IFERROR(IF(INDEX(Rank_Changes!$R$2:$R$1090,MATCH($A13&amp;"|"&amp;"USA",Rank_Changes!$U$2:$U$1090,0))="","–",INDEX(Rank_Changes!$R$2:$R$1090,MATCH($A13&amp;"|"&amp;"USA",Rank_Changes!$U$2:$U$1090,0))),"–")</f>
        <v>0</v>
      </c>
      <c r="E13" s="26" t="n">
        <f aca="false">IFERROR(IF(INDEX(Rank_Changes!$R$2:$R$1090,MATCH($A13&amp;"|"&amp;"GBR",Rank_Changes!$U$2:$U$1090,0))="","–",INDEX(Rank_Changes!$R$2:$R$1090,MATCH($A13&amp;"|"&amp;"GBR",Rank_Changes!$U$2:$U$1090,0))),"–")</f>
        <v>-1</v>
      </c>
      <c r="F13" s="26" t="n">
        <f aca="false">IFERROR(IF(INDEX(Rank_Changes!$R$2:$R$1090,MATCH($A13&amp;"|"&amp;"DEU",Rank_Changes!$U$2:$U$1090,0))="","–",INDEX(Rank_Changes!$R$2:$R$1090,MATCH($A13&amp;"|"&amp;"DEU",Rank_Changes!$U$2:$U$1090,0))),"–")</f>
        <v>0</v>
      </c>
      <c r="G13" s="26" t="n">
        <f aca="false">IFERROR(IF(INDEX(Rank_Changes!$R$2:$R$1090,MATCH($A13&amp;"|"&amp;"SWE",Rank_Changes!$U$2:$U$1090,0))="","–",INDEX(Rank_Changes!$R$2:$R$1090,MATCH($A13&amp;"|"&amp;"SWE",Rank_Changes!$U$2:$U$1090,0))),"–")</f>
        <v>2</v>
      </c>
      <c r="H13" s="26" t="n">
        <f aca="false">IFERROR(IF(INDEX(Rank_Changes!$R$2:$R$1090,MATCH($A13&amp;"|"&amp;"FRA",Rank_Changes!$U$2:$U$1090,0))="","–",INDEX(Rank_Changes!$R$2:$R$1090,MATCH($A13&amp;"|"&amp;"FRA",Rank_Changes!$U$2:$U$1090,0))),"–")</f>
        <v>1</v>
      </c>
      <c r="I13" s="26" t="n">
        <f aca="false">IFERROR(IF(INDEX(Rank_Changes!$R$2:$R$1090,MATCH($A13&amp;"|"&amp;"NLD",Rank_Changes!$U$2:$U$1090,0))="","–",INDEX(Rank_Changes!$R$2:$R$1090,MATCH($A13&amp;"|"&amp;"NLD",Rank_Changes!$U$2:$U$1090,0))),"–")</f>
        <v>-1</v>
      </c>
      <c r="J13" s="26" t="n">
        <f aca="false">IFERROR(IF(INDEX(Rank_Changes!$R$2:$R$1090,MATCH($A13&amp;"|"&amp;"CHE",Rank_Changes!$U$2:$U$1090,0))="","–",INDEX(Rank_Changes!$R$2:$R$1090,MATCH($A13&amp;"|"&amp;"CHE",Rank_Changes!$U$2:$U$1090,0))),"–")</f>
        <v>0</v>
      </c>
      <c r="K13" s="26" t="n">
        <f aca="false">IFERROR(IF(INDEX(Rank_Changes!$R$2:$R$1090,MATCH($A13&amp;"|"&amp;"DNK",Rank_Changes!$U$2:$U$1090,0))="","–",INDEX(Rank_Changes!$R$2:$R$1090,MATCH($A13&amp;"|"&amp;"DNK",Rank_Changes!$U$2:$U$1090,0))),"–")</f>
        <v>1</v>
      </c>
      <c r="L13" s="26" t="n">
        <f aca="false">IFERROR(IF(INDEX(Rank_Changes!$R$2:$R$1090,MATCH($A13&amp;"|"&amp;"CAN",Rank_Changes!$U$2:$U$1090,0))="","–",INDEX(Rank_Changes!$R$2:$R$1090,MATCH($A13&amp;"|"&amp;"CAN",Rank_Changes!$U$2:$U$1090,0))),"–")</f>
        <v>0</v>
      </c>
      <c r="M13" s="26" t="n">
        <f aca="false">IFERROR(IF(INDEX(Rank_Changes!$R$2:$R$1090,MATCH($A13&amp;"|"&amp;"JPN",Rank_Changes!$U$2:$U$1090,0))="","–",INDEX(Rank_Changes!$R$2:$R$1090,MATCH($A13&amp;"|"&amp;"JPN",Rank_Changes!$U$2:$U$1090,0))),"–")</f>
        <v>-2</v>
      </c>
      <c r="N13" s="26" t="n">
        <f aca="false">IFERROR(IF(INDEX(Rank_Changes!$R$2:$R$1090,MATCH($A13&amp;"|"&amp;"AUS",Rank_Changes!$U$2:$U$1090,0))="","–",INDEX(Rank_Changes!$R$2:$R$1090,MATCH($A13&amp;"|"&amp;"AUS",Rank_Changes!$U$2:$U$1090,0))),"–")</f>
        <v>0</v>
      </c>
    </row>
    <row r="14" customFormat="false" ht="15" hidden="false" customHeight="false" outlineLevel="0" collapsed="false">
      <c r="A14" s="12" t="s">
        <v>103</v>
      </c>
      <c r="B14" s="12" t="s">
        <v>39</v>
      </c>
      <c r="C14" s="12" t="s">
        <v>104</v>
      </c>
      <c r="D14" s="26" t="n">
        <f aca="false">IFERROR(IF(INDEX(Rank_Changes!$R$2:$R$1090,MATCH($A14&amp;"|"&amp;"USA",Rank_Changes!$U$2:$U$1090,0))="","–",INDEX(Rank_Changes!$R$2:$R$1090,MATCH($A14&amp;"|"&amp;"USA",Rank_Changes!$U$2:$U$1090,0))),"–")</f>
        <v>-0</v>
      </c>
      <c r="E14" s="26" t="n">
        <f aca="false">IFERROR(IF(INDEX(Rank_Changes!$R$2:$R$1090,MATCH($A14&amp;"|"&amp;"GBR",Rank_Changes!$U$2:$U$1090,0))="","–",INDEX(Rank_Changes!$R$2:$R$1090,MATCH($A14&amp;"|"&amp;"GBR",Rank_Changes!$U$2:$U$1090,0))),"–")</f>
        <v>1</v>
      </c>
      <c r="F14" s="26" t="n">
        <f aca="false">IFERROR(IF(INDEX(Rank_Changes!$R$2:$R$1090,MATCH($A14&amp;"|"&amp;"DEU",Rank_Changes!$U$2:$U$1090,0))="","–",INDEX(Rank_Changes!$R$2:$R$1090,MATCH($A14&amp;"|"&amp;"DEU",Rank_Changes!$U$2:$U$1090,0))),"–")</f>
        <v>5</v>
      </c>
      <c r="G14" s="26" t="n">
        <f aca="false">IFERROR(IF(INDEX(Rank_Changes!$R$2:$R$1090,MATCH($A14&amp;"|"&amp;"SWE",Rank_Changes!$U$2:$U$1090,0))="","–",INDEX(Rank_Changes!$R$2:$R$1090,MATCH($A14&amp;"|"&amp;"SWE",Rank_Changes!$U$2:$U$1090,0))),"–")</f>
        <v>-3</v>
      </c>
      <c r="H14" s="26" t="n">
        <f aca="false">IFERROR(IF(INDEX(Rank_Changes!$R$2:$R$1090,MATCH($A14&amp;"|"&amp;"FRA",Rank_Changes!$U$2:$U$1090,0))="","–",INDEX(Rank_Changes!$R$2:$R$1090,MATCH($A14&amp;"|"&amp;"FRA",Rank_Changes!$U$2:$U$1090,0))),"–")</f>
        <v>-0</v>
      </c>
      <c r="I14" s="26" t="n">
        <f aca="false">IFERROR(IF(INDEX(Rank_Changes!$R$2:$R$1090,MATCH($A14&amp;"|"&amp;"NLD",Rank_Changes!$U$2:$U$1090,0))="","–",INDEX(Rank_Changes!$R$2:$R$1090,MATCH($A14&amp;"|"&amp;"NLD",Rank_Changes!$U$2:$U$1090,0))),"–")</f>
        <v>4</v>
      </c>
      <c r="J14" s="26" t="n">
        <f aca="false">IFERROR(IF(INDEX(Rank_Changes!$R$2:$R$1090,MATCH($A14&amp;"|"&amp;"CHE",Rank_Changes!$U$2:$U$1090,0))="","–",INDEX(Rank_Changes!$R$2:$R$1090,MATCH($A14&amp;"|"&amp;"CHE",Rank_Changes!$U$2:$U$1090,0))),"–")</f>
        <v>-2</v>
      </c>
      <c r="K14" s="26" t="n">
        <f aca="false">IFERROR(IF(INDEX(Rank_Changes!$R$2:$R$1090,MATCH($A14&amp;"|"&amp;"DNK",Rank_Changes!$U$2:$U$1090,0))="","–",INDEX(Rank_Changes!$R$2:$R$1090,MATCH($A14&amp;"|"&amp;"DNK",Rank_Changes!$U$2:$U$1090,0))),"–")</f>
        <v>-0</v>
      </c>
      <c r="L14" s="26" t="n">
        <f aca="false">IFERROR(IF(INDEX(Rank_Changes!$R$2:$R$1090,MATCH($A14&amp;"|"&amp;"CAN",Rank_Changes!$U$2:$U$1090,0))="","–",INDEX(Rank_Changes!$R$2:$R$1090,MATCH($A14&amp;"|"&amp;"CAN",Rank_Changes!$U$2:$U$1090,0))),"–")</f>
        <v>-3</v>
      </c>
      <c r="M14" s="26" t="n">
        <f aca="false">IFERROR(IF(INDEX(Rank_Changes!$R$2:$R$1090,MATCH($A14&amp;"|"&amp;"JPN",Rank_Changes!$U$2:$U$1090,0))="","–",INDEX(Rank_Changes!$R$2:$R$1090,MATCH($A14&amp;"|"&amp;"JPN",Rank_Changes!$U$2:$U$1090,0))),"–")</f>
        <v>1</v>
      </c>
      <c r="N14" s="26" t="n">
        <f aca="false">IFERROR(IF(INDEX(Rank_Changes!$R$2:$R$1090,MATCH($A14&amp;"|"&amp;"AUS",Rank_Changes!$U$2:$U$1090,0))="","–",INDEX(Rank_Changes!$R$2:$R$1090,MATCH($A14&amp;"|"&amp;"AUS",Rank_Changes!$U$2:$U$1090,0))),"–")</f>
        <v>-4</v>
      </c>
    </row>
    <row r="15" customFormat="false" ht="15" hidden="false" customHeight="false" outlineLevel="0" collapsed="false">
      <c r="A15" s="12" t="s">
        <v>106</v>
      </c>
      <c r="B15" s="12" t="s">
        <v>39</v>
      </c>
      <c r="C15" s="12" t="s">
        <v>107</v>
      </c>
      <c r="D15" s="26" t="n">
        <f aca="false">IFERROR(IF(INDEX(Rank_Changes!$R$2:$R$1090,MATCH($A15&amp;"|"&amp;"USA",Rank_Changes!$U$2:$U$1090,0))="","–",INDEX(Rank_Changes!$R$2:$R$1090,MATCH($A15&amp;"|"&amp;"USA",Rank_Changes!$U$2:$U$1090,0))),"–")</f>
        <v>-0</v>
      </c>
      <c r="E15" s="26" t="n">
        <f aca="false">IFERROR(IF(INDEX(Rank_Changes!$R$2:$R$1090,MATCH($A15&amp;"|"&amp;"GBR",Rank_Changes!$U$2:$U$1090,0))="","–",INDEX(Rank_Changes!$R$2:$R$1090,MATCH($A15&amp;"|"&amp;"GBR",Rank_Changes!$U$2:$U$1090,0))),"–")</f>
        <v>-0</v>
      </c>
      <c r="F15" s="26" t="n">
        <f aca="false">IFERROR(IF(INDEX(Rank_Changes!$R$2:$R$1090,MATCH($A15&amp;"|"&amp;"DEU",Rank_Changes!$U$2:$U$1090,0))="","–",INDEX(Rank_Changes!$R$2:$R$1090,MATCH($A15&amp;"|"&amp;"DEU",Rank_Changes!$U$2:$U$1090,0))),"–")</f>
        <v>-2</v>
      </c>
      <c r="G15" s="26" t="n">
        <f aca="false">IFERROR(IF(INDEX(Rank_Changes!$R$2:$R$1090,MATCH($A15&amp;"|"&amp;"SWE",Rank_Changes!$U$2:$U$1090,0))="","–",INDEX(Rank_Changes!$R$2:$R$1090,MATCH($A15&amp;"|"&amp;"SWE",Rank_Changes!$U$2:$U$1090,0))),"–")</f>
        <v>1</v>
      </c>
      <c r="H15" s="26" t="n">
        <f aca="false">IFERROR(IF(INDEX(Rank_Changes!$R$2:$R$1090,MATCH($A15&amp;"|"&amp;"FRA",Rank_Changes!$U$2:$U$1090,0))="","–",INDEX(Rank_Changes!$R$2:$R$1090,MATCH($A15&amp;"|"&amp;"FRA",Rank_Changes!$U$2:$U$1090,0))),"–")</f>
        <v>-1</v>
      </c>
      <c r="I15" s="26" t="n">
        <f aca="false">IFERROR(IF(INDEX(Rank_Changes!$R$2:$R$1090,MATCH($A15&amp;"|"&amp;"NLD",Rank_Changes!$U$2:$U$1090,0))="","–",INDEX(Rank_Changes!$R$2:$R$1090,MATCH($A15&amp;"|"&amp;"NLD",Rank_Changes!$U$2:$U$1090,0))),"–")</f>
        <v>-4</v>
      </c>
      <c r="J15" s="26" t="n">
        <f aca="false">IFERROR(IF(INDEX(Rank_Changes!$R$2:$R$1090,MATCH($A15&amp;"|"&amp;"CHE",Rank_Changes!$U$2:$U$1090,0))="","–",INDEX(Rank_Changes!$R$2:$R$1090,MATCH($A15&amp;"|"&amp;"CHE",Rank_Changes!$U$2:$U$1090,0))),"–")</f>
        <v>2</v>
      </c>
      <c r="K15" s="26" t="n">
        <f aca="false">IFERROR(IF(INDEX(Rank_Changes!$R$2:$R$1090,MATCH($A15&amp;"|"&amp;"DNK",Rank_Changes!$U$2:$U$1090,0))="","–",INDEX(Rank_Changes!$R$2:$R$1090,MATCH($A15&amp;"|"&amp;"DNK",Rank_Changes!$U$2:$U$1090,0))),"–")</f>
        <v>3</v>
      </c>
      <c r="L15" s="26" t="n">
        <f aca="false">IFERROR(IF(INDEX(Rank_Changes!$R$2:$R$1090,MATCH($A15&amp;"|"&amp;"CAN",Rank_Changes!$U$2:$U$1090,0))="","–",INDEX(Rank_Changes!$R$2:$R$1090,MATCH($A15&amp;"|"&amp;"CAN",Rank_Changes!$U$2:$U$1090,0))),"–")</f>
        <v>-0</v>
      </c>
      <c r="M15" s="26" t="n">
        <f aca="false">IFERROR(IF(INDEX(Rank_Changes!$R$2:$R$1090,MATCH($A15&amp;"|"&amp;"JPN",Rank_Changes!$U$2:$U$1090,0))="","–",INDEX(Rank_Changes!$R$2:$R$1090,MATCH($A15&amp;"|"&amp;"JPN",Rank_Changes!$U$2:$U$1090,0))),"–")</f>
        <v>-0</v>
      </c>
      <c r="N15" s="26" t="n">
        <f aca="false">IFERROR(IF(INDEX(Rank_Changes!$R$2:$R$1090,MATCH($A15&amp;"|"&amp;"AUS",Rank_Changes!$U$2:$U$1090,0))="","–",INDEX(Rank_Changes!$R$2:$R$1090,MATCH($A15&amp;"|"&amp;"AUS",Rank_Changes!$U$2:$U$1090,0))),"–")</f>
        <v>-3</v>
      </c>
    </row>
    <row r="16" customFormat="false" ht="15" hidden="false" customHeight="false" outlineLevel="0" collapsed="false">
      <c r="A16" s="12" t="s">
        <v>108</v>
      </c>
      <c r="B16" s="12" t="s">
        <v>39</v>
      </c>
      <c r="C16" s="12" t="s">
        <v>109</v>
      </c>
      <c r="D16" s="26" t="n">
        <f aca="false">IFERROR(IF(INDEX(Rank_Changes!$R$2:$R$1090,MATCH($A16&amp;"|"&amp;"USA",Rank_Changes!$U$2:$U$1090,0))="","–",INDEX(Rank_Changes!$R$2:$R$1090,MATCH($A16&amp;"|"&amp;"USA",Rank_Changes!$U$2:$U$1090,0))),"–")</f>
        <v>-0</v>
      </c>
      <c r="E16" s="26" t="n">
        <f aca="false">IFERROR(IF(INDEX(Rank_Changes!$R$2:$R$1090,MATCH($A16&amp;"|"&amp;"GBR",Rank_Changes!$U$2:$U$1090,0))="","–",INDEX(Rank_Changes!$R$2:$R$1090,MATCH($A16&amp;"|"&amp;"GBR",Rank_Changes!$U$2:$U$1090,0))),"–")</f>
        <v>-2</v>
      </c>
      <c r="F16" s="26" t="n">
        <f aca="false">IFERROR(IF(INDEX(Rank_Changes!$R$2:$R$1090,MATCH($A16&amp;"|"&amp;"DEU",Rank_Changes!$U$2:$U$1090,0))="","–",INDEX(Rank_Changes!$R$2:$R$1090,MATCH($A16&amp;"|"&amp;"DEU",Rank_Changes!$U$2:$U$1090,0))),"–")</f>
        <v>-1</v>
      </c>
      <c r="G16" s="26" t="n">
        <f aca="false">IFERROR(IF(INDEX(Rank_Changes!$R$2:$R$1090,MATCH($A16&amp;"|"&amp;"SWE",Rank_Changes!$U$2:$U$1090,0))="","–",INDEX(Rank_Changes!$R$2:$R$1090,MATCH($A16&amp;"|"&amp;"SWE",Rank_Changes!$U$2:$U$1090,0))),"–")</f>
        <v>-0</v>
      </c>
      <c r="H16" s="26" t="n">
        <f aca="false">IFERROR(IF(INDEX(Rank_Changes!$R$2:$R$1090,MATCH($A16&amp;"|"&amp;"FRA",Rank_Changes!$U$2:$U$1090,0))="","–",INDEX(Rank_Changes!$R$2:$R$1090,MATCH($A16&amp;"|"&amp;"FRA",Rank_Changes!$U$2:$U$1090,0))),"–")</f>
        <v>-2</v>
      </c>
      <c r="I16" s="26" t="n">
        <f aca="false">IFERROR(IF(INDEX(Rank_Changes!$R$2:$R$1090,MATCH($A16&amp;"|"&amp;"NLD",Rank_Changes!$U$2:$U$1090,0))="","–",INDEX(Rank_Changes!$R$2:$R$1090,MATCH($A16&amp;"|"&amp;"NLD",Rank_Changes!$U$2:$U$1090,0))),"–")</f>
        <v>-1</v>
      </c>
      <c r="J16" s="26" t="n">
        <f aca="false">IFERROR(IF(INDEX(Rank_Changes!$R$2:$R$1090,MATCH($A16&amp;"|"&amp;"CHE",Rank_Changes!$U$2:$U$1090,0))="","–",INDEX(Rank_Changes!$R$2:$R$1090,MATCH($A16&amp;"|"&amp;"CHE",Rank_Changes!$U$2:$U$1090,0))),"–")</f>
        <v>2</v>
      </c>
      <c r="K16" s="26" t="n">
        <f aca="false">IFERROR(IF(INDEX(Rank_Changes!$R$2:$R$1090,MATCH($A16&amp;"|"&amp;"DNK",Rank_Changes!$U$2:$U$1090,0))="","–",INDEX(Rank_Changes!$R$2:$R$1090,MATCH($A16&amp;"|"&amp;"DNK",Rank_Changes!$U$2:$U$1090,0))),"–")</f>
        <v>5</v>
      </c>
      <c r="L16" s="26" t="n">
        <f aca="false">IFERROR(IF(INDEX(Rank_Changes!$R$2:$R$1090,MATCH($A16&amp;"|"&amp;"CAN",Rank_Changes!$U$2:$U$1090,0))="","–",INDEX(Rank_Changes!$R$2:$R$1090,MATCH($A16&amp;"|"&amp;"CAN",Rank_Changes!$U$2:$U$1090,0))),"–")</f>
        <v>-0</v>
      </c>
      <c r="M16" s="26" t="n">
        <f aca="false">IFERROR(IF(INDEX(Rank_Changes!$R$2:$R$1090,MATCH($A16&amp;"|"&amp;"JPN",Rank_Changes!$U$2:$U$1090,0))="","–",INDEX(Rank_Changes!$R$2:$R$1090,MATCH($A16&amp;"|"&amp;"JPN",Rank_Changes!$U$2:$U$1090,0))),"–")</f>
        <v>-0</v>
      </c>
      <c r="N16" s="26" t="n">
        <f aca="false">IFERROR(IF(INDEX(Rank_Changes!$R$2:$R$1090,MATCH($A16&amp;"|"&amp;"AUS",Rank_Changes!$U$2:$U$1090,0))="","–",INDEX(Rank_Changes!$R$2:$R$1090,MATCH($A16&amp;"|"&amp;"AUS",Rank_Changes!$U$2:$U$1090,0))),"–")</f>
        <v>-1</v>
      </c>
    </row>
    <row r="17" customFormat="false" ht="15" hidden="false" customHeight="false" outlineLevel="0" collapsed="false">
      <c r="A17" s="12" t="s">
        <v>110</v>
      </c>
      <c r="B17" s="12" t="s">
        <v>39</v>
      </c>
      <c r="C17" s="12" t="s">
        <v>111</v>
      </c>
      <c r="D17" s="26" t="str">
        <f aca="false">IFERROR(IF(INDEX(Rank_Changes!$R$2:$R$1090,MATCH($A17&amp;"|"&amp;"USA",Rank_Changes!$U$2:$U$1090,0))="","–",INDEX(Rank_Changes!$R$2:$R$1090,MATCH($A17&amp;"|"&amp;"USA",Rank_Changes!$U$2:$U$1090,0))),"–")</f>
        <v>–</v>
      </c>
      <c r="E17" s="26" t="str">
        <f aca="false">IFERROR(IF(INDEX(Rank_Changes!$R$2:$R$1090,MATCH($A17&amp;"|"&amp;"GBR",Rank_Changes!$U$2:$U$1090,0))="","–",INDEX(Rank_Changes!$R$2:$R$1090,MATCH($A17&amp;"|"&amp;"GBR",Rank_Changes!$U$2:$U$1090,0))),"–")</f>
        <v>–</v>
      </c>
      <c r="F17" s="26" t="str">
        <f aca="false">IFERROR(IF(INDEX(Rank_Changes!$R$2:$R$1090,MATCH($A17&amp;"|"&amp;"DEU",Rank_Changes!$U$2:$U$1090,0))="","–",INDEX(Rank_Changes!$R$2:$R$1090,MATCH($A17&amp;"|"&amp;"DEU",Rank_Changes!$U$2:$U$1090,0))),"–")</f>
        <v>–</v>
      </c>
      <c r="G17" s="26" t="str">
        <f aca="false">IFERROR(IF(INDEX(Rank_Changes!$R$2:$R$1090,MATCH($A17&amp;"|"&amp;"SWE",Rank_Changes!$U$2:$U$1090,0))="","–",INDEX(Rank_Changes!$R$2:$R$1090,MATCH($A17&amp;"|"&amp;"SWE",Rank_Changes!$U$2:$U$1090,0))),"–")</f>
        <v>–</v>
      </c>
      <c r="H17" s="26" t="str">
        <f aca="false">IFERROR(IF(INDEX(Rank_Changes!$R$2:$R$1090,MATCH($A17&amp;"|"&amp;"FRA",Rank_Changes!$U$2:$U$1090,0))="","–",INDEX(Rank_Changes!$R$2:$R$1090,MATCH($A17&amp;"|"&amp;"FRA",Rank_Changes!$U$2:$U$1090,0))),"–")</f>
        <v>–</v>
      </c>
      <c r="I17" s="26" t="str">
        <f aca="false">IFERROR(IF(INDEX(Rank_Changes!$R$2:$R$1090,MATCH($A17&amp;"|"&amp;"NLD",Rank_Changes!$U$2:$U$1090,0))="","–",INDEX(Rank_Changes!$R$2:$R$1090,MATCH($A17&amp;"|"&amp;"NLD",Rank_Changes!$U$2:$U$1090,0))),"–")</f>
        <v>–</v>
      </c>
      <c r="J17" s="26" t="str">
        <f aca="false">IFERROR(IF(INDEX(Rank_Changes!$R$2:$R$1090,MATCH($A17&amp;"|"&amp;"CHE",Rank_Changes!$U$2:$U$1090,0))="","–",INDEX(Rank_Changes!$R$2:$R$1090,MATCH($A17&amp;"|"&amp;"CHE",Rank_Changes!$U$2:$U$1090,0))),"–")</f>
        <v>–</v>
      </c>
      <c r="K17" s="26" t="str">
        <f aca="false">IFERROR(IF(INDEX(Rank_Changes!$R$2:$R$1090,MATCH($A17&amp;"|"&amp;"DNK",Rank_Changes!$U$2:$U$1090,0))="","–",INDEX(Rank_Changes!$R$2:$R$1090,MATCH($A17&amp;"|"&amp;"DNK",Rank_Changes!$U$2:$U$1090,0))),"–")</f>
        <v>–</v>
      </c>
      <c r="L17" s="26" t="str">
        <f aca="false">IFERROR(IF(INDEX(Rank_Changes!$R$2:$R$1090,MATCH($A17&amp;"|"&amp;"CAN",Rank_Changes!$U$2:$U$1090,0))="","–",INDEX(Rank_Changes!$R$2:$R$1090,MATCH($A17&amp;"|"&amp;"CAN",Rank_Changes!$U$2:$U$1090,0))),"–")</f>
        <v>–</v>
      </c>
      <c r="M17" s="26" t="str">
        <f aca="false">IFERROR(IF(INDEX(Rank_Changes!$R$2:$R$1090,MATCH($A17&amp;"|"&amp;"JPN",Rank_Changes!$U$2:$U$1090,0))="","–",INDEX(Rank_Changes!$R$2:$R$1090,MATCH($A17&amp;"|"&amp;"JPN",Rank_Changes!$U$2:$U$1090,0))),"–")</f>
        <v>–</v>
      </c>
      <c r="N17" s="26" t="str">
        <f aca="false">IFERROR(IF(INDEX(Rank_Changes!$R$2:$R$1090,MATCH($A17&amp;"|"&amp;"AUS",Rank_Changes!$U$2:$U$1090,0))="","–",INDEX(Rank_Changes!$R$2:$R$1090,MATCH($A17&amp;"|"&amp;"AUS",Rank_Changes!$U$2:$U$1090,0))),"–")</f>
        <v>–</v>
      </c>
    </row>
    <row r="18" customFormat="false" ht="15" hidden="false" customHeight="false" outlineLevel="0" collapsed="false">
      <c r="A18" s="12" t="s">
        <v>112</v>
      </c>
      <c r="B18" s="12" t="s">
        <v>39</v>
      </c>
      <c r="C18" s="12" t="s">
        <v>113</v>
      </c>
      <c r="D18" s="26" t="n">
        <f aca="false">IFERROR(IF(INDEX(Rank_Changes!$R$2:$R$1090,MATCH($A18&amp;"|"&amp;"USA",Rank_Changes!$U$2:$U$1090,0))="","–",INDEX(Rank_Changes!$R$2:$R$1090,MATCH($A18&amp;"|"&amp;"USA",Rank_Changes!$U$2:$U$1090,0))),"–")</f>
        <v>-0</v>
      </c>
      <c r="E18" s="26" t="n">
        <f aca="false">IFERROR(IF(INDEX(Rank_Changes!$R$2:$R$1090,MATCH($A18&amp;"|"&amp;"GBR",Rank_Changes!$U$2:$U$1090,0))="","–",INDEX(Rank_Changes!$R$2:$R$1090,MATCH($A18&amp;"|"&amp;"GBR",Rank_Changes!$U$2:$U$1090,0))),"–")</f>
        <v>1</v>
      </c>
      <c r="F18" s="26" t="n">
        <f aca="false">IFERROR(IF(INDEX(Rank_Changes!$R$2:$R$1090,MATCH($A18&amp;"|"&amp;"DEU",Rank_Changes!$U$2:$U$1090,0))="","–",INDEX(Rank_Changes!$R$2:$R$1090,MATCH($A18&amp;"|"&amp;"DEU",Rank_Changes!$U$2:$U$1090,0))),"–")</f>
        <v>2</v>
      </c>
      <c r="G18" s="26" t="n">
        <f aca="false">IFERROR(IF(INDEX(Rank_Changes!$R$2:$R$1090,MATCH($A18&amp;"|"&amp;"SWE",Rank_Changes!$U$2:$U$1090,0))="","–",INDEX(Rank_Changes!$R$2:$R$1090,MATCH($A18&amp;"|"&amp;"SWE",Rank_Changes!$U$2:$U$1090,0))),"–")</f>
        <v>-0</v>
      </c>
      <c r="H18" s="26" t="n">
        <f aca="false">IFERROR(IF(INDEX(Rank_Changes!$R$2:$R$1090,MATCH($A18&amp;"|"&amp;"FRA",Rank_Changes!$U$2:$U$1090,0))="","–",INDEX(Rank_Changes!$R$2:$R$1090,MATCH($A18&amp;"|"&amp;"FRA",Rank_Changes!$U$2:$U$1090,0))),"–")</f>
        <v>-5</v>
      </c>
      <c r="I18" s="26" t="n">
        <f aca="false">IFERROR(IF(INDEX(Rank_Changes!$R$2:$R$1090,MATCH($A18&amp;"|"&amp;"NLD",Rank_Changes!$U$2:$U$1090,0))="","–",INDEX(Rank_Changes!$R$2:$R$1090,MATCH($A18&amp;"|"&amp;"NLD",Rank_Changes!$U$2:$U$1090,0))),"–")</f>
        <v>3</v>
      </c>
      <c r="J18" s="26" t="str">
        <f aca="false">IFERROR(IF(INDEX(Rank_Changes!$R$2:$R$1090,MATCH($A18&amp;"|"&amp;"CHE",Rank_Changes!$U$2:$U$1090,0))="","–",INDEX(Rank_Changes!$R$2:$R$1090,MATCH($A18&amp;"|"&amp;"CHE",Rank_Changes!$U$2:$U$1090,0))),"–")</f>
        <v>–</v>
      </c>
      <c r="K18" s="26" t="n">
        <f aca="false">IFERROR(IF(INDEX(Rank_Changes!$R$2:$R$1090,MATCH($A18&amp;"|"&amp;"DNK",Rank_Changes!$U$2:$U$1090,0))="","–",INDEX(Rank_Changes!$R$2:$R$1090,MATCH($A18&amp;"|"&amp;"DNK",Rank_Changes!$U$2:$U$1090,0))),"–")</f>
        <v>-0</v>
      </c>
      <c r="L18" s="26" t="n">
        <f aca="false">IFERROR(IF(INDEX(Rank_Changes!$R$2:$R$1090,MATCH($A18&amp;"|"&amp;"CAN",Rank_Changes!$U$2:$U$1090,0))="","–",INDEX(Rank_Changes!$R$2:$R$1090,MATCH($A18&amp;"|"&amp;"CAN",Rank_Changes!$U$2:$U$1090,0))),"–")</f>
        <v>-3</v>
      </c>
      <c r="M18" s="26" t="n">
        <f aca="false">IFERROR(IF(INDEX(Rank_Changes!$R$2:$R$1090,MATCH($A18&amp;"|"&amp;"JPN",Rank_Changes!$U$2:$U$1090,0))="","–",INDEX(Rank_Changes!$R$2:$R$1090,MATCH($A18&amp;"|"&amp;"JPN",Rank_Changes!$U$2:$U$1090,0))),"–")</f>
        <v>-0</v>
      </c>
      <c r="N18" s="26" t="n">
        <f aca="false">IFERROR(IF(INDEX(Rank_Changes!$R$2:$R$1090,MATCH($A18&amp;"|"&amp;"AUS",Rank_Changes!$U$2:$U$1090,0))="","–",INDEX(Rank_Changes!$R$2:$R$1090,MATCH($A18&amp;"|"&amp;"AUS",Rank_Changes!$U$2:$U$1090,0))),"–")</f>
        <v>-0</v>
      </c>
    </row>
    <row r="19" customFormat="false" ht="15" hidden="false" customHeight="false" outlineLevel="0" collapsed="false">
      <c r="A19" s="12" t="s">
        <v>199</v>
      </c>
      <c r="B19" s="12" t="s">
        <v>43</v>
      </c>
      <c r="C19" s="12" t="s">
        <v>200</v>
      </c>
      <c r="D19" s="26" t="str">
        <f aca="false">IFERROR(IF(INDEX(Rank_Changes!$R$2:$R$1090,MATCH($A19&amp;"|"&amp;"USA",Rank_Changes!$U$2:$U$1090,0))="","–",INDEX(Rank_Changes!$R$2:$R$1090,MATCH($A19&amp;"|"&amp;"USA",Rank_Changes!$U$2:$U$1090,0))),"–")</f>
        <v>–</v>
      </c>
      <c r="E19" s="26" t="n">
        <f aca="false">IFERROR(IF(INDEX(Rank_Changes!$R$2:$R$1090,MATCH($A19&amp;"|"&amp;"GBR",Rank_Changes!$U$2:$U$1090,0))="","–",INDEX(Rank_Changes!$R$2:$R$1090,MATCH($A19&amp;"|"&amp;"GBR",Rank_Changes!$U$2:$U$1090,0))),"–")</f>
        <v>-1</v>
      </c>
      <c r="F19" s="26" t="n">
        <f aca="false">IFERROR(IF(INDEX(Rank_Changes!$R$2:$R$1090,MATCH($A19&amp;"|"&amp;"DEU",Rank_Changes!$U$2:$U$1090,0))="","–",INDEX(Rank_Changes!$R$2:$R$1090,MATCH($A19&amp;"|"&amp;"DEU",Rank_Changes!$U$2:$U$1090,0))),"–")</f>
        <v>-1</v>
      </c>
      <c r="G19" s="26" t="n">
        <f aca="false">IFERROR(IF(INDEX(Rank_Changes!$R$2:$R$1090,MATCH($A19&amp;"|"&amp;"SWE",Rank_Changes!$U$2:$U$1090,0))="","–",INDEX(Rank_Changes!$R$2:$R$1090,MATCH($A19&amp;"|"&amp;"SWE",Rank_Changes!$U$2:$U$1090,0))),"–")</f>
        <v>-0</v>
      </c>
      <c r="H19" s="26" t="n">
        <f aca="false">IFERROR(IF(INDEX(Rank_Changes!$R$2:$R$1090,MATCH($A19&amp;"|"&amp;"FRA",Rank_Changes!$U$2:$U$1090,0))="","–",INDEX(Rank_Changes!$R$2:$R$1090,MATCH($A19&amp;"|"&amp;"FRA",Rank_Changes!$U$2:$U$1090,0))),"–")</f>
        <v>-0</v>
      </c>
      <c r="I19" s="26" t="n">
        <f aca="false">IFERROR(IF(INDEX(Rank_Changes!$R$2:$R$1090,MATCH($A19&amp;"|"&amp;"NLD",Rank_Changes!$U$2:$U$1090,0))="","–",INDEX(Rank_Changes!$R$2:$R$1090,MATCH($A19&amp;"|"&amp;"NLD",Rank_Changes!$U$2:$U$1090,0))),"–")</f>
        <v>-0</v>
      </c>
      <c r="J19" s="26" t="str">
        <f aca="false">IFERROR(IF(INDEX(Rank_Changes!$R$2:$R$1090,MATCH($A19&amp;"|"&amp;"CHE",Rank_Changes!$U$2:$U$1090,0))="","–",INDEX(Rank_Changes!$R$2:$R$1090,MATCH($A19&amp;"|"&amp;"CHE",Rank_Changes!$U$2:$U$1090,0))),"–")</f>
        <v>–</v>
      </c>
      <c r="K19" s="26" t="n">
        <f aca="false">IFERROR(IF(INDEX(Rank_Changes!$R$2:$R$1090,MATCH($A19&amp;"|"&amp;"DNK",Rank_Changes!$U$2:$U$1090,0))="","–",INDEX(Rank_Changes!$R$2:$R$1090,MATCH($A19&amp;"|"&amp;"DNK",Rank_Changes!$U$2:$U$1090,0))),"–")</f>
        <v>-1</v>
      </c>
      <c r="L19" s="26" t="n">
        <f aca="false">IFERROR(IF(INDEX(Rank_Changes!$R$2:$R$1090,MATCH($A19&amp;"|"&amp;"CAN",Rank_Changes!$U$2:$U$1090,0))="","–",INDEX(Rank_Changes!$R$2:$R$1090,MATCH($A19&amp;"|"&amp;"CAN",Rank_Changes!$U$2:$U$1090,0))),"–")</f>
        <v>3</v>
      </c>
      <c r="M19" s="26" t="str">
        <f aca="false">IFERROR(IF(INDEX(Rank_Changes!$R$2:$R$1090,MATCH($A19&amp;"|"&amp;"JPN",Rank_Changes!$U$2:$U$1090,0))="","–",INDEX(Rank_Changes!$R$2:$R$1090,MATCH($A19&amp;"|"&amp;"JPN",Rank_Changes!$U$2:$U$1090,0))),"–")</f>
        <v>–</v>
      </c>
      <c r="N19" s="26" t="n">
        <f aca="false">IFERROR(IF(INDEX(Rank_Changes!$R$2:$R$1090,MATCH($A19&amp;"|"&amp;"AUS",Rank_Changes!$U$2:$U$1090,0))="","–",INDEX(Rank_Changes!$R$2:$R$1090,MATCH($A19&amp;"|"&amp;"AUS",Rank_Changes!$U$2:$U$1090,0))),"–")</f>
        <v>-0</v>
      </c>
    </row>
    <row r="20" customFormat="false" ht="15" hidden="false" customHeight="false" outlineLevel="0" collapsed="false">
      <c r="A20" s="12" t="s">
        <v>202</v>
      </c>
      <c r="B20" s="12" t="s">
        <v>40</v>
      </c>
      <c r="C20" s="12" t="s">
        <v>203</v>
      </c>
      <c r="D20" s="26" t="n">
        <f aca="false">IFERROR(IF(INDEX(Rank_Changes!$R$2:$R$1090,MATCH($A20&amp;"|"&amp;"USA",Rank_Changes!$U$2:$U$1090,0))="","–",INDEX(Rank_Changes!$R$2:$R$1090,MATCH($A20&amp;"|"&amp;"USA",Rank_Changes!$U$2:$U$1090,0))),"–")</f>
        <v>1</v>
      </c>
      <c r="E20" s="26" t="n">
        <f aca="false">IFERROR(IF(INDEX(Rank_Changes!$R$2:$R$1090,MATCH($A20&amp;"|"&amp;"GBR",Rank_Changes!$U$2:$U$1090,0))="","–",INDEX(Rank_Changes!$R$2:$R$1090,MATCH($A20&amp;"|"&amp;"GBR",Rank_Changes!$U$2:$U$1090,0))),"–")</f>
        <v>0</v>
      </c>
      <c r="F20" s="26" t="n">
        <f aca="false">IFERROR(IF(INDEX(Rank_Changes!$R$2:$R$1090,MATCH($A20&amp;"|"&amp;"DEU",Rank_Changes!$U$2:$U$1090,0))="","–",INDEX(Rank_Changes!$R$2:$R$1090,MATCH($A20&amp;"|"&amp;"DEU",Rank_Changes!$U$2:$U$1090,0))),"–")</f>
        <v>3</v>
      </c>
      <c r="G20" s="26" t="n">
        <f aca="false">IFERROR(IF(INDEX(Rank_Changes!$R$2:$R$1090,MATCH($A20&amp;"|"&amp;"SWE",Rank_Changes!$U$2:$U$1090,0))="","–",INDEX(Rank_Changes!$R$2:$R$1090,MATCH($A20&amp;"|"&amp;"SWE",Rank_Changes!$U$2:$U$1090,0))),"–")</f>
        <v>0</v>
      </c>
      <c r="H20" s="26" t="n">
        <f aca="false">IFERROR(IF(INDEX(Rank_Changes!$R$2:$R$1090,MATCH($A20&amp;"|"&amp;"FRA",Rank_Changes!$U$2:$U$1090,0))="","–",INDEX(Rank_Changes!$R$2:$R$1090,MATCH($A20&amp;"|"&amp;"FRA",Rank_Changes!$U$2:$U$1090,0))),"–")</f>
        <v>-2</v>
      </c>
      <c r="I20" s="26" t="n">
        <f aca="false">IFERROR(IF(INDEX(Rank_Changes!$R$2:$R$1090,MATCH($A20&amp;"|"&amp;"NLD",Rank_Changes!$U$2:$U$1090,0))="","–",INDEX(Rank_Changes!$R$2:$R$1090,MATCH($A20&amp;"|"&amp;"NLD",Rank_Changes!$U$2:$U$1090,0))),"–")</f>
        <v>0</v>
      </c>
      <c r="J20" s="26" t="str">
        <f aca="false">IFERROR(IF(INDEX(Rank_Changes!$R$2:$R$1090,MATCH($A20&amp;"|"&amp;"CHE",Rank_Changes!$U$2:$U$1090,0))="","–",INDEX(Rank_Changes!$R$2:$R$1090,MATCH($A20&amp;"|"&amp;"CHE",Rank_Changes!$U$2:$U$1090,0))),"–")</f>
        <v>–</v>
      </c>
      <c r="K20" s="26" t="str">
        <f aca="false">IFERROR(IF(INDEX(Rank_Changes!$R$2:$R$1090,MATCH($A20&amp;"|"&amp;"DNK",Rank_Changes!$U$2:$U$1090,0))="","–",INDEX(Rank_Changes!$R$2:$R$1090,MATCH($A20&amp;"|"&amp;"DNK",Rank_Changes!$U$2:$U$1090,0))),"–")</f>
        <v>–</v>
      </c>
      <c r="L20" s="26" t="n">
        <f aca="false">IFERROR(IF(INDEX(Rank_Changes!$R$2:$R$1090,MATCH($A20&amp;"|"&amp;"CAN",Rank_Changes!$U$2:$U$1090,0))="","–",INDEX(Rank_Changes!$R$2:$R$1090,MATCH($A20&amp;"|"&amp;"CAN",Rank_Changes!$U$2:$U$1090,0))),"–")</f>
        <v>0</v>
      </c>
      <c r="M20" s="26" t="str">
        <f aca="false">IFERROR(IF(INDEX(Rank_Changes!$R$2:$R$1090,MATCH($A20&amp;"|"&amp;"JPN",Rank_Changes!$U$2:$U$1090,0))="","–",INDEX(Rank_Changes!$R$2:$R$1090,MATCH($A20&amp;"|"&amp;"JPN",Rank_Changes!$U$2:$U$1090,0))),"–")</f>
        <v>–</v>
      </c>
      <c r="N20" s="26" t="n">
        <f aca="false">IFERROR(IF(INDEX(Rank_Changes!$R$2:$R$1090,MATCH($A20&amp;"|"&amp;"AUS",Rank_Changes!$U$2:$U$1090,0))="","–",INDEX(Rank_Changes!$R$2:$R$1090,MATCH($A20&amp;"|"&amp;"AUS",Rank_Changes!$U$2:$U$1090,0))),"–")</f>
        <v>-2</v>
      </c>
    </row>
    <row r="21" customFormat="false" ht="15" hidden="false" customHeight="false" outlineLevel="0" collapsed="false">
      <c r="A21" s="12" t="s">
        <v>205</v>
      </c>
      <c r="B21" s="12" t="s">
        <v>40</v>
      </c>
      <c r="C21" s="12" t="s">
        <v>206</v>
      </c>
      <c r="D21" s="26" t="n">
        <f aca="false">IFERROR(IF(INDEX(Rank_Changes!$R$2:$R$1090,MATCH($A21&amp;"|"&amp;"USA",Rank_Changes!$U$2:$U$1090,0))="","–",INDEX(Rank_Changes!$R$2:$R$1090,MATCH($A21&amp;"|"&amp;"USA",Rank_Changes!$U$2:$U$1090,0))),"–")</f>
        <v>-0</v>
      </c>
      <c r="E21" s="26" t="n">
        <f aca="false">IFERROR(IF(INDEX(Rank_Changes!$R$2:$R$1090,MATCH($A21&amp;"|"&amp;"GBR",Rank_Changes!$U$2:$U$1090,0))="","–",INDEX(Rank_Changes!$R$2:$R$1090,MATCH($A21&amp;"|"&amp;"GBR",Rank_Changes!$U$2:$U$1090,0))),"–")</f>
        <v>1</v>
      </c>
      <c r="F21" s="26" t="n">
        <f aca="false">IFERROR(IF(INDEX(Rank_Changes!$R$2:$R$1090,MATCH($A21&amp;"|"&amp;"DEU",Rank_Changes!$U$2:$U$1090,0))="","–",INDEX(Rank_Changes!$R$2:$R$1090,MATCH($A21&amp;"|"&amp;"DEU",Rank_Changes!$U$2:$U$1090,0))),"–")</f>
        <v>-3</v>
      </c>
      <c r="G21" s="26" t="n">
        <f aca="false">IFERROR(IF(INDEX(Rank_Changes!$R$2:$R$1090,MATCH($A21&amp;"|"&amp;"SWE",Rank_Changes!$U$2:$U$1090,0))="","–",INDEX(Rank_Changes!$R$2:$R$1090,MATCH($A21&amp;"|"&amp;"SWE",Rank_Changes!$U$2:$U$1090,0))),"–")</f>
        <v>2</v>
      </c>
      <c r="H21" s="26" t="n">
        <f aca="false">IFERROR(IF(INDEX(Rank_Changes!$R$2:$R$1090,MATCH($A21&amp;"|"&amp;"FRA",Rank_Changes!$U$2:$U$1090,0))="","–",INDEX(Rank_Changes!$R$2:$R$1090,MATCH($A21&amp;"|"&amp;"FRA",Rank_Changes!$U$2:$U$1090,0))),"–")</f>
        <v>-6</v>
      </c>
      <c r="I21" s="26" t="n">
        <f aca="false">IFERROR(IF(INDEX(Rank_Changes!$R$2:$R$1090,MATCH($A21&amp;"|"&amp;"NLD",Rank_Changes!$U$2:$U$1090,0))="","–",INDEX(Rank_Changes!$R$2:$R$1090,MATCH($A21&amp;"|"&amp;"NLD",Rank_Changes!$U$2:$U$1090,0))),"–")</f>
        <v>2</v>
      </c>
      <c r="J21" s="26" t="n">
        <f aca="false">IFERROR(IF(INDEX(Rank_Changes!$R$2:$R$1090,MATCH($A21&amp;"|"&amp;"CHE",Rank_Changes!$U$2:$U$1090,0))="","–",INDEX(Rank_Changes!$R$2:$R$1090,MATCH($A21&amp;"|"&amp;"CHE",Rank_Changes!$U$2:$U$1090,0))),"–")</f>
        <v>4</v>
      </c>
      <c r="K21" s="26" t="str">
        <f aca="false">IFERROR(IF(INDEX(Rank_Changes!$R$2:$R$1090,MATCH($A21&amp;"|"&amp;"DNK",Rank_Changes!$U$2:$U$1090,0))="","–",INDEX(Rank_Changes!$R$2:$R$1090,MATCH($A21&amp;"|"&amp;"DNK",Rank_Changes!$U$2:$U$1090,0))),"–")</f>
        <v>–</v>
      </c>
      <c r="L21" s="26" t="n">
        <f aca="false">IFERROR(IF(INDEX(Rank_Changes!$R$2:$R$1090,MATCH($A21&amp;"|"&amp;"CAN",Rank_Changes!$U$2:$U$1090,0))="","–",INDEX(Rank_Changes!$R$2:$R$1090,MATCH($A21&amp;"|"&amp;"CAN",Rank_Changes!$U$2:$U$1090,0))),"–")</f>
        <v>-0</v>
      </c>
      <c r="M21" s="26" t="str">
        <f aca="false">IFERROR(IF(INDEX(Rank_Changes!$R$2:$R$1090,MATCH($A21&amp;"|"&amp;"JPN",Rank_Changes!$U$2:$U$1090,0))="","–",INDEX(Rank_Changes!$R$2:$R$1090,MATCH($A21&amp;"|"&amp;"JPN",Rank_Changes!$U$2:$U$1090,0))),"–")</f>
        <v>–</v>
      </c>
      <c r="N21" s="26" t="n">
        <f aca="false">IFERROR(IF(INDEX(Rank_Changes!$R$2:$R$1090,MATCH($A21&amp;"|"&amp;"AUS",Rank_Changes!$U$2:$U$1090,0))="","–",INDEX(Rank_Changes!$R$2:$R$1090,MATCH($A21&amp;"|"&amp;"AUS",Rank_Changes!$U$2:$U$1090,0))),"–")</f>
        <v>1</v>
      </c>
    </row>
    <row r="22" customFormat="false" ht="15" hidden="false" customHeight="false" outlineLevel="0" collapsed="false">
      <c r="A22" s="12" t="s">
        <v>208</v>
      </c>
      <c r="B22" s="12" t="s">
        <v>40</v>
      </c>
      <c r="C22" s="12" t="s">
        <v>209</v>
      </c>
      <c r="D22" s="26" t="n">
        <f aca="false">IFERROR(IF(INDEX(Rank_Changes!$R$2:$R$1090,MATCH($A22&amp;"|"&amp;"USA",Rank_Changes!$U$2:$U$1090,0))="","–",INDEX(Rank_Changes!$R$2:$R$1090,MATCH($A22&amp;"|"&amp;"USA",Rank_Changes!$U$2:$U$1090,0))),"–")</f>
        <v>1</v>
      </c>
      <c r="E22" s="26" t="n">
        <f aca="false">IFERROR(IF(INDEX(Rank_Changes!$R$2:$R$1090,MATCH($A22&amp;"|"&amp;"GBR",Rank_Changes!$U$2:$U$1090,0))="","–",INDEX(Rank_Changes!$R$2:$R$1090,MATCH($A22&amp;"|"&amp;"GBR",Rank_Changes!$U$2:$U$1090,0))),"–")</f>
        <v>-4</v>
      </c>
      <c r="F22" s="26" t="n">
        <f aca="false">IFERROR(IF(INDEX(Rank_Changes!$R$2:$R$1090,MATCH($A22&amp;"|"&amp;"DEU",Rank_Changes!$U$2:$U$1090,0))="","–",INDEX(Rank_Changes!$R$2:$R$1090,MATCH($A22&amp;"|"&amp;"DEU",Rank_Changes!$U$2:$U$1090,0))),"–")</f>
        <v>-2</v>
      </c>
      <c r="G22" s="26" t="n">
        <f aca="false">IFERROR(IF(INDEX(Rank_Changes!$R$2:$R$1090,MATCH($A22&amp;"|"&amp;"SWE",Rank_Changes!$U$2:$U$1090,0))="","–",INDEX(Rank_Changes!$R$2:$R$1090,MATCH($A22&amp;"|"&amp;"SWE",Rank_Changes!$U$2:$U$1090,0))),"–")</f>
        <v>1</v>
      </c>
      <c r="H22" s="26" t="str">
        <f aca="false">IFERROR(IF(INDEX(Rank_Changes!$R$2:$R$1090,MATCH($A22&amp;"|"&amp;"FRA",Rank_Changes!$U$2:$U$1090,0))="","–",INDEX(Rank_Changes!$R$2:$R$1090,MATCH($A22&amp;"|"&amp;"FRA",Rank_Changes!$U$2:$U$1090,0))),"–")</f>
        <v>–</v>
      </c>
      <c r="I22" s="26" t="n">
        <f aca="false">IFERROR(IF(INDEX(Rank_Changes!$R$2:$R$1090,MATCH($A22&amp;"|"&amp;"NLD",Rank_Changes!$U$2:$U$1090,0))="","–",INDEX(Rank_Changes!$R$2:$R$1090,MATCH($A22&amp;"|"&amp;"NLD",Rank_Changes!$U$2:$U$1090,0))),"–")</f>
        <v>2</v>
      </c>
      <c r="J22" s="26" t="n">
        <f aca="false">IFERROR(IF(INDEX(Rank_Changes!$R$2:$R$1090,MATCH($A22&amp;"|"&amp;"CHE",Rank_Changes!$U$2:$U$1090,0))="","–",INDEX(Rank_Changes!$R$2:$R$1090,MATCH($A22&amp;"|"&amp;"CHE",Rank_Changes!$U$2:$U$1090,0))),"–")</f>
        <v>0</v>
      </c>
      <c r="K22" s="26" t="str">
        <f aca="false">IFERROR(IF(INDEX(Rank_Changes!$R$2:$R$1090,MATCH($A22&amp;"|"&amp;"DNK",Rank_Changes!$U$2:$U$1090,0))="","–",INDEX(Rank_Changes!$R$2:$R$1090,MATCH($A22&amp;"|"&amp;"DNK",Rank_Changes!$U$2:$U$1090,0))),"–")</f>
        <v>–</v>
      </c>
      <c r="L22" s="26" t="n">
        <f aca="false">IFERROR(IF(INDEX(Rank_Changes!$R$2:$R$1090,MATCH($A22&amp;"|"&amp;"CAN",Rank_Changes!$U$2:$U$1090,0))="","–",INDEX(Rank_Changes!$R$2:$R$1090,MATCH($A22&amp;"|"&amp;"CAN",Rank_Changes!$U$2:$U$1090,0))),"–")</f>
        <v>-1</v>
      </c>
      <c r="M22" s="26" t="str">
        <f aca="false">IFERROR(IF(INDEX(Rank_Changes!$R$2:$R$1090,MATCH($A22&amp;"|"&amp;"JPN",Rank_Changes!$U$2:$U$1090,0))="","–",INDEX(Rank_Changes!$R$2:$R$1090,MATCH($A22&amp;"|"&amp;"JPN",Rank_Changes!$U$2:$U$1090,0))),"–")</f>
        <v>–</v>
      </c>
      <c r="N22" s="26" t="n">
        <f aca="false">IFERROR(IF(INDEX(Rank_Changes!$R$2:$R$1090,MATCH($A22&amp;"|"&amp;"AUS",Rank_Changes!$U$2:$U$1090,0))="","–",INDEX(Rank_Changes!$R$2:$R$1090,MATCH($A22&amp;"|"&amp;"AUS",Rank_Changes!$U$2:$U$1090,0))),"–")</f>
        <v>3</v>
      </c>
    </row>
    <row r="23" customFormat="false" ht="15" hidden="false" customHeight="false" outlineLevel="0" collapsed="false">
      <c r="A23" s="12" t="s">
        <v>210</v>
      </c>
      <c r="B23" s="12" t="s">
        <v>40</v>
      </c>
      <c r="C23" s="12" t="s">
        <v>211</v>
      </c>
      <c r="D23" s="26" t="str">
        <f aca="false">IFERROR(IF(INDEX(Rank_Changes!$R$2:$R$1090,MATCH($A23&amp;"|"&amp;"USA",Rank_Changes!$U$2:$U$1090,0))="","–",INDEX(Rank_Changes!$R$2:$R$1090,MATCH($A23&amp;"|"&amp;"USA",Rank_Changes!$U$2:$U$1090,0))),"–")</f>
        <v>–</v>
      </c>
      <c r="E23" s="26" t="str">
        <f aca="false">IFERROR(IF(INDEX(Rank_Changes!$R$2:$R$1090,MATCH($A23&amp;"|"&amp;"GBR",Rank_Changes!$U$2:$U$1090,0))="","–",INDEX(Rank_Changes!$R$2:$R$1090,MATCH($A23&amp;"|"&amp;"GBR",Rank_Changes!$U$2:$U$1090,0))),"–")</f>
        <v>–</v>
      </c>
      <c r="F23" s="26" t="str">
        <f aca="false">IFERROR(IF(INDEX(Rank_Changes!$R$2:$R$1090,MATCH($A23&amp;"|"&amp;"DEU",Rank_Changes!$U$2:$U$1090,0))="","–",INDEX(Rank_Changes!$R$2:$R$1090,MATCH($A23&amp;"|"&amp;"DEU",Rank_Changes!$U$2:$U$1090,0))),"–")</f>
        <v>–</v>
      </c>
      <c r="G23" s="26" t="str">
        <f aca="false">IFERROR(IF(INDEX(Rank_Changes!$R$2:$R$1090,MATCH($A23&amp;"|"&amp;"SWE",Rank_Changes!$U$2:$U$1090,0))="","–",INDEX(Rank_Changes!$R$2:$R$1090,MATCH($A23&amp;"|"&amp;"SWE",Rank_Changes!$U$2:$U$1090,0))),"–")</f>
        <v>–</v>
      </c>
      <c r="H23" s="26" t="str">
        <f aca="false">IFERROR(IF(INDEX(Rank_Changes!$R$2:$R$1090,MATCH($A23&amp;"|"&amp;"FRA",Rank_Changes!$U$2:$U$1090,0))="","–",INDEX(Rank_Changes!$R$2:$R$1090,MATCH($A23&amp;"|"&amp;"FRA",Rank_Changes!$U$2:$U$1090,0))),"–")</f>
        <v>–</v>
      </c>
      <c r="I23" s="26" t="str">
        <f aca="false">IFERROR(IF(INDEX(Rank_Changes!$R$2:$R$1090,MATCH($A23&amp;"|"&amp;"NLD",Rank_Changes!$U$2:$U$1090,0))="","–",INDEX(Rank_Changes!$R$2:$R$1090,MATCH($A23&amp;"|"&amp;"NLD",Rank_Changes!$U$2:$U$1090,0))),"–")</f>
        <v>–</v>
      </c>
      <c r="J23" s="26" t="str">
        <f aca="false">IFERROR(IF(INDEX(Rank_Changes!$R$2:$R$1090,MATCH($A23&amp;"|"&amp;"CHE",Rank_Changes!$U$2:$U$1090,0))="","–",INDEX(Rank_Changes!$R$2:$R$1090,MATCH($A23&amp;"|"&amp;"CHE",Rank_Changes!$U$2:$U$1090,0))),"–")</f>
        <v>–</v>
      </c>
      <c r="K23" s="26" t="str">
        <f aca="false">IFERROR(IF(INDEX(Rank_Changes!$R$2:$R$1090,MATCH($A23&amp;"|"&amp;"DNK",Rank_Changes!$U$2:$U$1090,0))="","–",INDEX(Rank_Changes!$R$2:$R$1090,MATCH($A23&amp;"|"&amp;"DNK",Rank_Changes!$U$2:$U$1090,0))),"–")</f>
        <v>–</v>
      </c>
      <c r="L23" s="26" t="str">
        <f aca="false">IFERROR(IF(INDEX(Rank_Changes!$R$2:$R$1090,MATCH($A23&amp;"|"&amp;"CAN",Rank_Changes!$U$2:$U$1090,0))="","–",INDEX(Rank_Changes!$R$2:$R$1090,MATCH($A23&amp;"|"&amp;"CAN",Rank_Changes!$U$2:$U$1090,0))),"–")</f>
        <v>–</v>
      </c>
      <c r="M23" s="26" t="str">
        <f aca="false">IFERROR(IF(INDEX(Rank_Changes!$R$2:$R$1090,MATCH($A23&amp;"|"&amp;"JPN",Rank_Changes!$U$2:$U$1090,0))="","–",INDEX(Rank_Changes!$R$2:$R$1090,MATCH($A23&amp;"|"&amp;"JPN",Rank_Changes!$U$2:$U$1090,0))),"–")</f>
        <v>–</v>
      </c>
      <c r="N23" s="26" t="str">
        <f aca="false">IFERROR(IF(INDEX(Rank_Changes!$R$2:$R$1090,MATCH($A23&amp;"|"&amp;"AUS",Rank_Changes!$U$2:$U$1090,0))="","–",INDEX(Rank_Changes!$R$2:$R$1090,MATCH($A23&amp;"|"&amp;"AUS",Rank_Changes!$U$2:$U$1090,0))),"–")</f>
        <v>–</v>
      </c>
    </row>
    <row r="24" customFormat="false" ht="15" hidden="false" customHeight="false" outlineLevel="0" collapsed="false">
      <c r="A24" s="12" t="s">
        <v>213</v>
      </c>
      <c r="B24" s="12" t="s">
        <v>40</v>
      </c>
      <c r="C24" s="12" t="s">
        <v>214</v>
      </c>
      <c r="D24" s="26" t="str">
        <f aca="false">IFERROR(IF(INDEX(Rank_Changes!$R$2:$R$1090,MATCH($A24&amp;"|"&amp;"USA",Rank_Changes!$U$2:$U$1090,0))="","–",INDEX(Rank_Changes!$R$2:$R$1090,MATCH($A24&amp;"|"&amp;"USA",Rank_Changes!$U$2:$U$1090,0))),"–")</f>
        <v>–</v>
      </c>
      <c r="E24" s="26" t="str">
        <f aca="false">IFERROR(IF(INDEX(Rank_Changes!$R$2:$R$1090,MATCH($A24&amp;"|"&amp;"GBR",Rank_Changes!$U$2:$U$1090,0))="","–",INDEX(Rank_Changes!$R$2:$R$1090,MATCH($A24&amp;"|"&amp;"GBR",Rank_Changes!$U$2:$U$1090,0))),"–")</f>
        <v>–</v>
      </c>
      <c r="F24" s="26" t="str">
        <f aca="false">IFERROR(IF(INDEX(Rank_Changes!$R$2:$R$1090,MATCH($A24&amp;"|"&amp;"DEU",Rank_Changes!$U$2:$U$1090,0))="","–",INDEX(Rank_Changes!$R$2:$R$1090,MATCH($A24&amp;"|"&amp;"DEU",Rank_Changes!$U$2:$U$1090,0))),"–")</f>
        <v>–</v>
      </c>
      <c r="G24" s="26" t="str">
        <f aca="false">IFERROR(IF(INDEX(Rank_Changes!$R$2:$R$1090,MATCH($A24&amp;"|"&amp;"SWE",Rank_Changes!$U$2:$U$1090,0))="","–",INDEX(Rank_Changes!$R$2:$R$1090,MATCH($A24&amp;"|"&amp;"SWE",Rank_Changes!$U$2:$U$1090,0))),"–")</f>
        <v>–</v>
      </c>
      <c r="H24" s="26" t="str">
        <f aca="false">IFERROR(IF(INDEX(Rank_Changes!$R$2:$R$1090,MATCH($A24&amp;"|"&amp;"FRA",Rank_Changes!$U$2:$U$1090,0))="","–",INDEX(Rank_Changes!$R$2:$R$1090,MATCH($A24&amp;"|"&amp;"FRA",Rank_Changes!$U$2:$U$1090,0))),"–")</f>
        <v>–</v>
      </c>
      <c r="I24" s="26" t="str">
        <f aca="false">IFERROR(IF(INDEX(Rank_Changes!$R$2:$R$1090,MATCH($A24&amp;"|"&amp;"NLD",Rank_Changes!$U$2:$U$1090,0))="","–",INDEX(Rank_Changes!$R$2:$R$1090,MATCH($A24&amp;"|"&amp;"NLD",Rank_Changes!$U$2:$U$1090,0))),"–")</f>
        <v>–</v>
      </c>
      <c r="J24" s="26" t="str">
        <f aca="false">IFERROR(IF(INDEX(Rank_Changes!$R$2:$R$1090,MATCH($A24&amp;"|"&amp;"CHE",Rank_Changes!$U$2:$U$1090,0))="","–",INDEX(Rank_Changes!$R$2:$R$1090,MATCH($A24&amp;"|"&amp;"CHE",Rank_Changes!$U$2:$U$1090,0))),"–")</f>
        <v>–</v>
      </c>
      <c r="K24" s="26" t="str">
        <f aca="false">IFERROR(IF(INDEX(Rank_Changes!$R$2:$R$1090,MATCH($A24&amp;"|"&amp;"DNK",Rank_Changes!$U$2:$U$1090,0))="","–",INDEX(Rank_Changes!$R$2:$R$1090,MATCH($A24&amp;"|"&amp;"DNK",Rank_Changes!$U$2:$U$1090,0))),"–")</f>
        <v>–</v>
      </c>
      <c r="L24" s="26" t="str">
        <f aca="false">IFERROR(IF(INDEX(Rank_Changes!$R$2:$R$1090,MATCH($A24&amp;"|"&amp;"CAN",Rank_Changes!$U$2:$U$1090,0))="","–",INDEX(Rank_Changes!$R$2:$R$1090,MATCH($A24&amp;"|"&amp;"CAN",Rank_Changes!$U$2:$U$1090,0))),"–")</f>
        <v>–</v>
      </c>
      <c r="M24" s="26" t="str">
        <f aca="false">IFERROR(IF(INDEX(Rank_Changes!$R$2:$R$1090,MATCH($A24&amp;"|"&amp;"JPN",Rank_Changes!$U$2:$U$1090,0))="","–",INDEX(Rank_Changes!$R$2:$R$1090,MATCH($A24&amp;"|"&amp;"JPN",Rank_Changes!$U$2:$U$1090,0))),"–")</f>
        <v>–</v>
      </c>
      <c r="N24" s="26" t="str">
        <f aca="false">IFERROR(IF(INDEX(Rank_Changes!$R$2:$R$1090,MATCH($A24&amp;"|"&amp;"AUS",Rank_Changes!$U$2:$U$1090,0))="","–",INDEX(Rank_Changes!$R$2:$R$1090,MATCH($A24&amp;"|"&amp;"AUS",Rank_Changes!$U$2:$U$1090,0))),"–")</f>
        <v>–</v>
      </c>
    </row>
    <row r="25" customFormat="false" ht="15" hidden="false" customHeight="false" outlineLevel="0" collapsed="false">
      <c r="A25" s="12" t="s">
        <v>216</v>
      </c>
      <c r="B25" s="12" t="s">
        <v>40</v>
      </c>
      <c r="C25" s="12" t="s">
        <v>217</v>
      </c>
      <c r="D25" s="26" t="str">
        <f aca="false">IFERROR(IF(INDEX(Rank_Changes!$R$2:$R$1090,MATCH($A25&amp;"|"&amp;"USA",Rank_Changes!$U$2:$U$1090,0))="","–",INDEX(Rank_Changes!$R$2:$R$1090,MATCH($A25&amp;"|"&amp;"USA",Rank_Changes!$U$2:$U$1090,0))),"–")</f>
        <v>–</v>
      </c>
      <c r="E25" s="26" t="str">
        <f aca="false">IFERROR(IF(INDEX(Rank_Changes!$R$2:$R$1090,MATCH($A25&amp;"|"&amp;"GBR",Rank_Changes!$U$2:$U$1090,0))="","–",INDEX(Rank_Changes!$R$2:$R$1090,MATCH($A25&amp;"|"&amp;"GBR",Rank_Changes!$U$2:$U$1090,0))),"–")</f>
        <v>–</v>
      </c>
      <c r="F25" s="26" t="str">
        <f aca="false">IFERROR(IF(INDEX(Rank_Changes!$R$2:$R$1090,MATCH($A25&amp;"|"&amp;"DEU",Rank_Changes!$U$2:$U$1090,0))="","–",INDEX(Rank_Changes!$R$2:$R$1090,MATCH($A25&amp;"|"&amp;"DEU",Rank_Changes!$U$2:$U$1090,0))),"–")</f>
        <v>–</v>
      </c>
      <c r="G25" s="26" t="str">
        <f aca="false">IFERROR(IF(INDEX(Rank_Changes!$R$2:$R$1090,MATCH($A25&amp;"|"&amp;"SWE",Rank_Changes!$U$2:$U$1090,0))="","–",INDEX(Rank_Changes!$R$2:$R$1090,MATCH($A25&amp;"|"&amp;"SWE",Rank_Changes!$U$2:$U$1090,0))),"–")</f>
        <v>–</v>
      </c>
      <c r="H25" s="26" t="str">
        <f aca="false">IFERROR(IF(INDEX(Rank_Changes!$R$2:$R$1090,MATCH($A25&amp;"|"&amp;"FRA",Rank_Changes!$U$2:$U$1090,0))="","–",INDEX(Rank_Changes!$R$2:$R$1090,MATCH($A25&amp;"|"&amp;"FRA",Rank_Changes!$U$2:$U$1090,0))),"–")</f>
        <v>–</v>
      </c>
      <c r="I25" s="26" t="str">
        <f aca="false">IFERROR(IF(INDEX(Rank_Changes!$R$2:$R$1090,MATCH($A25&amp;"|"&amp;"NLD",Rank_Changes!$U$2:$U$1090,0))="","–",INDEX(Rank_Changes!$R$2:$R$1090,MATCH($A25&amp;"|"&amp;"NLD",Rank_Changes!$U$2:$U$1090,0))),"–")</f>
        <v>–</v>
      </c>
      <c r="J25" s="26" t="str">
        <f aca="false">IFERROR(IF(INDEX(Rank_Changes!$R$2:$R$1090,MATCH($A25&amp;"|"&amp;"CHE",Rank_Changes!$U$2:$U$1090,0))="","–",INDEX(Rank_Changes!$R$2:$R$1090,MATCH($A25&amp;"|"&amp;"CHE",Rank_Changes!$U$2:$U$1090,0))),"–")</f>
        <v>–</v>
      </c>
      <c r="K25" s="26" t="str">
        <f aca="false">IFERROR(IF(INDEX(Rank_Changes!$R$2:$R$1090,MATCH($A25&amp;"|"&amp;"DNK",Rank_Changes!$U$2:$U$1090,0))="","–",INDEX(Rank_Changes!$R$2:$R$1090,MATCH($A25&amp;"|"&amp;"DNK",Rank_Changes!$U$2:$U$1090,0))),"–")</f>
        <v>–</v>
      </c>
      <c r="L25" s="26" t="str">
        <f aca="false">IFERROR(IF(INDEX(Rank_Changes!$R$2:$R$1090,MATCH($A25&amp;"|"&amp;"CAN",Rank_Changes!$U$2:$U$1090,0))="","–",INDEX(Rank_Changes!$R$2:$R$1090,MATCH($A25&amp;"|"&amp;"CAN",Rank_Changes!$U$2:$U$1090,0))),"–")</f>
        <v>–</v>
      </c>
      <c r="M25" s="26" t="str">
        <f aca="false">IFERROR(IF(INDEX(Rank_Changes!$R$2:$R$1090,MATCH($A25&amp;"|"&amp;"JPN",Rank_Changes!$U$2:$U$1090,0))="","–",INDEX(Rank_Changes!$R$2:$R$1090,MATCH($A25&amp;"|"&amp;"JPN",Rank_Changes!$U$2:$U$1090,0))),"–")</f>
        <v>–</v>
      </c>
      <c r="N25" s="26" t="str">
        <f aca="false">IFERROR(IF(INDEX(Rank_Changes!$R$2:$R$1090,MATCH($A25&amp;"|"&amp;"AUS",Rank_Changes!$U$2:$U$1090,0))="","–",INDEX(Rank_Changes!$R$2:$R$1090,MATCH($A25&amp;"|"&amp;"AUS",Rank_Changes!$U$2:$U$1090,0))),"–")</f>
        <v>–</v>
      </c>
    </row>
    <row r="26" customFormat="false" ht="15" hidden="false" customHeight="false" outlineLevel="0" collapsed="false">
      <c r="A26" s="12" t="s">
        <v>218</v>
      </c>
      <c r="B26" s="12" t="s">
        <v>40</v>
      </c>
      <c r="C26" s="12" t="s">
        <v>219</v>
      </c>
      <c r="D26" s="26" t="n">
        <f aca="false">IFERROR(IF(INDEX(Rank_Changes!$R$2:$R$1090,MATCH($A26&amp;"|"&amp;"USA",Rank_Changes!$U$2:$U$1090,0))="","–",INDEX(Rank_Changes!$R$2:$R$1090,MATCH($A26&amp;"|"&amp;"USA",Rank_Changes!$U$2:$U$1090,0))),"–")</f>
        <v>6</v>
      </c>
      <c r="E26" s="26" t="n">
        <f aca="false">IFERROR(IF(INDEX(Rank_Changes!$R$2:$R$1090,MATCH($A26&amp;"|"&amp;"GBR",Rank_Changes!$U$2:$U$1090,0))="","–",INDEX(Rank_Changes!$R$2:$R$1090,MATCH($A26&amp;"|"&amp;"GBR",Rank_Changes!$U$2:$U$1090,0))),"–")</f>
        <v>-4</v>
      </c>
      <c r="F26" s="26" t="n">
        <f aca="false">IFERROR(IF(INDEX(Rank_Changes!$R$2:$R$1090,MATCH($A26&amp;"|"&amp;"DEU",Rank_Changes!$U$2:$U$1090,0))="","–",INDEX(Rank_Changes!$R$2:$R$1090,MATCH($A26&amp;"|"&amp;"DEU",Rank_Changes!$U$2:$U$1090,0))),"–")</f>
        <v>-4</v>
      </c>
      <c r="G26" s="26" t="n">
        <f aca="false">IFERROR(IF(INDEX(Rank_Changes!$R$2:$R$1090,MATCH($A26&amp;"|"&amp;"SWE",Rank_Changes!$U$2:$U$1090,0))="","–",INDEX(Rank_Changes!$R$2:$R$1090,MATCH($A26&amp;"|"&amp;"SWE",Rank_Changes!$U$2:$U$1090,0))),"–")</f>
        <v>-4</v>
      </c>
      <c r="H26" s="26" t="n">
        <f aca="false">IFERROR(IF(INDEX(Rank_Changes!$R$2:$R$1090,MATCH($A26&amp;"|"&amp;"FRA",Rank_Changes!$U$2:$U$1090,0))="","–",INDEX(Rank_Changes!$R$2:$R$1090,MATCH($A26&amp;"|"&amp;"FRA",Rank_Changes!$U$2:$U$1090,0))),"–")</f>
        <v>5</v>
      </c>
      <c r="I26" s="26" t="n">
        <f aca="false">IFERROR(IF(INDEX(Rank_Changes!$R$2:$R$1090,MATCH($A26&amp;"|"&amp;"NLD",Rank_Changes!$U$2:$U$1090,0))="","–",INDEX(Rank_Changes!$R$2:$R$1090,MATCH($A26&amp;"|"&amp;"NLD",Rank_Changes!$U$2:$U$1090,0))),"–")</f>
        <v>-6</v>
      </c>
      <c r="J26" s="26" t="n">
        <f aca="false">IFERROR(IF(INDEX(Rank_Changes!$R$2:$R$1090,MATCH($A26&amp;"|"&amp;"CHE",Rank_Changes!$U$2:$U$1090,0))="","–",INDEX(Rank_Changes!$R$2:$R$1090,MATCH($A26&amp;"|"&amp;"CHE",Rank_Changes!$U$2:$U$1090,0))),"–")</f>
        <v>0</v>
      </c>
      <c r="K26" s="26" t="n">
        <f aca="false">IFERROR(IF(INDEX(Rank_Changes!$R$2:$R$1090,MATCH($A26&amp;"|"&amp;"DNK",Rank_Changes!$U$2:$U$1090,0))="","–",INDEX(Rank_Changes!$R$2:$R$1090,MATCH($A26&amp;"|"&amp;"DNK",Rank_Changes!$U$2:$U$1090,0))),"–")</f>
        <v>6</v>
      </c>
      <c r="L26" s="26" t="n">
        <f aca="false">IFERROR(IF(INDEX(Rank_Changes!$R$2:$R$1090,MATCH($A26&amp;"|"&amp;"CAN",Rank_Changes!$U$2:$U$1090,0))="","–",INDEX(Rank_Changes!$R$2:$R$1090,MATCH($A26&amp;"|"&amp;"CAN",Rank_Changes!$U$2:$U$1090,0))),"–")</f>
        <v>0</v>
      </c>
      <c r="M26" s="26" t="n">
        <f aca="false">IFERROR(IF(INDEX(Rank_Changes!$R$2:$R$1090,MATCH($A26&amp;"|"&amp;"JPN",Rank_Changes!$U$2:$U$1090,0))="","–",INDEX(Rank_Changes!$R$2:$R$1090,MATCH($A26&amp;"|"&amp;"JPN",Rank_Changes!$U$2:$U$1090,0))),"–")</f>
        <v>0</v>
      </c>
      <c r="N26" s="26" t="n">
        <f aca="false">IFERROR(IF(INDEX(Rank_Changes!$R$2:$R$1090,MATCH($A26&amp;"|"&amp;"AUS",Rank_Changes!$U$2:$U$1090,0))="","–",INDEX(Rank_Changes!$R$2:$R$1090,MATCH($A26&amp;"|"&amp;"AUS",Rank_Changes!$U$2:$U$1090,0))),"–")</f>
        <v>-3</v>
      </c>
    </row>
    <row r="27" customFormat="false" ht="15" hidden="false" customHeight="false" outlineLevel="0" collapsed="false">
      <c r="A27" s="12" t="s">
        <v>221</v>
      </c>
      <c r="B27" s="12" t="s">
        <v>40</v>
      </c>
      <c r="C27" s="12" t="s">
        <v>222</v>
      </c>
      <c r="D27" s="26" t="n">
        <f aca="false">IFERROR(IF(INDEX(Rank_Changes!$R$2:$R$1090,MATCH($A27&amp;"|"&amp;"USA",Rank_Changes!$U$2:$U$1090,0))="","–",INDEX(Rank_Changes!$R$2:$R$1090,MATCH($A27&amp;"|"&amp;"USA",Rank_Changes!$U$2:$U$1090,0))),"–")</f>
        <v>-1</v>
      </c>
      <c r="E27" s="26" t="n">
        <f aca="false">IFERROR(IF(INDEX(Rank_Changes!$R$2:$R$1090,MATCH($A27&amp;"|"&amp;"GBR",Rank_Changes!$U$2:$U$1090,0))="","–",INDEX(Rank_Changes!$R$2:$R$1090,MATCH($A27&amp;"|"&amp;"GBR",Rank_Changes!$U$2:$U$1090,0))),"–")</f>
        <v>-1</v>
      </c>
      <c r="F27" s="26" t="n">
        <f aca="false">IFERROR(IF(INDEX(Rank_Changes!$R$2:$R$1090,MATCH($A27&amp;"|"&amp;"DEU",Rank_Changes!$U$2:$U$1090,0))="","–",INDEX(Rank_Changes!$R$2:$R$1090,MATCH($A27&amp;"|"&amp;"DEU",Rank_Changes!$U$2:$U$1090,0))),"–")</f>
        <v>0</v>
      </c>
      <c r="G27" s="26" t="n">
        <f aca="false">IFERROR(IF(INDEX(Rank_Changes!$R$2:$R$1090,MATCH($A27&amp;"|"&amp;"SWE",Rank_Changes!$U$2:$U$1090,0))="","–",INDEX(Rank_Changes!$R$2:$R$1090,MATCH($A27&amp;"|"&amp;"SWE",Rank_Changes!$U$2:$U$1090,0))),"–")</f>
        <v>3</v>
      </c>
      <c r="H27" s="26" t="n">
        <f aca="false">IFERROR(IF(INDEX(Rank_Changes!$R$2:$R$1090,MATCH($A27&amp;"|"&amp;"FRA",Rank_Changes!$U$2:$U$1090,0))="","–",INDEX(Rank_Changes!$R$2:$R$1090,MATCH($A27&amp;"|"&amp;"FRA",Rank_Changes!$U$2:$U$1090,0))),"–")</f>
        <v>-1</v>
      </c>
      <c r="I27" s="26" t="n">
        <f aca="false">IFERROR(IF(INDEX(Rank_Changes!$R$2:$R$1090,MATCH($A27&amp;"|"&amp;"NLD",Rank_Changes!$U$2:$U$1090,0))="","–",INDEX(Rank_Changes!$R$2:$R$1090,MATCH($A27&amp;"|"&amp;"NLD",Rank_Changes!$U$2:$U$1090,0))),"–")</f>
        <v>-3</v>
      </c>
      <c r="J27" s="26" t="n">
        <f aca="false">IFERROR(IF(INDEX(Rank_Changes!$R$2:$R$1090,MATCH($A27&amp;"|"&amp;"CHE",Rank_Changes!$U$2:$U$1090,0))="","–",INDEX(Rank_Changes!$R$2:$R$1090,MATCH($A27&amp;"|"&amp;"CHE",Rank_Changes!$U$2:$U$1090,0))),"–")</f>
        <v>1</v>
      </c>
      <c r="K27" s="26" t="n">
        <f aca="false">IFERROR(IF(INDEX(Rank_Changes!$R$2:$R$1090,MATCH($A27&amp;"|"&amp;"DNK",Rank_Changes!$U$2:$U$1090,0))="","–",INDEX(Rank_Changes!$R$2:$R$1090,MATCH($A27&amp;"|"&amp;"DNK",Rank_Changes!$U$2:$U$1090,0))),"–")</f>
        <v>0</v>
      </c>
      <c r="L27" s="26" t="n">
        <f aca="false">IFERROR(IF(INDEX(Rank_Changes!$R$2:$R$1090,MATCH($A27&amp;"|"&amp;"CAN",Rank_Changes!$U$2:$U$1090,0))="","–",INDEX(Rank_Changes!$R$2:$R$1090,MATCH($A27&amp;"|"&amp;"CAN",Rank_Changes!$U$2:$U$1090,0))),"–")</f>
        <v>2</v>
      </c>
      <c r="M27" s="26" t="n">
        <f aca="false">IFERROR(IF(INDEX(Rank_Changes!$R$2:$R$1090,MATCH($A27&amp;"|"&amp;"JPN",Rank_Changes!$U$2:$U$1090,0))="","–",INDEX(Rank_Changes!$R$2:$R$1090,MATCH($A27&amp;"|"&amp;"JPN",Rank_Changes!$U$2:$U$1090,0))),"–")</f>
        <v>0</v>
      </c>
      <c r="N27" s="26" t="n">
        <f aca="false">IFERROR(IF(INDEX(Rank_Changes!$R$2:$R$1090,MATCH($A27&amp;"|"&amp;"AUS",Rank_Changes!$U$2:$U$1090,0))="","–",INDEX(Rank_Changes!$R$2:$R$1090,MATCH($A27&amp;"|"&amp;"AUS",Rank_Changes!$U$2:$U$1090,0))),"–")</f>
        <v>0</v>
      </c>
    </row>
    <row r="28" customFormat="false" ht="15" hidden="false" customHeight="false" outlineLevel="0" collapsed="false">
      <c r="A28" s="12" t="s">
        <v>223</v>
      </c>
      <c r="B28" s="12" t="s">
        <v>40</v>
      </c>
      <c r="C28" s="12" t="s">
        <v>224</v>
      </c>
      <c r="D28" s="26" t="n">
        <f aca="false">IFERROR(IF(INDEX(Rank_Changes!$R$2:$R$1090,MATCH($A28&amp;"|"&amp;"USA",Rank_Changes!$U$2:$U$1090,0))="","–",INDEX(Rank_Changes!$R$2:$R$1090,MATCH($A28&amp;"|"&amp;"USA",Rank_Changes!$U$2:$U$1090,0))),"–")</f>
        <v>-1</v>
      </c>
      <c r="E28" s="26" t="n">
        <f aca="false">IFERROR(IF(INDEX(Rank_Changes!$R$2:$R$1090,MATCH($A28&amp;"|"&amp;"GBR",Rank_Changes!$U$2:$U$1090,0))="","–",INDEX(Rank_Changes!$R$2:$R$1090,MATCH($A28&amp;"|"&amp;"GBR",Rank_Changes!$U$2:$U$1090,0))),"–")</f>
        <v>-3</v>
      </c>
      <c r="F28" s="26" t="n">
        <f aca="false">IFERROR(IF(INDEX(Rank_Changes!$R$2:$R$1090,MATCH($A28&amp;"|"&amp;"DEU",Rank_Changes!$U$2:$U$1090,0))="","–",INDEX(Rank_Changes!$R$2:$R$1090,MATCH($A28&amp;"|"&amp;"DEU",Rank_Changes!$U$2:$U$1090,0))),"–")</f>
        <v>-2</v>
      </c>
      <c r="G28" s="26" t="n">
        <f aca="false">IFERROR(IF(INDEX(Rank_Changes!$R$2:$R$1090,MATCH($A28&amp;"|"&amp;"SWE",Rank_Changes!$U$2:$U$1090,0))="","–",INDEX(Rank_Changes!$R$2:$R$1090,MATCH($A28&amp;"|"&amp;"SWE",Rank_Changes!$U$2:$U$1090,0))),"–")</f>
        <v>4</v>
      </c>
      <c r="H28" s="26" t="n">
        <f aca="false">IFERROR(IF(INDEX(Rank_Changes!$R$2:$R$1090,MATCH($A28&amp;"|"&amp;"FRA",Rank_Changes!$U$2:$U$1090,0))="","–",INDEX(Rank_Changes!$R$2:$R$1090,MATCH($A28&amp;"|"&amp;"FRA",Rank_Changes!$U$2:$U$1090,0))),"–")</f>
        <v>-1</v>
      </c>
      <c r="I28" s="26" t="str">
        <f aca="false">IFERROR(IF(INDEX(Rank_Changes!$R$2:$R$1090,MATCH($A28&amp;"|"&amp;"NLD",Rank_Changes!$U$2:$U$1090,0))="","–",INDEX(Rank_Changes!$R$2:$R$1090,MATCH($A28&amp;"|"&amp;"NLD",Rank_Changes!$U$2:$U$1090,0))),"–")</f>
        <v>–</v>
      </c>
      <c r="J28" s="26" t="n">
        <f aca="false">IFERROR(IF(INDEX(Rank_Changes!$R$2:$R$1090,MATCH($A28&amp;"|"&amp;"CHE",Rank_Changes!$U$2:$U$1090,0))="","–",INDEX(Rank_Changes!$R$2:$R$1090,MATCH($A28&amp;"|"&amp;"CHE",Rank_Changes!$U$2:$U$1090,0))),"–")</f>
        <v>-4</v>
      </c>
      <c r="K28" s="26" t="str">
        <f aca="false">IFERROR(IF(INDEX(Rank_Changes!$R$2:$R$1090,MATCH($A28&amp;"|"&amp;"DNK",Rank_Changes!$U$2:$U$1090,0))="","–",INDEX(Rank_Changes!$R$2:$R$1090,MATCH($A28&amp;"|"&amp;"DNK",Rank_Changes!$U$2:$U$1090,0))),"–")</f>
        <v>–</v>
      </c>
      <c r="L28" s="26" t="n">
        <f aca="false">IFERROR(IF(INDEX(Rank_Changes!$R$2:$R$1090,MATCH($A28&amp;"|"&amp;"CAN",Rank_Changes!$U$2:$U$1090,0))="","–",INDEX(Rank_Changes!$R$2:$R$1090,MATCH($A28&amp;"|"&amp;"CAN",Rank_Changes!$U$2:$U$1090,0))),"–")</f>
        <v>2</v>
      </c>
      <c r="M28" s="26" t="str">
        <f aca="false">IFERROR(IF(INDEX(Rank_Changes!$R$2:$R$1090,MATCH($A28&amp;"|"&amp;"JPN",Rank_Changes!$U$2:$U$1090,0))="","–",INDEX(Rank_Changes!$R$2:$R$1090,MATCH($A28&amp;"|"&amp;"JPN",Rank_Changes!$U$2:$U$1090,0))),"–")</f>
        <v>–</v>
      </c>
      <c r="N28" s="26" t="n">
        <f aca="false">IFERROR(IF(INDEX(Rank_Changes!$R$2:$R$1090,MATCH($A28&amp;"|"&amp;"AUS",Rank_Changes!$U$2:$U$1090,0))="","–",INDEX(Rank_Changes!$R$2:$R$1090,MATCH($A28&amp;"|"&amp;"AUS",Rank_Changes!$U$2:$U$1090,0))),"–")</f>
        <v>5</v>
      </c>
    </row>
    <row r="29" customFormat="false" ht="15" hidden="false" customHeight="false" outlineLevel="0" collapsed="false">
      <c r="A29" s="12" t="s">
        <v>226</v>
      </c>
      <c r="B29" s="12" t="s">
        <v>40</v>
      </c>
      <c r="C29" s="12" t="s">
        <v>227</v>
      </c>
      <c r="D29" s="26" t="n">
        <f aca="false">IFERROR(IF(INDEX(Rank_Changes!$R$2:$R$1090,MATCH($A29&amp;"|"&amp;"USA",Rank_Changes!$U$2:$U$1090,0))="","–",INDEX(Rank_Changes!$R$2:$R$1090,MATCH($A29&amp;"|"&amp;"USA",Rank_Changes!$U$2:$U$1090,0))),"–")</f>
        <v>-2</v>
      </c>
      <c r="E29" s="26" t="n">
        <f aca="false">IFERROR(IF(INDEX(Rank_Changes!$R$2:$R$1090,MATCH($A29&amp;"|"&amp;"GBR",Rank_Changes!$U$2:$U$1090,0))="","–",INDEX(Rank_Changes!$R$2:$R$1090,MATCH($A29&amp;"|"&amp;"GBR",Rank_Changes!$U$2:$U$1090,0))),"–")</f>
        <v>-2</v>
      </c>
      <c r="F29" s="26" t="n">
        <f aca="false">IFERROR(IF(INDEX(Rank_Changes!$R$2:$R$1090,MATCH($A29&amp;"|"&amp;"DEU",Rank_Changes!$U$2:$U$1090,0))="","–",INDEX(Rank_Changes!$R$2:$R$1090,MATCH($A29&amp;"|"&amp;"DEU",Rank_Changes!$U$2:$U$1090,0))),"–")</f>
        <v>-0</v>
      </c>
      <c r="G29" s="26" t="n">
        <f aca="false">IFERROR(IF(INDEX(Rank_Changes!$R$2:$R$1090,MATCH($A29&amp;"|"&amp;"SWE",Rank_Changes!$U$2:$U$1090,0))="","–",INDEX(Rank_Changes!$R$2:$R$1090,MATCH($A29&amp;"|"&amp;"SWE",Rank_Changes!$U$2:$U$1090,0))),"–")</f>
        <v>5</v>
      </c>
      <c r="H29" s="26" t="n">
        <f aca="false">IFERROR(IF(INDEX(Rank_Changes!$R$2:$R$1090,MATCH($A29&amp;"|"&amp;"FRA",Rank_Changes!$U$2:$U$1090,0))="","–",INDEX(Rank_Changes!$R$2:$R$1090,MATCH($A29&amp;"|"&amp;"FRA",Rank_Changes!$U$2:$U$1090,0))),"–")</f>
        <v>-1</v>
      </c>
      <c r="I29" s="26" t="str">
        <f aca="false">IFERROR(IF(INDEX(Rank_Changes!$R$2:$R$1090,MATCH($A29&amp;"|"&amp;"NLD",Rank_Changes!$U$2:$U$1090,0))="","–",INDEX(Rank_Changes!$R$2:$R$1090,MATCH($A29&amp;"|"&amp;"NLD",Rank_Changes!$U$2:$U$1090,0))),"–")</f>
        <v>–</v>
      </c>
      <c r="J29" s="26" t="n">
        <f aca="false">IFERROR(IF(INDEX(Rank_Changes!$R$2:$R$1090,MATCH($A29&amp;"|"&amp;"CHE",Rank_Changes!$U$2:$U$1090,0))="","–",INDEX(Rank_Changes!$R$2:$R$1090,MATCH($A29&amp;"|"&amp;"CHE",Rank_Changes!$U$2:$U$1090,0))),"–")</f>
        <v>-0</v>
      </c>
      <c r="K29" s="26" t="str">
        <f aca="false">IFERROR(IF(INDEX(Rank_Changes!$R$2:$R$1090,MATCH($A29&amp;"|"&amp;"DNK",Rank_Changes!$U$2:$U$1090,0))="","–",INDEX(Rank_Changes!$R$2:$R$1090,MATCH($A29&amp;"|"&amp;"DNK",Rank_Changes!$U$2:$U$1090,0))),"–")</f>
        <v>–</v>
      </c>
      <c r="L29" s="26" t="n">
        <f aca="false">IFERROR(IF(INDEX(Rank_Changes!$R$2:$R$1090,MATCH($A29&amp;"|"&amp;"CAN",Rank_Changes!$U$2:$U$1090,0))="","–",INDEX(Rank_Changes!$R$2:$R$1090,MATCH($A29&amp;"|"&amp;"CAN",Rank_Changes!$U$2:$U$1090,0))),"–")</f>
        <v>-0</v>
      </c>
      <c r="M29" s="26" t="str">
        <f aca="false">IFERROR(IF(INDEX(Rank_Changes!$R$2:$R$1090,MATCH($A29&amp;"|"&amp;"JPN",Rank_Changes!$U$2:$U$1090,0))="","–",INDEX(Rank_Changes!$R$2:$R$1090,MATCH($A29&amp;"|"&amp;"JPN",Rank_Changes!$U$2:$U$1090,0))),"–")</f>
        <v>–</v>
      </c>
      <c r="N29" s="26" t="n">
        <f aca="false">IFERROR(IF(INDEX(Rank_Changes!$R$2:$R$1090,MATCH($A29&amp;"|"&amp;"AUS",Rank_Changes!$U$2:$U$1090,0))="","–",INDEX(Rank_Changes!$R$2:$R$1090,MATCH($A29&amp;"|"&amp;"AUS",Rank_Changes!$U$2:$U$1090,0))),"–")</f>
        <v>-0</v>
      </c>
    </row>
    <row r="30" customFormat="false" ht="15" hidden="false" customHeight="false" outlineLevel="0" collapsed="false">
      <c r="A30" s="12" t="s">
        <v>228</v>
      </c>
      <c r="B30" s="12" t="s">
        <v>40</v>
      </c>
      <c r="C30" s="12" t="s">
        <v>229</v>
      </c>
      <c r="D30" s="26" t="str">
        <f aca="false">IFERROR(IF(INDEX(Rank_Changes!$R$2:$R$1090,MATCH($A30&amp;"|"&amp;"USA",Rank_Changes!$U$2:$U$1090,0))="","–",INDEX(Rank_Changes!$R$2:$R$1090,MATCH($A30&amp;"|"&amp;"USA",Rank_Changes!$U$2:$U$1090,0))),"–")</f>
        <v>–</v>
      </c>
      <c r="E30" s="26" t="str">
        <f aca="false">IFERROR(IF(INDEX(Rank_Changes!$R$2:$R$1090,MATCH($A30&amp;"|"&amp;"GBR",Rank_Changes!$U$2:$U$1090,0))="","–",INDEX(Rank_Changes!$R$2:$R$1090,MATCH($A30&amp;"|"&amp;"GBR",Rank_Changes!$U$2:$U$1090,0))),"–")</f>
        <v>–</v>
      </c>
      <c r="F30" s="26" t="str">
        <f aca="false">IFERROR(IF(INDEX(Rank_Changes!$R$2:$R$1090,MATCH($A30&amp;"|"&amp;"DEU",Rank_Changes!$U$2:$U$1090,0))="","–",INDEX(Rank_Changes!$R$2:$R$1090,MATCH($A30&amp;"|"&amp;"DEU",Rank_Changes!$U$2:$U$1090,0))),"–")</f>
        <v>–</v>
      </c>
      <c r="G30" s="26" t="str">
        <f aca="false">IFERROR(IF(INDEX(Rank_Changes!$R$2:$R$1090,MATCH($A30&amp;"|"&amp;"SWE",Rank_Changes!$U$2:$U$1090,0))="","–",INDEX(Rank_Changes!$R$2:$R$1090,MATCH($A30&amp;"|"&amp;"SWE",Rank_Changes!$U$2:$U$1090,0))),"–")</f>
        <v>–</v>
      </c>
      <c r="H30" s="26" t="str">
        <f aca="false">IFERROR(IF(INDEX(Rank_Changes!$R$2:$R$1090,MATCH($A30&amp;"|"&amp;"FRA",Rank_Changes!$U$2:$U$1090,0))="","–",INDEX(Rank_Changes!$R$2:$R$1090,MATCH($A30&amp;"|"&amp;"FRA",Rank_Changes!$U$2:$U$1090,0))),"–")</f>
        <v>–</v>
      </c>
      <c r="I30" s="26" t="str">
        <f aca="false">IFERROR(IF(INDEX(Rank_Changes!$R$2:$R$1090,MATCH($A30&amp;"|"&amp;"NLD",Rank_Changes!$U$2:$U$1090,0))="","–",INDEX(Rank_Changes!$R$2:$R$1090,MATCH($A30&amp;"|"&amp;"NLD",Rank_Changes!$U$2:$U$1090,0))),"–")</f>
        <v>–</v>
      </c>
      <c r="J30" s="26" t="str">
        <f aca="false">IFERROR(IF(INDEX(Rank_Changes!$R$2:$R$1090,MATCH($A30&amp;"|"&amp;"CHE",Rank_Changes!$U$2:$U$1090,0))="","–",INDEX(Rank_Changes!$R$2:$R$1090,MATCH($A30&amp;"|"&amp;"CHE",Rank_Changes!$U$2:$U$1090,0))),"–")</f>
        <v>–</v>
      </c>
      <c r="K30" s="26" t="str">
        <f aca="false">IFERROR(IF(INDEX(Rank_Changes!$R$2:$R$1090,MATCH($A30&amp;"|"&amp;"DNK",Rank_Changes!$U$2:$U$1090,0))="","–",INDEX(Rank_Changes!$R$2:$R$1090,MATCH($A30&amp;"|"&amp;"DNK",Rank_Changes!$U$2:$U$1090,0))),"–")</f>
        <v>–</v>
      </c>
      <c r="L30" s="26" t="str">
        <f aca="false">IFERROR(IF(INDEX(Rank_Changes!$R$2:$R$1090,MATCH($A30&amp;"|"&amp;"CAN",Rank_Changes!$U$2:$U$1090,0))="","–",INDEX(Rank_Changes!$R$2:$R$1090,MATCH($A30&amp;"|"&amp;"CAN",Rank_Changes!$U$2:$U$1090,0))),"–")</f>
        <v>–</v>
      </c>
      <c r="M30" s="26" t="str">
        <f aca="false">IFERROR(IF(INDEX(Rank_Changes!$R$2:$R$1090,MATCH($A30&amp;"|"&amp;"JPN",Rank_Changes!$U$2:$U$1090,0))="","–",INDEX(Rank_Changes!$R$2:$R$1090,MATCH($A30&amp;"|"&amp;"JPN",Rank_Changes!$U$2:$U$1090,0))),"–")</f>
        <v>–</v>
      </c>
      <c r="N30" s="26" t="str">
        <f aca="false">IFERROR(IF(INDEX(Rank_Changes!$R$2:$R$1090,MATCH($A30&amp;"|"&amp;"AUS",Rank_Changes!$U$2:$U$1090,0))="","–",INDEX(Rank_Changes!$R$2:$R$1090,MATCH($A30&amp;"|"&amp;"AUS",Rank_Changes!$U$2:$U$1090,0))),"–")</f>
        <v>–</v>
      </c>
    </row>
    <row r="31" customFormat="false" ht="15" hidden="false" customHeight="false" outlineLevel="0" collapsed="false">
      <c r="A31" s="12" t="s">
        <v>230</v>
      </c>
      <c r="B31" s="12" t="s">
        <v>40</v>
      </c>
      <c r="C31" s="12" t="s">
        <v>231</v>
      </c>
      <c r="D31" s="26" t="n">
        <f aca="false">IFERROR(IF(INDEX(Rank_Changes!$R$2:$R$1090,MATCH($A31&amp;"|"&amp;"USA",Rank_Changes!$U$2:$U$1090,0))="","–",INDEX(Rank_Changes!$R$2:$R$1090,MATCH($A31&amp;"|"&amp;"USA",Rank_Changes!$U$2:$U$1090,0))),"–")</f>
        <v>-3</v>
      </c>
      <c r="E31" s="26" t="n">
        <f aca="false">IFERROR(IF(INDEX(Rank_Changes!$R$2:$R$1090,MATCH($A31&amp;"|"&amp;"GBR",Rank_Changes!$U$2:$U$1090,0))="","–",INDEX(Rank_Changes!$R$2:$R$1090,MATCH($A31&amp;"|"&amp;"GBR",Rank_Changes!$U$2:$U$1090,0))),"–")</f>
        <v>2</v>
      </c>
      <c r="F31" s="26" t="n">
        <f aca="false">IFERROR(IF(INDEX(Rank_Changes!$R$2:$R$1090,MATCH($A31&amp;"|"&amp;"DEU",Rank_Changes!$U$2:$U$1090,0))="","–",INDEX(Rank_Changes!$R$2:$R$1090,MATCH($A31&amp;"|"&amp;"DEU",Rank_Changes!$U$2:$U$1090,0))),"–")</f>
        <v>1</v>
      </c>
      <c r="G31" s="26" t="n">
        <f aca="false">IFERROR(IF(INDEX(Rank_Changes!$R$2:$R$1090,MATCH($A31&amp;"|"&amp;"SWE",Rank_Changes!$U$2:$U$1090,0))="","–",INDEX(Rank_Changes!$R$2:$R$1090,MATCH($A31&amp;"|"&amp;"SWE",Rank_Changes!$U$2:$U$1090,0))),"–")</f>
        <v>4</v>
      </c>
      <c r="H31" s="26" t="str">
        <f aca="false">IFERROR(IF(INDEX(Rank_Changes!$R$2:$R$1090,MATCH($A31&amp;"|"&amp;"FRA",Rank_Changes!$U$2:$U$1090,0))="","–",INDEX(Rank_Changes!$R$2:$R$1090,MATCH($A31&amp;"|"&amp;"FRA",Rank_Changes!$U$2:$U$1090,0))),"–")</f>
        <v>–</v>
      </c>
      <c r="I31" s="26" t="n">
        <f aca="false">IFERROR(IF(INDEX(Rank_Changes!$R$2:$R$1090,MATCH($A31&amp;"|"&amp;"NLD",Rank_Changes!$U$2:$U$1090,0))="","–",INDEX(Rank_Changes!$R$2:$R$1090,MATCH($A31&amp;"|"&amp;"NLD",Rank_Changes!$U$2:$U$1090,0))),"–")</f>
        <v>-3</v>
      </c>
      <c r="J31" s="26" t="n">
        <f aca="false">IFERROR(IF(INDEX(Rank_Changes!$R$2:$R$1090,MATCH($A31&amp;"|"&amp;"CHE",Rank_Changes!$U$2:$U$1090,0))="","–",INDEX(Rank_Changes!$R$2:$R$1090,MATCH($A31&amp;"|"&amp;"CHE",Rank_Changes!$U$2:$U$1090,0))),"–")</f>
        <v>1</v>
      </c>
      <c r="K31" s="26" t="n">
        <f aca="false">IFERROR(IF(INDEX(Rank_Changes!$R$2:$R$1090,MATCH($A31&amp;"|"&amp;"DNK",Rank_Changes!$U$2:$U$1090,0))="","–",INDEX(Rank_Changes!$R$2:$R$1090,MATCH($A31&amp;"|"&amp;"DNK",Rank_Changes!$U$2:$U$1090,0))),"–")</f>
        <v>-2</v>
      </c>
      <c r="L31" s="26" t="n">
        <f aca="false">IFERROR(IF(INDEX(Rank_Changes!$R$2:$R$1090,MATCH($A31&amp;"|"&amp;"CAN",Rank_Changes!$U$2:$U$1090,0))="","–",INDEX(Rank_Changes!$R$2:$R$1090,MATCH($A31&amp;"|"&amp;"CAN",Rank_Changes!$U$2:$U$1090,0))),"–")</f>
        <v>-0</v>
      </c>
      <c r="M31" s="26" t="str">
        <f aca="false">IFERROR(IF(INDEX(Rank_Changes!$R$2:$R$1090,MATCH($A31&amp;"|"&amp;"JPN",Rank_Changes!$U$2:$U$1090,0))="","–",INDEX(Rank_Changes!$R$2:$R$1090,MATCH($A31&amp;"|"&amp;"JPN",Rank_Changes!$U$2:$U$1090,0))),"–")</f>
        <v>–</v>
      </c>
      <c r="N31" s="26" t="n">
        <f aca="false">IFERROR(IF(INDEX(Rank_Changes!$R$2:$R$1090,MATCH($A31&amp;"|"&amp;"AUS",Rank_Changes!$U$2:$U$1090,0))="","–",INDEX(Rank_Changes!$R$2:$R$1090,MATCH($A31&amp;"|"&amp;"AUS",Rank_Changes!$U$2:$U$1090,0))),"–")</f>
        <v>1</v>
      </c>
    </row>
    <row r="32" customFormat="false" ht="15" hidden="false" customHeight="false" outlineLevel="0" collapsed="false">
      <c r="A32" s="12" t="s">
        <v>232</v>
      </c>
      <c r="B32" s="12" t="s">
        <v>40</v>
      </c>
      <c r="C32" s="12" t="s">
        <v>233</v>
      </c>
      <c r="D32" s="26" t="n">
        <f aca="false">IFERROR(IF(INDEX(Rank_Changes!$R$2:$R$1090,MATCH($A32&amp;"|"&amp;"USA",Rank_Changes!$U$2:$U$1090,0))="","–",INDEX(Rank_Changes!$R$2:$R$1090,MATCH($A32&amp;"|"&amp;"USA",Rank_Changes!$U$2:$U$1090,0))),"–")</f>
        <v>-1</v>
      </c>
      <c r="E32" s="26" t="n">
        <f aca="false">IFERROR(IF(INDEX(Rank_Changes!$R$2:$R$1090,MATCH($A32&amp;"|"&amp;"GBR",Rank_Changes!$U$2:$U$1090,0))="","–",INDEX(Rank_Changes!$R$2:$R$1090,MATCH($A32&amp;"|"&amp;"GBR",Rank_Changes!$U$2:$U$1090,0))),"–")</f>
        <v>-0</v>
      </c>
      <c r="F32" s="26" t="n">
        <f aca="false">IFERROR(IF(INDEX(Rank_Changes!$R$2:$R$1090,MATCH($A32&amp;"|"&amp;"DEU",Rank_Changes!$U$2:$U$1090,0))="","–",INDEX(Rank_Changes!$R$2:$R$1090,MATCH($A32&amp;"|"&amp;"DEU",Rank_Changes!$U$2:$U$1090,0))),"–")</f>
        <v>1</v>
      </c>
      <c r="G32" s="26" t="n">
        <f aca="false">IFERROR(IF(INDEX(Rank_Changes!$R$2:$R$1090,MATCH($A32&amp;"|"&amp;"SWE",Rank_Changes!$U$2:$U$1090,0))="","–",INDEX(Rank_Changes!$R$2:$R$1090,MATCH($A32&amp;"|"&amp;"SWE",Rank_Changes!$U$2:$U$1090,0))),"–")</f>
        <v>3</v>
      </c>
      <c r="H32" s="26" t="n">
        <f aca="false">IFERROR(IF(INDEX(Rank_Changes!$R$2:$R$1090,MATCH($A32&amp;"|"&amp;"FRA",Rank_Changes!$U$2:$U$1090,0))="","–",INDEX(Rank_Changes!$R$2:$R$1090,MATCH($A32&amp;"|"&amp;"FRA",Rank_Changes!$U$2:$U$1090,0))),"–")</f>
        <v>-0</v>
      </c>
      <c r="I32" s="26" t="n">
        <f aca="false">IFERROR(IF(INDEX(Rank_Changes!$R$2:$R$1090,MATCH($A32&amp;"|"&amp;"NLD",Rank_Changes!$U$2:$U$1090,0))="","–",INDEX(Rank_Changes!$R$2:$R$1090,MATCH($A32&amp;"|"&amp;"NLD",Rank_Changes!$U$2:$U$1090,0))),"–")</f>
        <v>-0</v>
      </c>
      <c r="J32" s="26" t="n">
        <f aca="false">IFERROR(IF(INDEX(Rank_Changes!$R$2:$R$1090,MATCH($A32&amp;"|"&amp;"CHE",Rank_Changes!$U$2:$U$1090,0))="","–",INDEX(Rank_Changes!$R$2:$R$1090,MATCH($A32&amp;"|"&amp;"CHE",Rank_Changes!$U$2:$U$1090,0))),"–")</f>
        <v>-2</v>
      </c>
      <c r="K32" s="26" t="n">
        <f aca="false">IFERROR(IF(INDEX(Rank_Changes!$R$2:$R$1090,MATCH($A32&amp;"|"&amp;"DNK",Rank_Changes!$U$2:$U$1090,0))="","–",INDEX(Rank_Changes!$R$2:$R$1090,MATCH($A32&amp;"|"&amp;"DNK",Rank_Changes!$U$2:$U$1090,0))),"–")</f>
        <v>1</v>
      </c>
      <c r="L32" s="26" t="n">
        <f aca="false">IFERROR(IF(INDEX(Rank_Changes!$R$2:$R$1090,MATCH($A32&amp;"|"&amp;"CAN",Rank_Changes!$U$2:$U$1090,0))="","–",INDEX(Rank_Changes!$R$2:$R$1090,MATCH($A32&amp;"|"&amp;"CAN",Rank_Changes!$U$2:$U$1090,0))),"–")</f>
        <v>-2</v>
      </c>
      <c r="M32" s="26" t="str">
        <f aca="false">IFERROR(IF(INDEX(Rank_Changes!$R$2:$R$1090,MATCH($A32&amp;"|"&amp;"JPN",Rank_Changes!$U$2:$U$1090,0))="","–",INDEX(Rank_Changes!$R$2:$R$1090,MATCH($A32&amp;"|"&amp;"JPN",Rank_Changes!$U$2:$U$1090,0))),"–")</f>
        <v>–</v>
      </c>
      <c r="N32" s="26" t="n">
        <f aca="false">IFERROR(IF(INDEX(Rank_Changes!$R$2:$R$1090,MATCH($A32&amp;"|"&amp;"AUS",Rank_Changes!$U$2:$U$1090,0))="","–",INDEX(Rank_Changes!$R$2:$R$1090,MATCH($A32&amp;"|"&amp;"AUS",Rank_Changes!$U$2:$U$1090,0))),"–")</f>
        <v>-0</v>
      </c>
    </row>
    <row r="33" customFormat="false" ht="15" hidden="false" customHeight="false" outlineLevel="0" collapsed="false">
      <c r="A33" s="12" t="s">
        <v>235</v>
      </c>
      <c r="B33" s="12" t="s">
        <v>40</v>
      </c>
      <c r="C33" s="12" t="s">
        <v>236</v>
      </c>
      <c r="D33" s="26" t="n">
        <f aca="false">IFERROR(IF(INDEX(Rank_Changes!$R$2:$R$1090,MATCH($A33&amp;"|"&amp;"USA",Rank_Changes!$U$2:$U$1090,0))="","–",INDEX(Rank_Changes!$R$2:$R$1090,MATCH($A33&amp;"|"&amp;"USA",Rank_Changes!$U$2:$U$1090,0))),"–")</f>
        <v>1</v>
      </c>
      <c r="E33" s="26" t="n">
        <f aca="false">IFERROR(IF(INDEX(Rank_Changes!$R$2:$R$1090,MATCH($A33&amp;"|"&amp;"GBR",Rank_Changes!$U$2:$U$1090,0))="","–",INDEX(Rank_Changes!$R$2:$R$1090,MATCH($A33&amp;"|"&amp;"GBR",Rank_Changes!$U$2:$U$1090,0))),"–")</f>
        <v>2</v>
      </c>
      <c r="F33" s="26" t="n">
        <f aca="false">IFERROR(IF(INDEX(Rank_Changes!$R$2:$R$1090,MATCH($A33&amp;"|"&amp;"DEU",Rank_Changes!$U$2:$U$1090,0))="","–",INDEX(Rank_Changes!$R$2:$R$1090,MATCH($A33&amp;"|"&amp;"DEU",Rank_Changes!$U$2:$U$1090,0))),"–")</f>
        <v>-0</v>
      </c>
      <c r="G33" s="26" t="n">
        <f aca="false">IFERROR(IF(INDEX(Rank_Changes!$R$2:$R$1090,MATCH($A33&amp;"|"&amp;"SWE",Rank_Changes!$U$2:$U$1090,0))="","–",INDEX(Rank_Changes!$R$2:$R$1090,MATCH($A33&amp;"|"&amp;"SWE",Rank_Changes!$U$2:$U$1090,0))),"–")</f>
        <v>5</v>
      </c>
      <c r="H33" s="26" t="n">
        <f aca="false">IFERROR(IF(INDEX(Rank_Changes!$R$2:$R$1090,MATCH($A33&amp;"|"&amp;"FRA",Rank_Changes!$U$2:$U$1090,0))="","–",INDEX(Rank_Changes!$R$2:$R$1090,MATCH($A33&amp;"|"&amp;"FRA",Rank_Changes!$U$2:$U$1090,0))),"–")</f>
        <v>-7</v>
      </c>
      <c r="I33" s="26" t="n">
        <f aca="false">IFERROR(IF(INDEX(Rank_Changes!$R$2:$R$1090,MATCH($A33&amp;"|"&amp;"NLD",Rank_Changes!$U$2:$U$1090,0))="","–",INDEX(Rank_Changes!$R$2:$R$1090,MATCH($A33&amp;"|"&amp;"NLD",Rank_Changes!$U$2:$U$1090,0))),"–")</f>
        <v>2</v>
      </c>
      <c r="J33" s="26" t="n">
        <f aca="false">IFERROR(IF(INDEX(Rank_Changes!$R$2:$R$1090,MATCH($A33&amp;"|"&amp;"CHE",Rank_Changes!$U$2:$U$1090,0))="","–",INDEX(Rank_Changes!$R$2:$R$1090,MATCH($A33&amp;"|"&amp;"CHE",Rank_Changes!$U$2:$U$1090,0))),"–")</f>
        <v>-3</v>
      </c>
      <c r="K33" s="26" t="n">
        <f aca="false">IFERROR(IF(INDEX(Rank_Changes!$R$2:$R$1090,MATCH($A33&amp;"|"&amp;"DNK",Rank_Changes!$U$2:$U$1090,0))="","–",INDEX(Rank_Changes!$R$2:$R$1090,MATCH($A33&amp;"|"&amp;"DNK",Rank_Changes!$U$2:$U$1090,0))),"–")</f>
        <v>1</v>
      </c>
      <c r="L33" s="26" t="n">
        <f aca="false">IFERROR(IF(INDEX(Rank_Changes!$R$2:$R$1090,MATCH($A33&amp;"|"&amp;"CAN",Rank_Changes!$U$2:$U$1090,0))="","–",INDEX(Rank_Changes!$R$2:$R$1090,MATCH($A33&amp;"|"&amp;"CAN",Rank_Changes!$U$2:$U$1090,0))),"–")</f>
        <v>-0</v>
      </c>
      <c r="M33" s="26" t="str">
        <f aca="false">IFERROR(IF(INDEX(Rank_Changes!$R$2:$R$1090,MATCH($A33&amp;"|"&amp;"JPN",Rank_Changes!$U$2:$U$1090,0))="","–",INDEX(Rank_Changes!$R$2:$R$1090,MATCH($A33&amp;"|"&amp;"JPN",Rank_Changes!$U$2:$U$1090,0))),"–")</f>
        <v>–</v>
      </c>
      <c r="N33" s="26" t="n">
        <f aca="false">IFERROR(IF(INDEX(Rank_Changes!$R$2:$R$1090,MATCH($A33&amp;"|"&amp;"AUS",Rank_Changes!$U$2:$U$1090,0))="","–",INDEX(Rank_Changes!$R$2:$R$1090,MATCH($A33&amp;"|"&amp;"AUS",Rank_Changes!$U$2:$U$1090,0))),"–")</f>
        <v>2</v>
      </c>
    </row>
    <row r="34" customFormat="false" ht="15" hidden="false" customHeight="false" outlineLevel="0" collapsed="false">
      <c r="A34" s="12" t="s">
        <v>237</v>
      </c>
      <c r="B34" s="12" t="s">
        <v>40</v>
      </c>
      <c r="C34" s="12" t="s">
        <v>238</v>
      </c>
      <c r="D34" s="26" t="n">
        <f aca="false">IFERROR(IF(INDEX(Rank_Changes!$R$2:$R$1090,MATCH($A34&amp;"|"&amp;"USA",Rank_Changes!$U$2:$U$1090,0))="","–",INDEX(Rank_Changes!$R$2:$R$1090,MATCH($A34&amp;"|"&amp;"USA",Rank_Changes!$U$2:$U$1090,0))),"–")</f>
        <v>7</v>
      </c>
      <c r="E34" s="26" t="n">
        <f aca="false">IFERROR(IF(INDEX(Rank_Changes!$R$2:$R$1090,MATCH($A34&amp;"|"&amp;"GBR",Rank_Changes!$U$2:$U$1090,0))="","–",INDEX(Rank_Changes!$R$2:$R$1090,MATCH($A34&amp;"|"&amp;"GBR",Rank_Changes!$U$2:$U$1090,0))),"–")</f>
        <v>-1</v>
      </c>
      <c r="F34" s="26" t="n">
        <f aca="false">IFERROR(IF(INDEX(Rank_Changes!$R$2:$R$1090,MATCH($A34&amp;"|"&amp;"DEU",Rank_Changes!$U$2:$U$1090,0))="","–",INDEX(Rank_Changes!$R$2:$R$1090,MATCH($A34&amp;"|"&amp;"DEU",Rank_Changes!$U$2:$U$1090,0))),"–")</f>
        <v>-2</v>
      </c>
      <c r="G34" s="26" t="n">
        <f aca="false">IFERROR(IF(INDEX(Rank_Changes!$R$2:$R$1090,MATCH($A34&amp;"|"&amp;"SWE",Rank_Changes!$U$2:$U$1090,0))="","–",INDEX(Rank_Changes!$R$2:$R$1090,MATCH($A34&amp;"|"&amp;"SWE",Rank_Changes!$U$2:$U$1090,0))),"–")</f>
        <v>-0</v>
      </c>
      <c r="H34" s="26" t="n">
        <f aca="false">IFERROR(IF(INDEX(Rank_Changes!$R$2:$R$1090,MATCH($A34&amp;"|"&amp;"FRA",Rank_Changes!$U$2:$U$1090,0))="","–",INDEX(Rank_Changes!$R$2:$R$1090,MATCH($A34&amp;"|"&amp;"FRA",Rank_Changes!$U$2:$U$1090,0))),"–")</f>
        <v>-2</v>
      </c>
      <c r="I34" s="26" t="n">
        <f aca="false">IFERROR(IF(INDEX(Rank_Changes!$R$2:$R$1090,MATCH($A34&amp;"|"&amp;"NLD",Rank_Changes!$U$2:$U$1090,0))="","–",INDEX(Rank_Changes!$R$2:$R$1090,MATCH($A34&amp;"|"&amp;"NLD",Rank_Changes!$U$2:$U$1090,0))),"–")</f>
        <v>1</v>
      </c>
      <c r="J34" s="26" t="n">
        <f aca="false">IFERROR(IF(INDEX(Rank_Changes!$R$2:$R$1090,MATCH($A34&amp;"|"&amp;"CHE",Rank_Changes!$U$2:$U$1090,0))="","–",INDEX(Rank_Changes!$R$2:$R$1090,MATCH($A34&amp;"|"&amp;"CHE",Rank_Changes!$U$2:$U$1090,0))),"–")</f>
        <v>-1</v>
      </c>
      <c r="K34" s="26" t="n">
        <f aca="false">IFERROR(IF(INDEX(Rank_Changes!$R$2:$R$1090,MATCH($A34&amp;"|"&amp;"DNK",Rank_Changes!$U$2:$U$1090,0))="","–",INDEX(Rank_Changes!$R$2:$R$1090,MATCH($A34&amp;"|"&amp;"DNK",Rank_Changes!$U$2:$U$1090,0))),"–")</f>
        <v>-2</v>
      </c>
      <c r="L34" s="26" t="n">
        <f aca="false">IFERROR(IF(INDEX(Rank_Changes!$R$2:$R$1090,MATCH($A34&amp;"|"&amp;"CAN",Rank_Changes!$U$2:$U$1090,0))="","–",INDEX(Rank_Changes!$R$2:$R$1090,MATCH($A34&amp;"|"&amp;"CAN",Rank_Changes!$U$2:$U$1090,0))),"–")</f>
        <v>-0</v>
      </c>
      <c r="M34" s="26" t="str">
        <f aca="false">IFERROR(IF(INDEX(Rank_Changes!$R$2:$R$1090,MATCH($A34&amp;"|"&amp;"JPN",Rank_Changes!$U$2:$U$1090,0))="","–",INDEX(Rank_Changes!$R$2:$R$1090,MATCH($A34&amp;"|"&amp;"JPN",Rank_Changes!$U$2:$U$1090,0))),"–")</f>
        <v>–</v>
      </c>
      <c r="N34" s="26" t="n">
        <f aca="false">IFERROR(IF(INDEX(Rank_Changes!$R$2:$R$1090,MATCH($A34&amp;"|"&amp;"AUS",Rank_Changes!$U$2:$U$1090,0))="","–",INDEX(Rank_Changes!$R$2:$R$1090,MATCH($A34&amp;"|"&amp;"AUS",Rank_Changes!$U$2:$U$1090,0))),"–")</f>
        <v>-0</v>
      </c>
    </row>
    <row r="35" customFormat="false" ht="15" hidden="false" customHeight="false" outlineLevel="0" collapsed="false">
      <c r="A35" s="12" t="s">
        <v>239</v>
      </c>
      <c r="B35" s="12" t="s">
        <v>40</v>
      </c>
      <c r="C35" s="12" t="s">
        <v>240</v>
      </c>
      <c r="D35" s="26" t="str">
        <f aca="false">IFERROR(IF(INDEX(Rank_Changes!$R$2:$R$1090,MATCH($A35&amp;"|"&amp;"USA",Rank_Changes!$U$2:$U$1090,0))="","–",INDEX(Rank_Changes!$R$2:$R$1090,MATCH($A35&amp;"|"&amp;"USA",Rank_Changes!$U$2:$U$1090,0))),"–")</f>
        <v>–</v>
      </c>
      <c r="E35" s="26" t="str">
        <f aca="false">IFERROR(IF(INDEX(Rank_Changes!$R$2:$R$1090,MATCH($A35&amp;"|"&amp;"GBR",Rank_Changes!$U$2:$U$1090,0))="","–",INDEX(Rank_Changes!$R$2:$R$1090,MATCH($A35&amp;"|"&amp;"GBR",Rank_Changes!$U$2:$U$1090,0))),"–")</f>
        <v>–</v>
      </c>
      <c r="F35" s="26" t="str">
        <f aca="false">IFERROR(IF(INDEX(Rank_Changes!$R$2:$R$1090,MATCH($A35&amp;"|"&amp;"DEU",Rank_Changes!$U$2:$U$1090,0))="","–",INDEX(Rank_Changes!$R$2:$R$1090,MATCH($A35&amp;"|"&amp;"DEU",Rank_Changes!$U$2:$U$1090,0))),"–")</f>
        <v>–</v>
      </c>
      <c r="G35" s="26" t="str">
        <f aca="false">IFERROR(IF(INDEX(Rank_Changes!$R$2:$R$1090,MATCH($A35&amp;"|"&amp;"SWE",Rank_Changes!$U$2:$U$1090,0))="","–",INDEX(Rank_Changes!$R$2:$R$1090,MATCH($A35&amp;"|"&amp;"SWE",Rank_Changes!$U$2:$U$1090,0))),"–")</f>
        <v>–</v>
      </c>
      <c r="H35" s="26" t="str">
        <f aca="false">IFERROR(IF(INDEX(Rank_Changes!$R$2:$R$1090,MATCH($A35&amp;"|"&amp;"FRA",Rank_Changes!$U$2:$U$1090,0))="","–",INDEX(Rank_Changes!$R$2:$R$1090,MATCH($A35&amp;"|"&amp;"FRA",Rank_Changes!$U$2:$U$1090,0))),"–")</f>
        <v>–</v>
      </c>
      <c r="I35" s="26" t="str">
        <f aca="false">IFERROR(IF(INDEX(Rank_Changes!$R$2:$R$1090,MATCH($A35&amp;"|"&amp;"NLD",Rank_Changes!$U$2:$U$1090,0))="","–",INDEX(Rank_Changes!$R$2:$R$1090,MATCH($A35&amp;"|"&amp;"NLD",Rank_Changes!$U$2:$U$1090,0))),"–")</f>
        <v>–</v>
      </c>
      <c r="J35" s="26" t="str">
        <f aca="false">IFERROR(IF(INDEX(Rank_Changes!$R$2:$R$1090,MATCH($A35&amp;"|"&amp;"CHE",Rank_Changes!$U$2:$U$1090,0))="","–",INDEX(Rank_Changes!$R$2:$R$1090,MATCH($A35&amp;"|"&amp;"CHE",Rank_Changes!$U$2:$U$1090,0))),"–")</f>
        <v>–</v>
      </c>
      <c r="K35" s="26" t="str">
        <f aca="false">IFERROR(IF(INDEX(Rank_Changes!$R$2:$R$1090,MATCH($A35&amp;"|"&amp;"DNK",Rank_Changes!$U$2:$U$1090,0))="","–",INDEX(Rank_Changes!$R$2:$R$1090,MATCH($A35&amp;"|"&amp;"DNK",Rank_Changes!$U$2:$U$1090,0))),"–")</f>
        <v>–</v>
      </c>
      <c r="L35" s="26" t="str">
        <f aca="false">IFERROR(IF(INDEX(Rank_Changes!$R$2:$R$1090,MATCH($A35&amp;"|"&amp;"CAN",Rank_Changes!$U$2:$U$1090,0))="","–",INDEX(Rank_Changes!$R$2:$R$1090,MATCH($A35&amp;"|"&amp;"CAN",Rank_Changes!$U$2:$U$1090,0))),"–")</f>
        <v>–</v>
      </c>
      <c r="M35" s="26" t="str">
        <f aca="false">IFERROR(IF(INDEX(Rank_Changes!$R$2:$R$1090,MATCH($A35&amp;"|"&amp;"JPN",Rank_Changes!$U$2:$U$1090,0))="","–",INDEX(Rank_Changes!$R$2:$R$1090,MATCH($A35&amp;"|"&amp;"JPN",Rank_Changes!$U$2:$U$1090,0))),"–")</f>
        <v>–</v>
      </c>
      <c r="N35" s="26" t="str">
        <f aca="false">IFERROR(IF(INDEX(Rank_Changes!$R$2:$R$1090,MATCH($A35&amp;"|"&amp;"AUS",Rank_Changes!$U$2:$U$1090,0))="","–",INDEX(Rank_Changes!$R$2:$R$1090,MATCH($A35&amp;"|"&amp;"AUS",Rank_Changes!$U$2:$U$1090,0))),"–")</f>
        <v>–</v>
      </c>
    </row>
    <row r="36" customFormat="false" ht="15" hidden="false" customHeight="false" outlineLevel="0" collapsed="false">
      <c r="A36" s="12" t="s">
        <v>241</v>
      </c>
      <c r="B36" s="12" t="s">
        <v>41</v>
      </c>
      <c r="C36" s="12" t="s">
        <v>242</v>
      </c>
      <c r="D36" s="26" t="n">
        <f aca="false">IFERROR(IF(INDEX(Rank_Changes!$R$2:$R$1090,MATCH($A36&amp;"|"&amp;"USA",Rank_Changes!$U$2:$U$1090,0))="","–",INDEX(Rank_Changes!$R$2:$R$1090,MATCH($A36&amp;"|"&amp;"USA",Rank_Changes!$U$2:$U$1090,0))),"–")</f>
        <v>-0</v>
      </c>
      <c r="E36" s="26" t="n">
        <f aca="false">IFERROR(IF(INDEX(Rank_Changes!$R$2:$R$1090,MATCH($A36&amp;"|"&amp;"GBR",Rank_Changes!$U$2:$U$1090,0))="","–",INDEX(Rank_Changes!$R$2:$R$1090,MATCH($A36&amp;"|"&amp;"GBR",Rank_Changes!$U$2:$U$1090,0))),"–")</f>
        <v>-0</v>
      </c>
      <c r="F36" s="26" t="n">
        <f aca="false">IFERROR(IF(INDEX(Rank_Changes!$R$2:$R$1090,MATCH($A36&amp;"|"&amp;"DEU",Rank_Changes!$U$2:$U$1090,0))="","–",INDEX(Rank_Changes!$R$2:$R$1090,MATCH($A36&amp;"|"&amp;"DEU",Rank_Changes!$U$2:$U$1090,0))),"–")</f>
        <v>-0</v>
      </c>
      <c r="G36" s="26" t="str">
        <f aca="false">IFERROR(IF(INDEX(Rank_Changes!$R$2:$R$1090,MATCH($A36&amp;"|"&amp;"SWE",Rank_Changes!$U$2:$U$1090,0))="","–",INDEX(Rank_Changes!$R$2:$R$1090,MATCH($A36&amp;"|"&amp;"SWE",Rank_Changes!$U$2:$U$1090,0))),"–")</f>
        <v>–</v>
      </c>
      <c r="H36" s="26" t="n">
        <f aca="false">IFERROR(IF(INDEX(Rank_Changes!$R$2:$R$1090,MATCH($A36&amp;"|"&amp;"FRA",Rank_Changes!$U$2:$U$1090,0))="","–",INDEX(Rank_Changes!$R$2:$R$1090,MATCH($A36&amp;"|"&amp;"FRA",Rank_Changes!$U$2:$U$1090,0))),"–")</f>
        <v>-0</v>
      </c>
      <c r="I36" s="26" t="str">
        <f aca="false">IFERROR(IF(INDEX(Rank_Changes!$R$2:$R$1090,MATCH($A36&amp;"|"&amp;"NLD",Rank_Changes!$U$2:$U$1090,0))="","–",INDEX(Rank_Changes!$R$2:$R$1090,MATCH($A36&amp;"|"&amp;"NLD",Rank_Changes!$U$2:$U$1090,0))),"–")</f>
        <v>–</v>
      </c>
      <c r="J36" s="26" t="str">
        <f aca="false">IFERROR(IF(INDEX(Rank_Changes!$R$2:$R$1090,MATCH($A36&amp;"|"&amp;"CHE",Rank_Changes!$U$2:$U$1090,0))="","–",INDEX(Rank_Changes!$R$2:$R$1090,MATCH($A36&amp;"|"&amp;"CHE",Rank_Changes!$U$2:$U$1090,0))),"–")</f>
        <v>–</v>
      </c>
      <c r="K36" s="26" t="str">
        <f aca="false">IFERROR(IF(INDEX(Rank_Changes!$R$2:$R$1090,MATCH($A36&amp;"|"&amp;"DNK",Rank_Changes!$U$2:$U$1090,0))="","–",INDEX(Rank_Changes!$R$2:$R$1090,MATCH($A36&amp;"|"&amp;"DNK",Rank_Changes!$U$2:$U$1090,0))),"–")</f>
        <v>–</v>
      </c>
      <c r="L36" s="26" t="n">
        <f aca="false">IFERROR(IF(INDEX(Rank_Changes!$R$2:$R$1090,MATCH($A36&amp;"|"&amp;"CAN",Rank_Changes!$U$2:$U$1090,0))="","–",INDEX(Rank_Changes!$R$2:$R$1090,MATCH($A36&amp;"|"&amp;"CAN",Rank_Changes!$U$2:$U$1090,0))),"–")</f>
        <v>-0</v>
      </c>
      <c r="M36" s="26" t="str">
        <f aca="false">IFERROR(IF(INDEX(Rank_Changes!$R$2:$R$1090,MATCH($A36&amp;"|"&amp;"JPN",Rank_Changes!$U$2:$U$1090,0))="","–",INDEX(Rank_Changes!$R$2:$R$1090,MATCH($A36&amp;"|"&amp;"JPN",Rank_Changes!$U$2:$U$1090,0))),"–")</f>
        <v>–</v>
      </c>
      <c r="N36" s="26" t="str">
        <f aca="false">IFERROR(IF(INDEX(Rank_Changes!$R$2:$R$1090,MATCH($A36&amp;"|"&amp;"AUS",Rank_Changes!$U$2:$U$1090,0))="","–",INDEX(Rank_Changes!$R$2:$R$1090,MATCH($A36&amp;"|"&amp;"AUS",Rank_Changes!$U$2:$U$1090,0))),"–")</f>
        <v>–</v>
      </c>
    </row>
    <row r="37" customFormat="false" ht="15" hidden="false" customHeight="false" outlineLevel="0" collapsed="false">
      <c r="A37" s="12" t="s">
        <v>244</v>
      </c>
      <c r="B37" s="12" t="s">
        <v>41</v>
      </c>
      <c r="C37" s="12" t="s">
        <v>245</v>
      </c>
      <c r="D37" s="26" t="n">
        <f aca="false">IFERROR(IF(INDEX(Rank_Changes!$R$2:$R$1090,MATCH($A37&amp;"|"&amp;"USA",Rank_Changes!$U$2:$U$1090,0))="","–",INDEX(Rank_Changes!$R$2:$R$1090,MATCH($A37&amp;"|"&amp;"USA",Rank_Changes!$U$2:$U$1090,0))),"–")</f>
        <v>1</v>
      </c>
      <c r="E37" s="26" t="n">
        <f aca="false">IFERROR(IF(INDEX(Rank_Changes!$R$2:$R$1090,MATCH($A37&amp;"|"&amp;"GBR",Rank_Changes!$U$2:$U$1090,0))="","–",INDEX(Rank_Changes!$R$2:$R$1090,MATCH($A37&amp;"|"&amp;"GBR",Rank_Changes!$U$2:$U$1090,0))),"–")</f>
        <v>-5</v>
      </c>
      <c r="F37" s="26" t="n">
        <f aca="false">IFERROR(IF(INDEX(Rank_Changes!$R$2:$R$1090,MATCH($A37&amp;"|"&amp;"DEU",Rank_Changes!$U$2:$U$1090,0))="","–",INDEX(Rank_Changes!$R$2:$R$1090,MATCH($A37&amp;"|"&amp;"DEU",Rank_Changes!$U$2:$U$1090,0))),"–")</f>
        <v>3</v>
      </c>
      <c r="G37" s="26" t="n">
        <f aca="false">IFERROR(IF(INDEX(Rank_Changes!$R$2:$R$1090,MATCH($A37&amp;"|"&amp;"SWE",Rank_Changes!$U$2:$U$1090,0))="","–",INDEX(Rank_Changes!$R$2:$R$1090,MATCH($A37&amp;"|"&amp;"SWE",Rank_Changes!$U$2:$U$1090,0))),"–")</f>
        <v>3</v>
      </c>
      <c r="H37" s="26" t="n">
        <f aca="false">IFERROR(IF(INDEX(Rank_Changes!$R$2:$R$1090,MATCH($A37&amp;"|"&amp;"FRA",Rank_Changes!$U$2:$U$1090,0))="","–",INDEX(Rank_Changes!$R$2:$R$1090,MATCH($A37&amp;"|"&amp;"FRA",Rank_Changes!$U$2:$U$1090,0))),"–")</f>
        <v>1</v>
      </c>
      <c r="I37" s="26" t="n">
        <f aca="false">IFERROR(IF(INDEX(Rank_Changes!$R$2:$R$1090,MATCH($A37&amp;"|"&amp;"NLD",Rank_Changes!$U$2:$U$1090,0))="","–",INDEX(Rank_Changes!$R$2:$R$1090,MATCH($A37&amp;"|"&amp;"NLD",Rank_Changes!$U$2:$U$1090,0))),"–")</f>
        <v>-3</v>
      </c>
      <c r="J37" s="26" t="n">
        <f aca="false">IFERROR(IF(INDEX(Rank_Changes!$R$2:$R$1090,MATCH($A37&amp;"|"&amp;"CHE",Rank_Changes!$U$2:$U$1090,0))="","–",INDEX(Rank_Changes!$R$2:$R$1090,MATCH($A37&amp;"|"&amp;"CHE",Rank_Changes!$U$2:$U$1090,0))),"–")</f>
        <v>-0</v>
      </c>
      <c r="K37" s="26" t="n">
        <f aca="false">IFERROR(IF(INDEX(Rank_Changes!$R$2:$R$1090,MATCH($A37&amp;"|"&amp;"DNK",Rank_Changes!$U$2:$U$1090,0))="","–",INDEX(Rank_Changes!$R$2:$R$1090,MATCH($A37&amp;"|"&amp;"DNK",Rank_Changes!$U$2:$U$1090,0))),"–")</f>
        <v>-1</v>
      </c>
      <c r="L37" s="26" t="n">
        <f aca="false">IFERROR(IF(INDEX(Rank_Changes!$R$2:$R$1090,MATCH($A37&amp;"|"&amp;"CAN",Rank_Changes!$U$2:$U$1090,0))="","–",INDEX(Rank_Changes!$R$2:$R$1090,MATCH($A37&amp;"|"&amp;"CAN",Rank_Changes!$U$2:$U$1090,0))),"–")</f>
        <v>-2</v>
      </c>
      <c r="M37" s="26" t="n">
        <f aca="false">IFERROR(IF(INDEX(Rank_Changes!$R$2:$R$1090,MATCH($A37&amp;"|"&amp;"JPN",Rank_Changes!$U$2:$U$1090,0))="","–",INDEX(Rank_Changes!$R$2:$R$1090,MATCH($A37&amp;"|"&amp;"JPN",Rank_Changes!$U$2:$U$1090,0))),"–")</f>
        <v>3</v>
      </c>
      <c r="N37" s="26" t="n">
        <f aca="false">IFERROR(IF(INDEX(Rank_Changes!$R$2:$R$1090,MATCH($A37&amp;"|"&amp;"AUS",Rank_Changes!$U$2:$U$1090,0))="","–",INDEX(Rank_Changes!$R$2:$R$1090,MATCH($A37&amp;"|"&amp;"AUS",Rank_Changes!$U$2:$U$1090,0))),"–")</f>
        <v>-0</v>
      </c>
    </row>
    <row r="38" customFormat="false" ht="15" hidden="false" customHeight="false" outlineLevel="0" collapsed="false">
      <c r="A38" s="12" t="s">
        <v>247</v>
      </c>
      <c r="B38" s="12" t="s">
        <v>41</v>
      </c>
      <c r="C38" s="12" t="s">
        <v>248</v>
      </c>
      <c r="D38" s="26" t="n">
        <f aca="false">IFERROR(IF(INDEX(Rank_Changes!$R$2:$R$1090,MATCH($A38&amp;"|"&amp;"USA",Rank_Changes!$U$2:$U$1090,0))="","–",INDEX(Rank_Changes!$R$2:$R$1090,MATCH($A38&amp;"|"&amp;"USA",Rank_Changes!$U$2:$U$1090,0))),"–")</f>
        <v>1</v>
      </c>
      <c r="E38" s="26" t="n">
        <f aca="false">IFERROR(IF(INDEX(Rank_Changes!$R$2:$R$1090,MATCH($A38&amp;"|"&amp;"GBR",Rank_Changes!$U$2:$U$1090,0))="","–",INDEX(Rank_Changes!$R$2:$R$1090,MATCH($A38&amp;"|"&amp;"GBR",Rank_Changes!$U$2:$U$1090,0))),"–")</f>
        <v>-0</v>
      </c>
      <c r="F38" s="26" t="n">
        <f aca="false">IFERROR(IF(INDEX(Rank_Changes!$R$2:$R$1090,MATCH($A38&amp;"|"&amp;"DEU",Rank_Changes!$U$2:$U$1090,0))="","–",INDEX(Rank_Changes!$R$2:$R$1090,MATCH($A38&amp;"|"&amp;"DEU",Rank_Changes!$U$2:$U$1090,0))),"–")</f>
        <v>2</v>
      </c>
      <c r="G38" s="26" t="n">
        <f aca="false">IFERROR(IF(INDEX(Rank_Changes!$R$2:$R$1090,MATCH($A38&amp;"|"&amp;"SWE",Rank_Changes!$U$2:$U$1090,0))="","–",INDEX(Rank_Changes!$R$2:$R$1090,MATCH($A38&amp;"|"&amp;"SWE",Rank_Changes!$U$2:$U$1090,0))),"–")</f>
        <v>2</v>
      </c>
      <c r="H38" s="26" t="n">
        <f aca="false">IFERROR(IF(INDEX(Rank_Changes!$R$2:$R$1090,MATCH($A38&amp;"|"&amp;"FRA",Rank_Changes!$U$2:$U$1090,0))="","–",INDEX(Rank_Changes!$R$2:$R$1090,MATCH($A38&amp;"|"&amp;"FRA",Rank_Changes!$U$2:$U$1090,0))),"–")</f>
        <v>2</v>
      </c>
      <c r="I38" s="26" t="n">
        <f aca="false">IFERROR(IF(INDEX(Rank_Changes!$R$2:$R$1090,MATCH($A38&amp;"|"&amp;"NLD",Rank_Changes!$U$2:$U$1090,0))="","–",INDEX(Rank_Changes!$R$2:$R$1090,MATCH($A38&amp;"|"&amp;"NLD",Rank_Changes!$U$2:$U$1090,0))),"–")</f>
        <v>-5</v>
      </c>
      <c r="J38" s="26" t="n">
        <f aca="false">IFERROR(IF(INDEX(Rank_Changes!$R$2:$R$1090,MATCH($A38&amp;"|"&amp;"CHE",Rank_Changes!$U$2:$U$1090,0))="","–",INDEX(Rank_Changes!$R$2:$R$1090,MATCH($A38&amp;"|"&amp;"CHE",Rank_Changes!$U$2:$U$1090,0))),"–")</f>
        <v>-0</v>
      </c>
      <c r="K38" s="26" t="n">
        <f aca="false">IFERROR(IF(INDEX(Rank_Changes!$R$2:$R$1090,MATCH($A38&amp;"|"&amp;"DNK",Rank_Changes!$U$2:$U$1090,0))="","–",INDEX(Rank_Changes!$R$2:$R$1090,MATCH($A38&amp;"|"&amp;"DNK",Rank_Changes!$U$2:$U$1090,0))),"–")</f>
        <v>-1</v>
      </c>
      <c r="L38" s="26" t="n">
        <f aca="false">IFERROR(IF(INDEX(Rank_Changes!$R$2:$R$1090,MATCH($A38&amp;"|"&amp;"CAN",Rank_Changes!$U$2:$U$1090,0))="","–",INDEX(Rank_Changes!$R$2:$R$1090,MATCH($A38&amp;"|"&amp;"CAN",Rank_Changes!$U$2:$U$1090,0))),"–")</f>
        <v>1</v>
      </c>
      <c r="M38" s="26" t="n">
        <f aca="false">IFERROR(IF(INDEX(Rank_Changes!$R$2:$R$1090,MATCH($A38&amp;"|"&amp;"JPN",Rank_Changes!$U$2:$U$1090,0))="","–",INDEX(Rank_Changes!$R$2:$R$1090,MATCH($A38&amp;"|"&amp;"JPN",Rank_Changes!$U$2:$U$1090,0))),"–")</f>
        <v>1</v>
      </c>
      <c r="N38" s="26" t="n">
        <f aca="false">IFERROR(IF(INDEX(Rank_Changes!$R$2:$R$1090,MATCH($A38&amp;"|"&amp;"AUS",Rank_Changes!$U$2:$U$1090,0))="","–",INDEX(Rank_Changes!$R$2:$R$1090,MATCH($A38&amp;"|"&amp;"AUS",Rank_Changes!$U$2:$U$1090,0))),"–")</f>
        <v>-1</v>
      </c>
    </row>
    <row r="39" customFormat="false" ht="15" hidden="false" customHeight="false" outlineLevel="0" collapsed="false">
      <c r="A39" s="12" t="s">
        <v>249</v>
      </c>
      <c r="B39" s="12" t="s">
        <v>41</v>
      </c>
      <c r="C39" s="12" t="s">
        <v>250</v>
      </c>
      <c r="D39" s="26" t="n">
        <f aca="false">IFERROR(IF(INDEX(Rank_Changes!$R$2:$R$1090,MATCH($A39&amp;"|"&amp;"USA",Rank_Changes!$U$2:$U$1090,0))="","–",INDEX(Rank_Changes!$R$2:$R$1090,MATCH($A39&amp;"|"&amp;"USA",Rank_Changes!$U$2:$U$1090,0))),"–")</f>
        <v>-0</v>
      </c>
      <c r="E39" s="26" t="n">
        <f aca="false">IFERROR(IF(INDEX(Rank_Changes!$R$2:$R$1090,MATCH($A39&amp;"|"&amp;"GBR",Rank_Changes!$U$2:$U$1090,0))="","–",INDEX(Rank_Changes!$R$2:$R$1090,MATCH($A39&amp;"|"&amp;"GBR",Rank_Changes!$U$2:$U$1090,0))),"–")</f>
        <v>-0</v>
      </c>
      <c r="F39" s="26" t="n">
        <f aca="false">IFERROR(IF(INDEX(Rank_Changes!$R$2:$R$1090,MATCH($A39&amp;"|"&amp;"DEU",Rank_Changes!$U$2:$U$1090,0))="","–",INDEX(Rank_Changes!$R$2:$R$1090,MATCH($A39&amp;"|"&amp;"DEU",Rank_Changes!$U$2:$U$1090,0))),"–")</f>
        <v>-1</v>
      </c>
      <c r="G39" s="26" t="n">
        <f aca="false">IFERROR(IF(INDEX(Rank_Changes!$R$2:$R$1090,MATCH($A39&amp;"|"&amp;"SWE",Rank_Changes!$U$2:$U$1090,0))="","–",INDEX(Rank_Changes!$R$2:$R$1090,MATCH($A39&amp;"|"&amp;"SWE",Rank_Changes!$U$2:$U$1090,0))),"–")</f>
        <v>-3</v>
      </c>
      <c r="H39" s="26" t="n">
        <f aca="false">IFERROR(IF(INDEX(Rank_Changes!$R$2:$R$1090,MATCH($A39&amp;"|"&amp;"FRA",Rank_Changes!$U$2:$U$1090,0))="","–",INDEX(Rank_Changes!$R$2:$R$1090,MATCH($A39&amp;"|"&amp;"FRA",Rank_Changes!$U$2:$U$1090,0))),"–")</f>
        <v>5</v>
      </c>
      <c r="I39" s="26" t="n">
        <f aca="false">IFERROR(IF(INDEX(Rank_Changes!$R$2:$R$1090,MATCH($A39&amp;"|"&amp;"NLD",Rank_Changes!$U$2:$U$1090,0))="","–",INDEX(Rank_Changes!$R$2:$R$1090,MATCH($A39&amp;"|"&amp;"NLD",Rank_Changes!$U$2:$U$1090,0))),"–")</f>
        <v>3</v>
      </c>
      <c r="J39" s="26" t="n">
        <f aca="false">IFERROR(IF(INDEX(Rank_Changes!$R$2:$R$1090,MATCH($A39&amp;"|"&amp;"CHE",Rank_Changes!$U$2:$U$1090,0))="","–",INDEX(Rank_Changes!$R$2:$R$1090,MATCH($A39&amp;"|"&amp;"CHE",Rank_Changes!$U$2:$U$1090,0))),"–")</f>
        <v>-2</v>
      </c>
      <c r="K39" s="26" t="str">
        <f aca="false">IFERROR(IF(INDEX(Rank_Changes!$R$2:$R$1090,MATCH($A39&amp;"|"&amp;"DNK",Rank_Changes!$U$2:$U$1090,0))="","–",INDEX(Rank_Changes!$R$2:$R$1090,MATCH($A39&amp;"|"&amp;"DNK",Rank_Changes!$U$2:$U$1090,0))),"–")</f>
        <v>–</v>
      </c>
      <c r="L39" s="26" t="n">
        <f aca="false">IFERROR(IF(INDEX(Rank_Changes!$R$2:$R$1090,MATCH($A39&amp;"|"&amp;"CAN",Rank_Changes!$U$2:$U$1090,0))="","–",INDEX(Rank_Changes!$R$2:$R$1090,MATCH($A39&amp;"|"&amp;"CAN",Rank_Changes!$U$2:$U$1090,0))),"–")</f>
        <v>-2</v>
      </c>
      <c r="M39" s="26" t="str">
        <f aca="false">IFERROR(IF(INDEX(Rank_Changes!$R$2:$R$1090,MATCH($A39&amp;"|"&amp;"JPN",Rank_Changes!$U$2:$U$1090,0))="","–",INDEX(Rank_Changes!$R$2:$R$1090,MATCH($A39&amp;"|"&amp;"JPN",Rank_Changes!$U$2:$U$1090,0))),"–")</f>
        <v>–</v>
      </c>
      <c r="N39" s="26" t="n">
        <f aca="false">IFERROR(IF(INDEX(Rank_Changes!$R$2:$R$1090,MATCH($A39&amp;"|"&amp;"AUS",Rank_Changes!$U$2:$U$1090,0))="","–",INDEX(Rank_Changes!$R$2:$R$1090,MATCH($A39&amp;"|"&amp;"AUS",Rank_Changes!$U$2:$U$1090,0))),"–")</f>
        <v>-0</v>
      </c>
    </row>
    <row r="40" customFormat="false" ht="15" hidden="false" customHeight="false" outlineLevel="0" collapsed="false">
      <c r="A40" s="12" t="s">
        <v>252</v>
      </c>
      <c r="B40" s="12" t="s">
        <v>41</v>
      </c>
      <c r="C40" s="12" t="s">
        <v>253</v>
      </c>
      <c r="D40" s="26" t="n">
        <f aca="false">IFERROR(IF(INDEX(Rank_Changes!$R$2:$R$1090,MATCH($A40&amp;"|"&amp;"USA",Rank_Changes!$U$2:$U$1090,0))="","–",INDEX(Rank_Changes!$R$2:$R$1090,MATCH($A40&amp;"|"&amp;"USA",Rank_Changes!$U$2:$U$1090,0))),"–")</f>
        <v>-0</v>
      </c>
      <c r="E40" s="26" t="n">
        <f aca="false">IFERROR(IF(INDEX(Rank_Changes!$R$2:$R$1090,MATCH($A40&amp;"|"&amp;"GBR",Rank_Changes!$U$2:$U$1090,0))="","–",INDEX(Rank_Changes!$R$2:$R$1090,MATCH($A40&amp;"|"&amp;"GBR",Rank_Changes!$U$2:$U$1090,0))),"–")</f>
        <v>-3</v>
      </c>
      <c r="F40" s="26" t="n">
        <f aca="false">IFERROR(IF(INDEX(Rank_Changes!$R$2:$R$1090,MATCH($A40&amp;"|"&amp;"DEU",Rank_Changes!$U$2:$U$1090,0))="","–",INDEX(Rank_Changes!$R$2:$R$1090,MATCH($A40&amp;"|"&amp;"DEU",Rank_Changes!$U$2:$U$1090,0))),"–")</f>
        <v>-1</v>
      </c>
      <c r="G40" s="26" t="n">
        <f aca="false">IFERROR(IF(INDEX(Rank_Changes!$R$2:$R$1090,MATCH($A40&amp;"|"&amp;"SWE",Rank_Changes!$U$2:$U$1090,0))="","–",INDEX(Rank_Changes!$R$2:$R$1090,MATCH($A40&amp;"|"&amp;"SWE",Rank_Changes!$U$2:$U$1090,0))),"–")</f>
        <v>-2</v>
      </c>
      <c r="H40" s="26" t="n">
        <f aca="false">IFERROR(IF(INDEX(Rank_Changes!$R$2:$R$1090,MATCH($A40&amp;"|"&amp;"FRA",Rank_Changes!$U$2:$U$1090,0))="","–",INDEX(Rank_Changes!$R$2:$R$1090,MATCH($A40&amp;"|"&amp;"FRA",Rank_Changes!$U$2:$U$1090,0))),"–")</f>
        <v>3</v>
      </c>
      <c r="I40" s="26" t="n">
        <f aca="false">IFERROR(IF(INDEX(Rank_Changes!$R$2:$R$1090,MATCH($A40&amp;"|"&amp;"NLD",Rank_Changes!$U$2:$U$1090,0))="","–",INDEX(Rank_Changes!$R$2:$R$1090,MATCH($A40&amp;"|"&amp;"NLD",Rank_Changes!$U$2:$U$1090,0))),"–")</f>
        <v>1</v>
      </c>
      <c r="J40" s="26" t="n">
        <f aca="false">IFERROR(IF(INDEX(Rank_Changes!$R$2:$R$1090,MATCH($A40&amp;"|"&amp;"CHE",Rank_Changes!$U$2:$U$1090,0))="","–",INDEX(Rank_Changes!$R$2:$R$1090,MATCH($A40&amp;"|"&amp;"CHE",Rank_Changes!$U$2:$U$1090,0))),"–")</f>
        <v>1</v>
      </c>
      <c r="K40" s="26" t="str">
        <f aca="false">IFERROR(IF(INDEX(Rank_Changes!$R$2:$R$1090,MATCH($A40&amp;"|"&amp;"DNK",Rank_Changes!$U$2:$U$1090,0))="","–",INDEX(Rank_Changes!$R$2:$R$1090,MATCH($A40&amp;"|"&amp;"DNK",Rank_Changes!$U$2:$U$1090,0))),"–")</f>
        <v>–</v>
      </c>
      <c r="L40" s="26" t="n">
        <f aca="false">IFERROR(IF(INDEX(Rank_Changes!$R$2:$R$1090,MATCH($A40&amp;"|"&amp;"CAN",Rank_Changes!$U$2:$U$1090,0))="","–",INDEX(Rank_Changes!$R$2:$R$1090,MATCH($A40&amp;"|"&amp;"CAN",Rank_Changes!$U$2:$U$1090,0))),"–")</f>
        <v>1</v>
      </c>
      <c r="M40" s="26" t="str">
        <f aca="false">IFERROR(IF(INDEX(Rank_Changes!$R$2:$R$1090,MATCH($A40&amp;"|"&amp;"JPN",Rank_Changes!$U$2:$U$1090,0))="","–",INDEX(Rank_Changes!$R$2:$R$1090,MATCH($A40&amp;"|"&amp;"JPN",Rank_Changes!$U$2:$U$1090,0))),"–")</f>
        <v>–</v>
      </c>
      <c r="N40" s="26" t="n">
        <f aca="false">IFERROR(IF(INDEX(Rank_Changes!$R$2:$R$1090,MATCH($A40&amp;"|"&amp;"AUS",Rank_Changes!$U$2:$U$1090,0))="","–",INDEX(Rank_Changes!$R$2:$R$1090,MATCH($A40&amp;"|"&amp;"AUS",Rank_Changes!$U$2:$U$1090,0))),"–")</f>
        <v>-4</v>
      </c>
    </row>
    <row r="41" customFormat="false" ht="15" hidden="false" customHeight="false" outlineLevel="0" collapsed="false">
      <c r="A41" s="12" t="s">
        <v>254</v>
      </c>
      <c r="B41" s="12" t="s">
        <v>41</v>
      </c>
      <c r="C41" s="12" t="s">
        <v>255</v>
      </c>
      <c r="D41" s="26" t="n">
        <f aca="false">IFERROR(IF(INDEX(Rank_Changes!$R$2:$R$1090,MATCH($A41&amp;"|"&amp;"USA",Rank_Changes!$U$2:$U$1090,0))="","–",INDEX(Rank_Changes!$R$2:$R$1090,MATCH($A41&amp;"|"&amp;"USA",Rank_Changes!$U$2:$U$1090,0))),"–")</f>
        <v>-0</v>
      </c>
      <c r="E41" s="26" t="n">
        <f aca="false">IFERROR(IF(INDEX(Rank_Changes!$R$2:$R$1090,MATCH($A41&amp;"|"&amp;"GBR",Rank_Changes!$U$2:$U$1090,0))="","–",INDEX(Rank_Changes!$R$2:$R$1090,MATCH($A41&amp;"|"&amp;"GBR",Rank_Changes!$U$2:$U$1090,0))),"–")</f>
        <v>-2</v>
      </c>
      <c r="F41" s="26" t="n">
        <f aca="false">IFERROR(IF(INDEX(Rank_Changes!$R$2:$R$1090,MATCH($A41&amp;"|"&amp;"DEU",Rank_Changes!$U$2:$U$1090,0))="","–",INDEX(Rank_Changes!$R$2:$R$1090,MATCH($A41&amp;"|"&amp;"DEU",Rank_Changes!$U$2:$U$1090,0))),"–")</f>
        <v>-3</v>
      </c>
      <c r="G41" s="26" t="n">
        <f aca="false">IFERROR(IF(INDEX(Rank_Changes!$R$2:$R$1090,MATCH($A41&amp;"|"&amp;"SWE",Rank_Changes!$U$2:$U$1090,0))="","–",INDEX(Rank_Changes!$R$2:$R$1090,MATCH($A41&amp;"|"&amp;"SWE",Rank_Changes!$U$2:$U$1090,0))),"–")</f>
        <v>-0</v>
      </c>
      <c r="H41" s="26" t="n">
        <f aca="false">IFERROR(IF(INDEX(Rank_Changes!$R$2:$R$1090,MATCH($A41&amp;"|"&amp;"FRA",Rank_Changes!$U$2:$U$1090,0))="","–",INDEX(Rank_Changes!$R$2:$R$1090,MATCH($A41&amp;"|"&amp;"FRA",Rank_Changes!$U$2:$U$1090,0))),"–")</f>
        <v>3</v>
      </c>
      <c r="I41" s="26" t="n">
        <f aca="false">IFERROR(IF(INDEX(Rank_Changes!$R$2:$R$1090,MATCH($A41&amp;"|"&amp;"NLD",Rank_Changes!$U$2:$U$1090,0))="","–",INDEX(Rank_Changes!$R$2:$R$1090,MATCH($A41&amp;"|"&amp;"NLD",Rank_Changes!$U$2:$U$1090,0))),"–")</f>
        <v>4</v>
      </c>
      <c r="J41" s="26" t="n">
        <f aca="false">IFERROR(IF(INDEX(Rank_Changes!$R$2:$R$1090,MATCH($A41&amp;"|"&amp;"CHE",Rank_Changes!$U$2:$U$1090,0))="","–",INDEX(Rank_Changes!$R$2:$R$1090,MATCH($A41&amp;"|"&amp;"CHE",Rank_Changes!$U$2:$U$1090,0))),"–")</f>
        <v>1</v>
      </c>
      <c r="K41" s="26" t="str">
        <f aca="false">IFERROR(IF(INDEX(Rank_Changes!$R$2:$R$1090,MATCH($A41&amp;"|"&amp;"DNK",Rank_Changes!$U$2:$U$1090,0))="","–",INDEX(Rank_Changes!$R$2:$R$1090,MATCH($A41&amp;"|"&amp;"DNK",Rank_Changes!$U$2:$U$1090,0))),"–")</f>
        <v>–</v>
      </c>
      <c r="L41" s="26" t="n">
        <f aca="false">IFERROR(IF(INDEX(Rank_Changes!$R$2:$R$1090,MATCH($A41&amp;"|"&amp;"CAN",Rank_Changes!$U$2:$U$1090,0))="","–",INDEX(Rank_Changes!$R$2:$R$1090,MATCH($A41&amp;"|"&amp;"CAN",Rank_Changes!$U$2:$U$1090,0))),"–")</f>
        <v>-1</v>
      </c>
      <c r="M41" s="26" t="str">
        <f aca="false">IFERROR(IF(INDEX(Rank_Changes!$R$2:$R$1090,MATCH($A41&amp;"|"&amp;"JPN",Rank_Changes!$U$2:$U$1090,0))="","–",INDEX(Rank_Changes!$R$2:$R$1090,MATCH($A41&amp;"|"&amp;"JPN",Rank_Changes!$U$2:$U$1090,0))),"–")</f>
        <v>–</v>
      </c>
      <c r="N41" s="26" t="n">
        <f aca="false">IFERROR(IF(INDEX(Rank_Changes!$R$2:$R$1090,MATCH($A41&amp;"|"&amp;"AUS",Rank_Changes!$U$2:$U$1090,0))="","–",INDEX(Rank_Changes!$R$2:$R$1090,MATCH($A41&amp;"|"&amp;"AUS",Rank_Changes!$U$2:$U$1090,0))),"–")</f>
        <v>-3</v>
      </c>
    </row>
  </sheetData>
  <conditionalFormatting sqref="D5:N41">
    <cfRule type="expression" priority="2" aboveAverage="0" equalAverage="0" bottom="0" percent="0" rank="0" text="" dxfId="0">
      <formula>AND(ISNUMBER(D5),D5&gt;0)</formula>
    </cfRule>
    <cfRule type="expression" priority="3" aboveAverage="0" equalAverage="0" bottom="0" percent="0" rank="0" text="" dxfId="1">
      <formula>AND(ISNUMBER(D5),D5&lt;0)</formula>
    </cfRule>
    <cfRule type="expression" priority="4" aboveAverage="0" equalAverage="0" bottom="0" percent="0" rank="0" text="" dxfId="12">
      <formula>D5="–"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14" min="4" style="0" width="9"/>
  </cols>
  <sheetData>
    <row r="1" customFormat="false" ht="16.15" hidden="false" customHeight="false" outlineLevel="0" collapsed="false">
      <c r="A1" s="4" t="s">
        <v>340</v>
      </c>
    </row>
    <row r="2" customFormat="false" ht="15" hidden="false" customHeight="false" outlineLevel="0" collapsed="false">
      <c r="A2" s="5" t="s">
        <v>341</v>
      </c>
    </row>
    <row r="4" customFormat="false" ht="19.5" hidden="false" customHeight="true" outlineLevel="0" collapsed="false">
      <c r="A4" s="6" t="s">
        <v>45</v>
      </c>
      <c r="B4" s="6" t="s">
        <v>264</v>
      </c>
      <c r="C4" s="6" t="s">
        <v>47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35</v>
      </c>
      <c r="M4" s="6" t="s">
        <v>36</v>
      </c>
      <c r="N4" s="6" t="s">
        <v>37</v>
      </c>
    </row>
    <row r="5" customFormat="false" ht="15" hidden="false" customHeight="false" outlineLevel="0" collapsed="false">
      <c r="A5" s="12" t="s">
        <v>50</v>
      </c>
      <c r="B5" s="12" t="s">
        <v>42</v>
      </c>
      <c r="C5" s="12" t="s">
        <v>51</v>
      </c>
      <c r="D5" s="26" t="n">
        <f aca="false">IFERROR(IF(INDEX(Rank_Changes!$P$2:$P$1090,MATCH($A5&amp;"|"&amp;"USA",Rank_Changes!$U$2:$U$1090,0))="","–",INDEX(Rank_Changes!$P$2:$P$1090,MATCH($A5&amp;"|"&amp;"USA",Rank_Changes!$U$2:$U$1090,0))),"–")</f>
        <v>0</v>
      </c>
      <c r="E5" s="26" t="n">
        <f aca="false">IFERROR(IF(INDEX(Rank_Changes!$P$2:$P$1090,MATCH($A5&amp;"|"&amp;"GBR",Rank_Changes!$U$2:$U$1090,0))="","–",INDEX(Rank_Changes!$P$2:$P$1090,MATCH($A5&amp;"|"&amp;"GBR",Rank_Changes!$U$2:$U$1090,0))),"–")</f>
        <v>0</v>
      </c>
      <c r="F5" s="26" t="n">
        <f aca="false">IFERROR(IF(INDEX(Rank_Changes!$P$2:$P$1090,MATCH($A5&amp;"|"&amp;"DEU",Rank_Changes!$U$2:$U$1090,0))="","–",INDEX(Rank_Changes!$P$2:$P$1090,MATCH($A5&amp;"|"&amp;"DEU",Rank_Changes!$U$2:$U$1090,0))),"–")</f>
        <v>0</v>
      </c>
      <c r="G5" s="26" t="n">
        <f aca="false">IFERROR(IF(INDEX(Rank_Changes!$P$2:$P$1090,MATCH($A5&amp;"|"&amp;"SWE",Rank_Changes!$U$2:$U$1090,0))="","–",INDEX(Rank_Changes!$P$2:$P$1090,MATCH($A5&amp;"|"&amp;"SWE",Rank_Changes!$U$2:$U$1090,0))),"–")</f>
        <v>0</v>
      </c>
      <c r="H5" s="26" t="n">
        <f aca="false">IFERROR(IF(INDEX(Rank_Changes!$P$2:$P$1090,MATCH($A5&amp;"|"&amp;"FRA",Rank_Changes!$U$2:$U$1090,0))="","–",INDEX(Rank_Changes!$P$2:$P$1090,MATCH($A5&amp;"|"&amp;"FRA",Rank_Changes!$U$2:$U$1090,0))),"–")</f>
        <v>0</v>
      </c>
      <c r="I5" s="26" t="n">
        <f aca="false">IFERROR(IF(INDEX(Rank_Changes!$P$2:$P$1090,MATCH($A5&amp;"|"&amp;"NLD",Rank_Changes!$U$2:$U$1090,0))="","–",INDEX(Rank_Changes!$P$2:$P$1090,MATCH($A5&amp;"|"&amp;"NLD",Rank_Changes!$U$2:$U$1090,0))),"–")</f>
        <v>0</v>
      </c>
      <c r="J5" s="26" t="n">
        <f aca="false">IFERROR(IF(INDEX(Rank_Changes!$P$2:$P$1090,MATCH($A5&amp;"|"&amp;"CHE",Rank_Changes!$U$2:$U$1090,0))="","–",INDEX(Rank_Changes!$P$2:$P$1090,MATCH($A5&amp;"|"&amp;"CHE",Rank_Changes!$U$2:$U$1090,0))),"–")</f>
        <v>0</v>
      </c>
      <c r="K5" s="26" t="n">
        <f aca="false">IFERROR(IF(INDEX(Rank_Changes!$P$2:$P$1090,MATCH($A5&amp;"|"&amp;"DNK",Rank_Changes!$U$2:$U$1090,0))="","–",INDEX(Rank_Changes!$P$2:$P$1090,MATCH($A5&amp;"|"&amp;"DNK",Rank_Changes!$U$2:$U$1090,0))),"–")</f>
        <v>0</v>
      </c>
      <c r="L5" s="26" t="n">
        <f aca="false">IFERROR(IF(INDEX(Rank_Changes!$P$2:$P$1090,MATCH($A5&amp;"|"&amp;"CAN",Rank_Changes!$U$2:$U$1090,0))="","–",INDEX(Rank_Changes!$P$2:$P$1090,MATCH($A5&amp;"|"&amp;"CAN",Rank_Changes!$U$2:$U$1090,0))),"–")</f>
        <v>0</v>
      </c>
      <c r="M5" s="26" t="n">
        <f aca="false">IFERROR(IF(INDEX(Rank_Changes!$P$2:$P$1090,MATCH($A5&amp;"|"&amp;"JPN",Rank_Changes!$U$2:$U$1090,0))="","–",INDEX(Rank_Changes!$P$2:$P$1090,MATCH($A5&amp;"|"&amp;"JPN",Rank_Changes!$U$2:$U$1090,0))),"–")</f>
        <v>0</v>
      </c>
      <c r="N5" s="26" t="n">
        <f aca="false">IFERROR(IF(INDEX(Rank_Changes!$P$2:$P$1090,MATCH($A5&amp;"|"&amp;"AUS",Rank_Changes!$U$2:$U$1090,0))="","–",INDEX(Rank_Changes!$P$2:$P$1090,MATCH($A5&amp;"|"&amp;"AUS",Rank_Changes!$U$2:$U$1090,0))),"–")</f>
        <v>0</v>
      </c>
    </row>
    <row r="6" customFormat="false" ht="15" hidden="false" customHeight="false" outlineLevel="0" collapsed="false">
      <c r="A6" s="12" t="s">
        <v>53</v>
      </c>
      <c r="B6" s="12" t="s">
        <v>42</v>
      </c>
      <c r="C6" s="12" t="s">
        <v>54</v>
      </c>
      <c r="D6" s="26" t="n">
        <f aca="false">IFERROR(IF(INDEX(Rank_Changes!$P$2:$P$1090,MATCH($A6&amp;"|"&amp;"USA",Rank_Changes!$U$2:$U$1090,0))="","–",INDEX(Rank_Changes!$P$2:$P$1090,MATCH($A6&amp;"|"&amp;"USA",Rank_Changes!$U$2:$U$1090,0))),"–")</f>
        <v>1</v>
      </c>
      <c r="E6" s="26" t="n">
        <f aca="false">IFERROR(IF(INDEX(Rank_Changes!$P$2:$P$1090,MATCH($A6&amp;"|"&amp;"GBR",Rank_Changes!$U$2:$U$1090,0))="","–",INDEX(Rank_Changes!$P$2:$P$1090,MATCH($A6&amp;"|"&amp;"GBR",Rank_Changes!$U$2:$U$1090,0))),"–")</f>
        <v>-2</v>
      </c>
      <c r="F6" s="26" t="n">
        <f aca="false">IFERROR(IF(INDEX(Rank_Changes!$P$2:$P$1090,MATCH($A6&amp;"|"&amp;"DEU",Rank_Changes!$U$2:$U$1090,0))="","–",INDEX(Rank_Changes!$P$2:$P$1090,MATCH($A6&amp;"|"&amp;"DEU",Rank_Changes!$U$2:$U$1090,0))),"–")</f>
        <v>0</v>
      </c>
      <c r="G6" s="26" t="n">
        <f aca="false">IFERROR(IF(INDEX(Rank_Changes!$P$2:$P$1090,MATCH($A6&amp;"|"&amp;"SWE",Rank_Changes!$U$2:$U$1090,0))="","–",INDEX(Rank_Changes!$P$2:$P$1090,MATCH($A6&amp;"|"&amp;"SWE",Rank_Changes!$U$2:$U$1090,0))),"–")</f>
        <v>-1</v>
      </c>
      <c r="H6" s="26" t="n">
        <f aca="false">IFERROR(IF(INDEX(Rank_Changes!$P$2:$P$1090,MATCH($A6&amp;"|"&amp;"FRA",Rank_Changes!$U$2:$U$1090,0))="","–",INDEX(Rank_Changes!$P$2:$P$1090,MATCH($A6&amp;"|"&amp;"FRA",Rank_Changes!$U$2:$U$1090,0))),"–")</f>
        <v>1</v>
      </c>
      <c r="I6" s="26" t="n">
        <f aca="false">IFERROR(IF(INDEX(Rank_Changes!$P$2:$P$1090,MATCH($A6&amp;"|"&amp;"NLD",Rank_Changes!$U$2:$U$1090,0))="","–",INDEX(Rank_Changes!$P$2:$P$1090,MATCH($A6&amp;"|"&amp;"NLD",Rank_Changes!$U$2:$U$1090,0))),"–")</f>
        <v>2</v>
      </c>
      <c r="J6" s="26" t="n">
        <f aca="false">IFERROR(IF(INDEX(Rank_Changes!$P$2:$P$1090,MATCH($A6&amp;"|"&amp;"CHE",Rank_Changes!$U$2:$U$1090,0))="","–",INDEX(Rank_Changes!$P$2:$P$1090,MATCH($A6&amp;"|"&amp;"CHE",Rank_Changes!$U$2:$U$1090,0))),"–")</f>
        <v>-1</v>
      </c>
      <c r="K6" s="26" t="n">
        <f aca="false">IFERROR(IF(INDEX(Rank_Changes!$P$2:$P$1090,MATCH($A6&amp;"|"&amp;"DNK",Rank_Changes!$U$2:$U$1090,0))="","–",INDEX(Rank_Changes!$P$2:$P$1090,MATCH($A6&amp;"|"&amp;"DNK",Rank_Changes!$U$2:$U$1090,0))),"–")</f>
        <v>0</v>
      </c>
      <c r="L6" s="26" t="n">
        <f aca="false">IFERROR(IF(INDEX(Rank_Changes!$P$2:$P$1090,MATCH($A6&amp;"|"&amp;"CAN",Rank_Changes!$U$2:$U$1090,0))="","–",INDEX(Rank_Changes!$P$2:$P$1090,MATCH($A6&amp;"|"&amp;"CAN",Rank_Changes!$U$2:$U$1090,0))),"–")</f>
        <v>1</v>
      </c>
      <c r="M6" s="26" t="n">
        <f aca="false">IFERROR(IF(INDEX(Rank_Changes!$P$2:$P$1090,MATCH($A6&amp;"|"&amp;"JPN",Rank_Changes!$U$2:$U$1090,0))="","–",INDEX(Rank_Changes!$P$2:$P$1090,MATCH($A6&amp;"|"&amp;"JPN",Rank_Changes!$U$2:$U$1090,0))),"–")</f>
        <v>0</v>
      </c>
      <c r="N6" s="26" t="n">
        <f aca="false">IFERROR(IF(INDEX(Rank_Changes!$P$2:$P$1090,MATCH($A6&amp;"|"&amp;"AUS",Rank_Changes!$U$2:$U$1090,0))="","–",INDEX(Rank_Changes!$P$2:$P$1090,MATCH($A6&amp;"|"&amp;"AUS",Rank_Changes!$U$2:$U$1090,0))),"–")</f>
        <v>-1</v>
      </c>
    </row>
    <row r="7" customFormat="false" ht="15" hidden="false" customHeight="false" outlineLevel="0" collapsed="false">
      <c r="A7" s="12" t="s">
        <v>55</v>
      </c>
      <c r="B7" s="12" t="s">
        <v>42</v>
      </c>
      <c r="C7" s="12" t="s">
        <v>56</v>
      </c>
      <c r="D7" s="26" t="n">
        <f aca="false">IFERROR(IF(INDEX(Rank_Changes!$P$2:$P$1090,MATCH($A7&amp;"|"&amp;"USA",Rank_Changes!$U$2:$U$1090,0))="","–",INDEX(Rank_Changes!$P$2:$P$1090,MATCH($A7&amp;"|"&amp;"USA",Rank_Changes!$U$2:$U$1090,0))),"–")</f>
        <v>1</v>
      </c>
      <c r="E7" s="26" t="n">
        <f aca="false">IFERROR(IF(INDEX(Rank_Changes!$P$2:$P$1090,MATCH($A7&amp;"|"&amp;"GBR",Rank_Changes!$U$2:$U$1090,0))="","–",INDEX(Rank_Changes!$P$2:$P$1090,MATCH($A7&amp;"|"&amp;"GBR",Rank_Changes!$U$2:$U$1090,0))),"–")</f>
        <v>1</v>
      </c>
      <c r="F7" s="26" t="n">
        <f aca="false">IFERROR(IF(INDEX(Rank_Changes!$P$2:$P$1090,MATCH($A7&amp;"|"&amp;"DEU",Rank_Changes!$U$2:$U$1090,0))="","–",INDEX(Rank_Changes!$P$2:$P$1090,MATCH($A7&amp;"|"&amp;"DEU",Rank_Changes!$U$2:$U$1090,0))),"–")</f>
        <v>2</v>
      </c>
      <c r="G7" s="26" t="n">
        <f aca="false">IFERROR(IF(INDEX(Rank_Changes!$P$2:$P$1090,MATCH($A7&amp;"|"&amp;"SWE",Rank_Changes!$U$2:$U$1090,0))="","–",INDEX(Rank_Changes!$P$2:$P$1090,MATCH($A7&amp;"|"&amp;"SWE",Rank_Changes!$U$2:$U$1090,0))),"–")</f>
        <v>-3</v>
      </c>
      <c r="H7" s="26" t="n">
        <f aca="false">IFERROR(IF(INDEX(Rank_Changes!$P$2:$P$1090,MATCH($A7&amp;"|"&amp;"FRA",Rank_Changes!$U$2:$U$1090,0))="","–",INDEX(Rank_Changes!$P$2:$P$1090,MATCH($A7&amp;"|"&amp;"FRA",Rank_Changes!$U$2:$U$1090,0))),"–")</f>
        <v>-1</v>
      </c>
      <c r="I7" s="26" t="n">
        <f aca="false">IFERROR(IF(INDEX(Rank_Changes!$P$2:$P$1090,MATCH($A7&amp;"|"&amp;"NLD",Rank_Changes!$U$2:$U$1090,0))="","–",INDEX(Rank_Changes!$P$2:$P$1090,MATCH($A7&amp;"|"&amp;"NLD",Rank_Changes!$U$2:$U$1090,0))),"–")</f>
        <v>2</v>
      </c>
      <c r="J7" s="26" t="n">
        <f aca="false">IFERROR(IF(INDEX(Rank_Changes!$P$2:$P$1090,MATCH($A7&amp;"|"&amp;"CHE",Rank_Changes!$U$2:$U$1090,0))="","–",INDEX(Rank_Changes!$P$2:$P$1090,MATCH($A7&amp;"|"&amp;"CHE",Rank_Changes!$U$2:$U$1090,0))),"–")</f>
        <v>0</v>
      </c>
      <c r="K7" s="26" t="n">
        <f aca="false">IFERROR(IF(INDEX(Rank_Changes!$P$2:$P$1090,MATCH($A7&amp;"|"&amp;"DNK",Rank_Changes!$U$2:$U$1090,0))="","–",INDEX(Rank_Changes!$P$2:$P$1090,MATCH($A7&amp;"|"&amp;"DNK",Rank_Changes!$U$2:$U$1090,0))),"–")</f>
        <v>-2</v>
      </c>
      <c r="L7" s="26" t="n">
        <f aca="false">IFERROR(IF(INDEX(Rank_Changes!$P$2:$P$1090,MATCH($A7&amp;"|"&amp;"CAN",Rank_Changes!$U$2:$U$1090,0))="","–",INDEX(Rank_Changes!$P$2:$P$1090,MATCH($A7&amp;"|"&amp;"CAN",Rank_Changes!$U$2:$U$1090,0))),"–")</f>
        <v>0</v>
      </c>
      <c r="M7" s="26" t="n">
        <f aca="false">IFERROR(IF(INDEX(Rank_Changes!$P$2:$P$1090,MATCH($A7&amp;"|"&amp;"JPN",Rank_Changes!$U$2:$U$1090,0))="","–",INDEX(Rank_Changes!$P$2:$P$1090,MATCH($A7&amp;"|"&amp;"JPN",Rank_Changes!$U$2:$U$1090,0))),"–")</f>
        <v>0</v>
      </c>
      <c r="N7" s="26" t="n">
        <f aca="false">IFERROR(IF(INDEX(Rank_Changes!$P$2:$P$1090,MATCH($A7&amp;"|"&amp;"AUS",Rank_Changes!$U$2:$U$1090,0))="","–",INDEX(Rank_Changes!$P$2:$P$1090,MATCH($A7&amp;"|"&amp;"AUS",Rank_Changes!$U$2:$U$1090,0))),"–")</f>
        <v>0</v>
      </c>
    </row>
    <row r="8" customFormat="false" ht="15" hidden="false" customHeight="false" outlineLevel="0" collapsed="false">
      <c r="A8" s="12" t="s">
        <v>57</v>
      </c>
      <c r="B8" s="12" t="s">
        <v>42</v>
      </c>
      <c r="C8" s="12" t="s">
        <v>58</v>
      </c>
      <c r="D8" s="26" t="n">
        <f aca="false">IFERROR(IF(INDEX(Rank_Changes!$P$2:$P$1090,MATCH($A8&amp;"|"&amp;"USA",Rank_Changes!$U$2:$U$1090,0))="","–",INDEX(Rank_Changes!$P$2:$P$1090,MATCH($A8&amp;"|"&amp;"USA",Rank_Changes!$U$2:$U$1090,0))),"–")</f>
        <v>1</v>
      </c>
      <c r="E8" s="26" t="n">
        <f aca="false">IFERROR(IF(INDEX(Rank_Changes!$P$2:$P$1090,MATCH($A8&amp;"|"&amp;"GBR",Rank_Changes!$U$2:$U$1090,0))="","–",INDEX(Rank_Changes!$P$2:$P$1090,MATCH($A8&amp;"|"&amp;"GBR",Rank_Changes!$U$2:$U$1090,0))),"–")</f>
        <v>0</v>
      </c>
      <c r="F8" s="26" t="n">
        <f aca="false">IFERROR(IF(INDEX(Rank_Changes!$P$2:$P$1090,MATCH($A8&amp;"|"&amp;"DEU",Rank_Changes!$U$2:$U$1090,0))="","–",INDEX(Rank_Changes!$P$2:$P$1090,MATCH($A8&amp;"|"&amp;"DEU",Rank_Changes!$U$2:$U$1090,0))),"–")</f>
        <v>0</v>
      </c>
      <c r="G8" s="26" t="n">
        <f aca="false">IFERROR(IF(INDEX(Rank_Changes!$P$2:$P$1090,MATCH($A8&amp;"|"&amp;"SWE",Rank_Changes!$U$2:$U$1090,0))="","–",INDEX(Rank_Changes!$P$2:$P$1090,MATCH($A8&amp;"|"&amp;"SWE",Rank_Changes!$U$2:$U$1090,0))),"–")</f>
        <v>0</v>
      </c>
      <c r="H8" s="26" t="n">
        <f aca="false">IFERROR(IF(INDEX(Rank_Changes!$P$2:$P$1090,MATCH($A8&amp;"|"&amp;"FRA",Rank_Changes!$U$2:$U$1090,0))="","–",INDEX(Rank_Changes!$P$2:$P$1090,MATCH($A8&amp;"|"&amp;"FRA",Rank_Changes!$U$2:$U$1090,0))),"–")</f>
        <v>0</v>
      </c>
      <c r="I8" s="26" t="n">
        <f aca="false">IFERROR(IF(INDEX(Rank_Changes!$P$2:$P$1090,MATCH($A8&amp;"|"&amp;"NLD",Rank_Changes!$U$2:$U$1090,0))="","–",INDEX(Rank_Changes!$P$2:$P$1090,MATCH($A8&amp;"|"&amp;"NLD",Rank_Changes!$U$2:$U$1090,0))),"–")</f>
        <v>-1</v>
      </c>
      <c r="J8" s="26" t="n">
        <f aca="false">IFERROR(IF(INDEX(Rank_Changes!$P$2:$P$1090,MATCH($A8&amp;"|"&amp;"CHE",Rank_Changes!$U$2:$U$1090,0))="","–",INDEX(Rank_Changes!$P$2:$P$1090,MATCH($A8&amp;"|"&amp;"CHE",Rank_Changes!$U$2:$U$1090,0))),"–")</f>
        <v>0</v>
      </c>
      <c r="K8" s="26" t="n">
        <f aca="false">IFERROR(IF(INDEX(Rank_Changes!$P$2:$P$1090,MATCH($A8&amp;"|"&amp;"DNK",Rank_Changes!$U$2:$U$1090,0))="","–",INDEX(Rank_Changes!$P$2:$P$1090,MATCH($A8&amp;"|"&amp;"DNK",Rank_Changes!$U$2:$U$1090,0))),"–")</f>
        <v>0</v>
      </c>
      <c r="L8" s="26" t="n">
        <f aca="false">IFERROR(IF(INDEX(Rank_Changes!$P$2:$P$1090,MATCH($A8&amp;"|"&amp;"CAN",Rank_Changes!$U$2:$U$1090,0))="","–",INDEX(Rank_Changes!$P$2:$P$1090,MATCH($A8&amp;"|"&amp;"CAN",Rank_Changes!$U$2:$U$1090,0))),"–")</f>
        <v>-1</v>
      </c>
      <c r="M8" s="26" t="n">
        <f aca="false">IFERROR(IF(INDEX(Rank_Changes!$P$2:$P$1090,MATCH($A8&amp;"|"&amp;"JPN",Rank_Changes!$U$2:$U$1090,0))="","–",INDEX(Rank_Changes!$P$2:$P$1090,MATCH($A8&amp;"|"&amp;"JPN",Rank_Changes!$U$2:$U$1090,0))),"–")</f>
        <v>0</v>
      </c>
      <c r="N8" s="26" t="n">
        <f aca="false">IFERROR(IF(INDEX(Rank_Changes!$P$2:$P$1090,MATCH($A8&amp;"|"&amp;"AUS",Rank_Changes!$U$2:$U$1090,0))="","–",INDEX(Rank_Changes!$P$2:$P$1090,MATCH($A8&amp;"|"&amp;"AUS",Rank_Changes!$U$2:$U$1090,0))),"–")</f>
        <v>0</v>
      </c>
    </row>
    <row r="9" customFormat="false" ht="15" hidden="false" customHeight="false" outlineLevel="0" collapsed="false">
      <c r="A9" s="12" t="s">
        <v>59</v>
      </c>
      <c r="B9" s="12" t="s">
        <v>42</v>
      </c>
      <c r="C9" s="12" t="s">
        <v>60</v>
      </c>
      <c r="D9" s="26" t="n">
        <f aca="false">IFERROR(IF(INDEX(Rank_Changes!$P$2:$P$1090,MATCH($A9&amp;"|"&amp;"USA",Rank_Changes!$U$2:$U$1090,0))="","–",INDEX(Rank_Changes!$P$2:$P$1090,MATCH($A9&amp;"|"&amp;"USA",Rank_Changes!$U$2:$U$1090,0))),"–")</f>
        <v>0</v>
      </c>
      <c r="E9" s="26" t="n">
        <f aca="false">IFERROR(IF(INDEX(Rank_Changes!$P$2:$P$1090,MATCH($A9&amp;"|"&amp;"GBR",Rank_Changes!$U$2:$U$1090,0))="","–",INDEX(Rank_Changes!$P$2:$P$1090,MATCH($A9&amp;"|"&amp;"GBR",Rank_Changes!$U$2:$U$1090,0))),"–")</f>
        <v>0</v>
      </c>
      <c r="F9" s="26" t="n">
        <f aca="false">IFERROR(IF(INDEX(Rank_Changes!$P$2:$P$1090,MATCH($A9&amp;"|"&amp;"DEU",Rank_Changes!$U$2:$U$1090,0))="","–",INDEX(Rank_Changes!$P$2:$P$1090,MATCH($A9&amp;"|"&amp;"DEU",Rank_Changes!$U$2:$U$1090,0))),"–")</f>
        <v>2</v>
      </c>
      <c r="G9" s="26" t="n">
        <f aca="false">IFERROR(IF(INDEX(Rank_Changes!$P$2:$P$1090,MATCH($A9&amp;"|"&amp;"SWE",Rank_Changes!$U$2:$U$1090,0))="","–",INDEX(Rank_Changes!$P$2:$P$1090,MATCH($A9&amp;"|"&amp;"SWE",Rank_Changes!$U$2:$U$1090,0))),"–")</f>
        <v>-2</v>
      </c>
      <c r="H9" s="26" t="n">
        <f aca="false">IFERROR(IF(INDEX(Rank_Changes!$P$2:$P$1090,MATCH($A9&amp;"|"&amp;"FRA",Rank_Changes!$U$2:$U$1090,0))="","–",INDEX(Rank_Changes!$P$2:$P$1090,MATCH($A9&amp;"|"&amp;"FRA",Rank_Changes!$U$2:$U$1090,0))),"–")</f>
        <v>0</v>
      </c>
      <c r="I9" s="26" t="n">
        <f aca="false">IFERROR(IF(INDEX(Rank_Changes!$P$2:$P$1090,MATCH($A9&amp;"|"&amp;"NLD",Rank_Changes!$U$2:$U$1090,0))="","–",INDEX(Rank_Changes!$P$2:$P$1090,MATCH($A9&amp;"|"&amp;"NLD",Rank_Changes!$U$2:$U$1090,0))),"–")</f>
        <v>-1</v>
      </c>
      <c r="J9" s="26" t="n">
        <f aca="false">IFERROR(IF(INDEX(Rank_Changes!$P$2:$P$1090,MATCH($A9&amp;"|"&amp;"CHE",Rank_Changes!$U$2:$U$1090,0))="","–",INDEX(Rank_Changes!$P$2:$P$1090,MATCH($A9&amp;"|"&amp;"CHE",Rank_Changes!$U$2:$U$1090,0))),"–")</f>
        <v>-1</v>
      </c>
      <c r="K9" s="26" t="n">
        <f aca="false">IFERROR(IF(INDEX(Rank_Changes!$P$2:$P$1090,MATCH($A9&amp;"|"&amp;"DNK",Rank_Changes!$U$2:$U$1090,0))="","–",INDEX(Rank_Changes!$P$2:$P$1090,MATCH($A9&amp;"|"&amp;"DNK",Rank_Changes!$U$2:$U$1090,0))),"–")</f>
        <v>0</v>
      </c>
      <c r="L9" s="26" t="n">
        <f aca="false">IFERROR(IF(INDEX(Rank_Changes!$P$2:$P$1090,MATCH($A9&amp;"|"&amp;"CAN",Rank_Changes!$U$2:$U$1090,0))="","–",INDEX(Rank_Changes!$P$2:$P$1090,MATCH($A9&amp;"|"&amp;"CAN",Rank_Changes!$U$2:$U$1090,0))),"–")</f>
        <v>-1</v>
      </c>
      <c r="M9" s="26" t="n">
        <f aca="false">IFERROR(IF(INDEX(Rank_Changes!$P$2:$P$1090,MATCH($A9&amp;"|"&amp;"JPN",Rank_Changes!$U$2:$U$1090,0))="","–",INDEX(Rank_Changes!$P$2:$P$1090,MATCH($A9&amp;"|"&amp;"JPN",Rank_Changes!$U$2:$U$1090,0))),"–")</f>
        <v>0</v>
      </c>
      <c r="N9" s="26" t="n">
        <f aca="false">IFERROR(IF(INDEX(Rank_Changes!$P$2:$P$1090,MATCH($A9&amp;"|"&amp;"AUS",Rank_Changes!$U$2:$U$1090,0))="","–",INDEX(Rank_Changes!$P$2:$P$1090,MATCH($A9&amp;"|"&amp;"AUS",Rank_Changes!$U$2:$U$1090,0))),"–")</f>
        <v>1</v>
      </c>
    </row>
    <row r="10" customFormat="false" ht="15" hidden="false" customHeight="false" outlineLevel="0" collapsed="false">
      <c r="A10" s="12" t="s">
        <v>62</v>
      </c>
      <c r="B10" s="12" t="s">
        <v>42</v>
      </c>
      <c r="C10" s="12" t="s">
        <v>63</v>
      </c>
      <c r="D10" s="26" t="n">
        <f aca="false">IFERROR(IF(INDEX(Rank_Changes!$P$2:$P$1090,MATCH($A10&amp;"|"&amp;"USA",Rank_Changes!$U$2:$U$1090,0))="","–",INDEX(Rank_Changes!$P$2:$P$1090,MATCH($A10&amp;"|"&amp;"USA",Rank_Changes!$U$2:$U$1090,0))),"–")</f>
        <v>0</v>
      </c>
      <c r="E10" s="26" t="n">
        <f aca="false">IFERROR(IF(INDEX(Rank_Changes!$P$2:$P$1090,MATCH($A10&amp;"|"&amp;"GBR",Rank_Changes!$U$2:$U$1090,0))="","–",INDEX(Rank_Changes!$P$2:$P$1090,MATCH($A10&amp;"|"&amp;"GBR",Rank_Changes!$U$2:$U$1090,0))),"–")</f>
        <v>3</v>
      </c>
      <c r="F10" s="26" t="n">
        <f aca="false">IFERROR(IF(INDEX(Rank_Changes!$P$2:$P$1090,MATCH($A10&amp;"|"&amp;"DEU",Rank_Changes!$U$2:$U$1090,0))="","–",INDEX(Rank_Changes!$P$2:$P$1090,MATCH($A10&amp;"|"&amp;"DEU",Rank_Changes!$U$2:$U$1090,0))),"–")</f>
        <v>2</v>
      </c>
      <c r="G10" s="26" t="n">
        <f aca="false">IFERROR(IF(INDEX(Rank_Changes!$P$2:$P$1090,MATCH($A10&amp;"|"&amp;"SWE",Rank_Changes!$U$2:$U$1090,0))="","–",INDEX(Rank_Changes!$P$2:$P$1090,MATCH($A10&amp;"|"&amp;"SWE",Rank_Changes!$U$2:$U$1090,0))),"–")</f>
        <v>-3</v>
      </c>
      <c r="H10" s="26" t="n">
        <f aca="false">IFERROR(IF(INDEX(Rank_Changes!$P$2:$P$1090,MATCH($A10&amp;"|"&amp;"FRA",Rank_Changes!$U$2:$U$1090,0))="","–",INDEX(Rank_Changes!$P$2:$P$1090,MATCH($A10&amp;"|"&amp;"FRA",Rank_Changes!$U$2:$U$1090,0))),"–")</f>
        <v>1</v>
      </c>
      <c r="I10" s="26" t="n">
        <f aca="false">IFERROR(IF(INDEX(Rank_Changes!$P$2:$P$1090,MATCH($A10&amp;"|"&amp;"NLD",Rank_Changes!$U$2:$U$1090,0))="","–",INDEX(Rank_Changes!$P$2:$P$1090,MATCH($A10&amp;"|"&amp;"NLD",Rank_Changes!$U$2:$U$1090,0))),"–")</f>
        <v>-2</v>
      </c>
      <c r="J10" s="26" t="n">
        <f aca="false">IFERROR(IF(INDEX(Rank_Changes!$P$2:$P$1090,MATCH($A10&amp;"|"&amp;"CHE",Rank_Changes!$U$2:$U$1090,0))="","–",INDEX(Rank_Changes!$P$2:$P$1090,MATCH($A10&amp;"|"&amp;"CHE",Rank_Changes!$U$2:$U$1090,0))),"–")</f>
        <v>-1</v>
      </c>
      <c r="K10" s="26" t="n">
        <f aca="false">IFERROR(IF(INDEX(Rank_Changes!$P$2:$P$1090,MATCH($A10&amp;"|"&amp;"DNK",Rank_Changes!$U$2:$U$1090,0))="","–",INDEX(Rank_Changes!$P$2:$P$1090,MATCH($A10&amp;"|"&amp;"DNK",Rank_Changes!$U$2:$U$1090,0))),"–")</f>
        <v>-4</v>
      </c>
      <c r="L10" s="26" t="n">
        <f aca="false">IFERROR(IF(INDEX(Rank_Changes!$P$2:$P$1090,MATCH($A10&amp;"|"&amp;"CAN",Rank_Changes!$U$2:$U$1090,0))="","–",INDEX(Rank_Changes!$P$2:$P$1090,MATCH($A10&amp;"|"&amp;"CAN",Rank_Changes!$U$2:$U$1090,0))),"–")</f>
        <v>4</v>
      </c>
      <c r="M10" s="26" t="n">
        <f aca="false">IFERROR(IF(INDEX(Rank_Changes!$P$2:$P$1090,MATCH($A10&amp;"|"&amp;"JPN",Rank_Changes!$U$2:$U$1090,0))="","–",INDEX(Rank_Changes!$P$2:$P$1090,MATCH($A10&amp;"|"&amp;"JPN",Rank_Changes!$U$2:$U$1090,0))),"–")</f>
        <v>-2</v>
      </c>
      <c r="N10" s="26" t="n">
        <f aca="false">IFERROR(IF(INDEX(Rank_Changes!$P$2:$P$1090,MATCH($A10&amp;"|"&amp;"AUS",Rank_Changes!$U$2:$U$1090,0))="","–",INDEX(Rank_Changes!$P$2:$P$1090,MATCH($A10&amp;"|"&amp;"AUS",Rank_Changes!$U$2:$U$1090,0))),"–")</f>
        <v>2</v>
      </c>
    </row>
    <row r="11" customFormat="false" ht="15" hidden="false" customHeight="false" outlineLevel="0" collapsed="false">
      <c r="A11" s="12" t="s">
        <v>64</v>
      </c>
      <c r="B11" s="12" t="s">
        <v>42</v>
      </c>
      <c r="C11" s="12" t="s">
        <v>65</v>
      </c>
      <c r="D11" s="26" t="n">
        <f aca="false">IFERROR(IF(INDEX(Rank_Changes!$P$2:$P$1090,MATCH($A11&amp;"|"&amp;"USA",Rank_Changes!$U$2:$U$1090,0))="","–",INDEX(Rank_Changes!$P$2:$P$1090,MATCH($A11&amp;"|"&amp;"USA",Rank_Changes!$U$2:$U$1090,0))),"–")</f>
        <v>2</v>
      </c>
      <c r="E11" s="26" t="n">
        <f aca="false">IFERROR(IF(INDEX(Rank_Changes!$P$2:$P$1090,MATCH($A11&amp;"|"&amp;"GBR",Rank_Changes!$U$2:$U$1090,0))="","–",INDEX(Rank_Changes!$P$2:$P$1090,MATCH($A11&amp;"|"&amp;"GBR",Rank_Changes!$U$2:$U$1090,0))),"–")</f>
        <v>2</v>
      </c>
      <c r="F11" s="26" t="n">
        <f aca="false">IFERROR(IF(INDEX(Rank_Changes!$P$2:$P$1090,MATCH($A11&amp;"|"&amp;"DEU",Rank_Changes!$U$2:$U$1090,0))="","–",INDEX(Rank_Changes!$P$2:$P$1090,MATCH($A11&amp;"|"&amp;"DEU",Rank_Changes!$U$2:$U$1090,0))),"–")</f>
        <v>1</v>
      </c>
      <c r="G11" s="26" t="n">
        <f aca="false">IFERROR(IF(INDEX(Rank_Changes!$P$2:$P$1090,MATCH($A11&amp;"|"&amp;"SWE",Rank_Changes!$U$2:$U$1090,0))="","–",INDEX(Rank_Changes!$P$2:$P$1090,MATCH($A11&amp;"|"&amp;"SWE",Rank_Changes!$U$2:$U$1090,0))),"–")</f>
        <v>0</v>
      </c>
      <c r="H11" s="26" t="n">
        <f aca="false">IFERROR(IF(INDEX(Rank_Changes!$P$2:$P$1090,MATCH($A11&amp;"|"&amp;"FRA",Rank_Changes!$U$2:$U$1090,0))="","–",INDEX(Rank_Changes!$P$2:$P$1090,MATCH($A11&amp;"|"&amp;"FRA",Rank_Changes!$U$2:$U$1090,0))),"–")</f>
        <v>-4</v>
      </c>
      <c r="I11" s="26" t="str">
        <f aca="false">IFERROR(IF(INDEX(Rank_Changes!$P$2:$P$1090,MATCH($A11&amp;"|"&amp;"NLD",Rank_Changes!$U$2:$U$1090,0))="","–",INDEX(Rank_Changes!$P$2:$P$1090,MATCH($A11&amp;"|"&amp;"NLD",Rank_Changes!$U$2:$U$1090,0))),"–")</f>
        <v>–</v>
      </c>
      <c r="J11" s="26" t="str">
        <f aca="false">IFERROR(IF(INDEX(Rank_Changes!$P$2:$P$1090,MATCH($A11&amp;"|"&amp;"CHE",Rank_Changes!$U$2:$U$1090,0))="","–",INDEX(Rank_Changes!$P$2:$P$1090,MATCH($A11&amp;"|"&amp;"CHE",Rank_Changes!$U$2:$U$1090,0))),"–")</f>
        <v>–</v>
      </c>
      <c r="K11" s="26" t="n">
        <f aca="false">IFERROR(IF(INDEX(Rank_Changes!$P$2:$P$1090,MATCH($A11&amp;"|"&amp;"DNK",Rank_Changes!$U$2:$U$1090,0))="","–",INDEX(Rank_Changes!$P$2:$P$1090,MATCH($A11&amp;"|"&amp;"DNK",Rank_Changes!$U$2:$U$1090,0))),"–")</f>
        <v>-6</v>
      </c>
      <c r="L11" s="26" t="n">
        <f aca="false">IFERROR(IF(INDEX(Rank_Changes!$P$2:$P$1090,MATCH($A11&amp;"|"&amp;"CAN",Rank_Changes!$U$2:$U$1090,0))="","–",INDEX(Rank_Changes!$P$2:$P$1090,MATCH($A11&amp;"|"&amp;"CAN",Rank_Changes!$U$2:$U$1090,0))),"–")</f>
        <v>2</v>
      </c>
      <c r="M11" s="26" t="n">
        <f aca="false">IFERROR(IF(INDEX(Rank_Changes!$P$2:$P$1090,MATCH($A11&amp;"|"&amp;"JPN",Rank_Changes!$U$2:$U$1090,0))="","–",INDEX(Rank_Changes!$P$2:$P$1090,MATCH($A11&amp;"|"&amp;"JPN",Rank_Changes!$U$2:$U$1090,0))),"–")</f>
        <v>2</v>
      </c>
      <c r="N11" s="26" t="n">
        <f aca="false">IFERROR(IF(INDEX(Rank_Changes!$P$2:$P$1090,MATCH($A11&amp;"|"&amp;"AUS",Rank_Changes!$U$2:$U$1090,0))="","–",INDEX(Rank_Changes!$P$2:$P$1090,MATCH($A11&amp;"|"&amp;"AUS",Rank_Changes!$U$2:$U$1090,0))),"–")</f>
        <v>0</v>
      </c>
    </row>
    <row r="12" customFormat="false" ht="15" hidden="false" customHeight="false" outlineLevel="0" collapsed="false">
      <c r="A12" s="12" t="s">
        <v>66</v>
      </c>
      <c r="B12" s="12" t="s">
        <v>42</v>
      </c>
      <c r="C12" s="12" t="s">
        <v>67</v>
      </c>
      <c r="D12" s="26" t="n">
        <f aca="false">IFERROR(IF(INDEX(Rank_Changes!$P$2:$P$1090,MATCH($A12&amp;"|"&amp;"USA",Rank_Changes!$U$2:$U$1090,0))="","–",INDEX(Rank_Changes!$P$2:$P$1090,MATCH($A12&amp;"|"&amp;"USA",Rank_Changes!$U$2:$U$1090,0))),"–")</f>
        <v>0</v>
      </c>
      <c r="E12" s="26" t="n">
        <f aca="false">IFERROR(IF(INDEX(Rank_Changes!$P$2:$P$1090,MATCH($A12&amp;"|"&amp;"GBR",Rank_Changes!$U$2:$U$1090,0))="","–",INDEX(Rank_Changes!$P$2:$P$1090,MATCH($A12&amp;"|"&amp;"GBR",Rank_Changes!$U$2:$U$1090,0))),"–")</f>
        <v>1</v>
      </c>
      <c r="F12" s="26" t="n">
        <f aca="false">IFERROR(IF(INDEX(Rank_Changes!$P$2:$P$1090,MATCH($A12&amp;"|"&amp;"DEU",Rank_Changes!$U$2:$U$1090,0))="","–",INDEX(Rank_Changes!$P$2:$P$1090,MATCH($A12&amp;"|"&amp;"DEU",Rank_Changes!$U$2:$U$1090,0))),"–")</f>
        <v>3</v>
      </c>
      <c r="G12" s="26" t="n">
        <f aca="false">IFERROR(IF(INDEX(Rank_Changes!$P$2:$P$1090,MATCH($A12&amp;"|"&amp;"SWE",Rank_Changes!$U$2:$U$1090,0))="","–",INDEX(Rank_Changes!$P$2:$P$1090,MATCH($A12&amp;"|"&amp;"SWE",Rank_Changes!$U$2:$U$1090,0))),"–")</f>
        <v>-3</v>
      </c>
      <c r="H12" s="26" t="n">
        <f aca="false">IFERROR(IF(INDEX(Rank_Changes!$P$2:$P$1090,MATCH($A12&amp;"|"&amp;"FRA",Rank_Changes!$U$2:$U$1090,0))="","–",INDEX(Rank_Changes!$P$2:$P$1090,MATCH($A12&amp;"|"&amp;"FRA",Rank_Changes!$U$2:$U$1090,0))),"–")</f>
        <v>1</v>
      </c>
      <c r="I12" s="26" t="n">
        <f aca="false">IFERROR(IF(INDEX(Rank_Changes!$P$2:$P$1090,MATCH($A12&amp;"|"&amp;"NLD",Rank_Changes!$U$2:$U$1090,0))="","–",INDEX(Rank_Changes!$P$2:$P$1090,MATCH($A12&amp;"|"&amp;"NLD",Rank_Changes!$U$2:$U$1090,0))),"–")</f>
        <v>1</v>
      </c>
      <c r="J12" s="26" t="n">
        <f aca="false">IFERROR(IF(INDEX(Rank_Changes!$P$2:$P$1090,MATCH($A12&amp;"|"&amp;"CHE",Rank_Changes!$U$2:$U$1090,0))="","–",INDEX(Rank_Changes!$P$2:$P$1090,MATCH($A12&amp;"|"&amp;"CHE",Rank_Changes!$U$2:$U$1090,0))),"–")</f>
        <v>1</v>
      </c>
      <c r="K12" s="26" t="n">
        <f aca="false">IFERROR(IF(INDEX(Rank_Changes!$P$2:$P$1090,MATCH($A12&amp;"|"&amp;"DNK",Rank_Changes!$U$2:$U$1090,0))="","–",INDEX(Rank_Changes!$P$2:$P$1090,MATCH($A12&amp;"|"&amp;"DNK",Rank_Changes!$U$2:$U$1090,0))),"–")</f>
        <v>-4</v>
      </c>
      <c r="L12" s="26" t="n">
        <f aca="false">IFERROR(IF(INDEX(Rank_Changes!$P$2:$P$1090,MATCH($A12&amp;"|"&amp;"CAN",Rank_Changes!$U$2:$U$1090,0))="","–",INDEX(Rank_Changes!$P$2:$P$1090,MATCH($A12&amp;"|"&amp;"CAN",Rank_Changes!$U$2:$U$1090,0))),"–")</f>
        <v>0</v>
      </c>
      <c r="M12" s="26" t="n">
        <f aca="false">IFERROR(IF(INDEX(Rank_Changes!$P$2:$P$1090,MATCH($A12&amp;"|"&amp;"JPN",Rank_Changes!$U$2:$U$1090,0))="","–",INDEX(Rank_Changes!$P$2:$P$1090,MATCH($A12&amp;"|"&amp;"JPN",Rank_Changes!$U$2:$U$1090,0))),"–")</f>
        <v>-2</v>
      </c>
      <c r="N12" s="26" t="n">
        <f aca="false">IFERROR(IF(INDEX(Rank_Changes!$P$2:$P$1090,MATCH($A12&amp;"|"&amp;"AUS",Rank_Changes!$U$2:$U$1090,0))="","–",INDEX(Rank_Changes!$P$2:$P$1090,MATCH($A12&amp;"|"&amp;"AUS",Rank_Changes!$U$2:$U$1090,0))),"–")</f>
        <v>2</v>
      </c>
    </row>
    <row r="13" customFormat="false" ht="15" hidden="false" customHeight="false" outlineLevel="0" collapsed="false">
      <c r="A13" s="12" t="s">
        <v>68</v>
      </c>
      <c r="B13" s="12" t="s">
        <v>42</v>
      </c>
      <c r="C13" s="12" t="s">
        <v>69</v>
      </c>
      <c r="D13" s="26" t="n">
        <f aca="false">IFERROR(IF(INDEX(Rank_Changes!$P$2:$P$1090,MATCH($A13&amp;"|"&amp;"USA",Rank_Changes!$U$2:$U$1090,0))="","–",INDEX(Rank_Changes!$P$2:$P$1090,MATCH($A13&amp;"|"&amp;"USA",Rank_Changes!$U$2:$U$1090,0))),"–")</f>
        <v>0</v>
      </c>
      <c r="E13" s="26" t="n">
        <f aca="false">IFERROR(IF(INDEX(Rank_Changes!$P$2:$P$1090,MATCH($A13&amp;"|"&amp;"GBR",Rank_Changes!$U$2:$U$1090,0))="","–",INDEX(Rank_Changes!$P$2:$P$1090,MATCH($A13&amp;"|"&amp;"GBR",Rank_Changes!$U$2:$U$1090,0))),"–")</f>
        <v>2</v>
      </c>
      <c r="F13" s="26" t="n">
        <f aca="false">IFERROR(IF(INDEX(Rank_Changes!$P$2:$P$1090,MATCH($A13&amp;"|"&amp;"DEU",Rank_Changes!$U$2:$U$1090,0))="","–",INDEX(Rank_Changes!$P$2:$P$1090,MATCH($A13&amp;"|"&amp;"DEU",Rank_Changes!$U$2:$U$1090,0))),"–")</f>
        <v>2</v>
      </c>
      <c r="G13" s="26" t="n">
        <f aca="false">IFERROR(IF(INDEX(Rank_Changes!$P$2:$P$1090,MATCH($A13&amp;"|"&amp;"SWE",Rank_Changes!$U$2:$U$1090,0))="","–",INDEX(Rank_Changes!$P$2:$P$1090,MATCH($A13&amp;"|"&amp;"SWE",Rank_Changes!$U$2:$U$1090,0))),"–")</f>
        <v>0</v>
      </c>
      <c r="H13" s="26" t="n">
        <f aca="false">IFERROR(IF(INDEX(Rank_Changes!$P$2:$P$1090,MATCH($A13&amp;"|"&amp;"FRA",Rank_Changes!$U$2:$U$1090,0))="","–",INDEX(Rank_Changes!$P$2:$P$1090,MATCH($A13&amp;"|"&amp;"FRA",Rank_Changes!$U$2:$U$1090,0))),"–")</f>
        <v>-1</v>
      </c>
      <c r="I13" s="26" t="str">
        <f aca="false">IFERROR(IF(INDEX(Rank_Changes!$P$2:$P$1090,MATCH($A13&amp;"|"&amp;"NLD",Rank_Changes!$U$2:$U$1090,0))="","–",INDEX(Rank_Changes!$P$2:$P$1090,MATCH($A13&amp;"|"&amp;"NLD",Rank_Changes!$U$2:$U$1090,0))),"–")</f>
        <v>–</v>
      </c>
      <c r="J13" s="26" t="n">
        <f aca="false">IFERROR(IF(INDEX(Rank_Changes!$P$2:$P$1090,MATCH($A13&amp;"|"&amp;"CHE",Rank_Changes!$U$2:$U$1090,0))="","–",INDEX(Rank_Changes!$P$2:$P$1090,MATCH($A13&amp;"|"&amp;"CHE",Rank_Changes!$U$2:$U$1090,0))),"–")</f>
        <v>-3</v>
      </c>
      <c r="K13" s="26" t="n">
        <f aca="false">IFERROR(IF(INDEX(Rank_Changes!$P$2:$P$1090,MATCH($A13&amp;"|"&amp;"DNK",Rank_Changes!$U$2:$U$1090,0))="","–",INDEX(Rank_Changes!$P$2:$P$1090,MATCH($A13&amp;"|"&amp;"DNK",Rank_Changes!$U$2:$U$1090,0))),"–")</f>
        <v>-4</v>
      </c>
      <c r="L13" s="26" t="n">
        <f aca="false">IFERROR(IF(INDEX(Rank_Changes!$P$2:$P$1090,MATCH($A13&amp;"|"&amp;"CAN",Rank_Changes!$U$2:$U$1090,0))="","–",INDEX(Rank_Changes!$P$2:$P$1090,MATCH($A13&amp;"|"&amp;"CAN",Rank_Changes!$U$2:$U$1090,0))),"–")</f>
        <v>0</v>
      </c>
      <c r="M13" s="26" t="n">
        <f aca="false">IFERROR(IF(INDEX(Rank_Changes!$P$2:$P$1090,MATCH($A13&amp;"|"&amp;"JPN",Rank_Changes!$U$2:$U$1090,0))="","–",INDEX(Rank_Changes!$P$2:$P$1090,MATCH($A13&amp;"|"&amp;"JPN",Rank_Changes!$U$2:$U$1090,0))),"–")</f>
        <v>4</v>
      </c>
      <c r="N13" s="26" t="n">
        <f aca="false">IFERROR(IF(INDEX(Rank_Changes!$P$2:$P$1090,MATCH($A13&amp;"|"&amp;"AUS",Rank_Changes!$U$2:$U$1090,0))="","–",INDEX(Rank_Changes!$P$2:$P$1090,MATCH($A13&amp;"|"&amp;"AUS",Rank_Changes!$U$2:$U$1090,0))),"–")</f>
        <v>-1</v>
      </c>
    </row>
    <row r="14" customFormat="false" ht="15" hidden="false" customHeight="false" outlineLevel="0" collapsed="false">
      <c r="A14" s="12" t="s">
        <v>70</v>
      </c>
      <c r="B14" s="12" t="s">
        <v>42</v>
      </c>
      <c r="C14" s="12" t="s">
        <v>71</v>
      </c>
      <c r="D14" s="26" t="n">
        <f aca="false">IFERROR(IF(INDEX(Rank_Changes!$P$2:$P$1090,MATCH($A14&amp;"|"&amp;"USA",Rank_Changes!$U$2:$U$1090,0))="","–",INDEX(Rank_Changes!$P$2:$P$1090,MATCH($A14&amp;"|"&amp;"USA",Rank_Changes!$U$2:$U$1090,0))),"–")</f>
        <v>0</v>
      </c>
      <c r="E14" s="26" t="n">
        <f aca="false">IFERROR(IF(INDEX(Rank_Changes!$P$2:$P$1090,MATCH($A14&amp;"|"&amp;"GBR",Rank_Changes!$U$2:$U$1090,0))="","–",INDEX(Rank_Changes!$P$2:$P$1090,MATCH($A14&amp;"|"&amp;"GBR",Rank_Changes!$U$2:$U$1090,0))),"–")</f>
        <v>2</v>
      </c>
      <c r="F14" s="26" t="n">
        <f aca="false">IFERROR(IF(INDEX(Rank_Changes!$P$2:$P$1090,MATCH($A14&amp;"|"&amp;"DEU",Rank_Changes!$U$2:$U$1090,0))="","–",INDEX(Rank_Changes!$P$2:$P$1090,MATCH($A14&amp;"|"&amp;"DEU",Rank_Changes!$U$2:$U$1090,0))),"–")</f>
        <v>-1</v>
      </c>
      <c r="G14" s="26" t="n">
        <f aca="false">IFERROR(IF(INDEX(Rank_Changes!$P$2:$P$1090,MATCH($A14&amp;"|"&amp;"SWE",Rank_Changes!$U$2:$U$1090,0))="","–",INDEX(Rank_Changes!$P$2:$P$1090,MATCH($A14&amp;"|"&amp;"SWE",Rank_Changes!$U$2:$U$1090,0))),"–")</f>
        <v>0</v>
      </c>
      <c r="H14" s="26" t="n">
        <f aca="false">IFERROR(IF(INDEX(Rank_Changes!$P$2:$P$1090,MATCH($A14&amp;"|"&amp;"FRA",Rank_Changes!$U$2:$U$1090,0))="","–",INDEX(Rank_Changes!$P$2:$P$1090,MATCH($A14&amp;"|"&amp;"FRA",Rank_Changes!$U$2:$U$1090,0))),"–")</f>
        <v>1</v>
      </c>
      <c r="I14" s="26" t="str">
        <f aca="false">IFERROR(IF(INDEX(Rank_Changes!$P$2:$P$1090,MATCH($A14&amp;"|"&amp;"NLD",Rank_Changes!$U$2:$U$1090,0))="","–",INDEX(Rank_Changes!$P$2:$P$1090,MATCH($A14&amp;"|"&amp;"NLD",Rank_Changes!$U$2:$U$1090,0))),"–")</f>
        <v>–</v>
      </c>
      <c r="J14" s="26" t="n">
        <f aca="false">IFERROR(IF(INDEX(Rank_Changes!$P$2:$P$1090,MATCH($A14&amp;"|"&amp;"CHE",Rank_Changes!$U$2:$U$1090,0))="","–",INDEX(Rank_Changes!$P$2:$P$1090,MATCH($A14&amp;"|"&amp;"CHE",Rank_Changes!$U$2:$U$1090,0))),"–")</f>
        <v>-4</v>
      </c>
      <c r="K14" s="26" t="n">
        <f aca="false">IFERROR(IF(INDEX(Rank_Changes!$P$2:$P$1090,MATCH($A14&amp;"|"&amp;"DNK",Rank_Changes!$U$2:$U$1090,0))="","–",INDEX(Rank_Changes!$P$2:$P$1090,MATCH($A14&amp;"|"&amp;"DNK",Rank_Changes!$U$2:$U$1090,0))),"–")</f>
        <v>2</v>
      </c>
      <c r="L14" s="26" t="n">
        <f aca="false">IFERROR(IF(INDEX(Rank_Changes!$P$2:$P$1090,MATCH($A14&amp;"|"&amp;"CAN",Rank_Changes!$U$2:$U$1090,0))="","–",INDEX(Rank_Changes!$P$2:$P$1090,MATCH($A14&amp;"|"&amp;"CAN",Rank_Changes!$U$2:$U$1090,0))),"–")</f>
        <v>-1</v>
      </c>
      <c r="M14" s="26" t="n">
        <f aca="false">IFERROR(IF(INDEX(Rank_Changes!$P$2:$P$1090,MATCH($A14&amp;"|"&amp;"JPN",Rank_Changes!$U$2:$U$1090,0))="","–",INDEX(Rank_Changes!$P$2:$P$1090,MATCH($A14&amp;"|"&amp;"JPN",Rank_Changes!$U$2:$U$1090,0))),"–")</f>
        <v>1</v>
      </c>
      <c r="N14" s="26" t="n">
        <f aca="false">IFERROR(IF(INDEX(Rank_Changes!$P$2:$P$1090,MATCH($A14&amp;"|"&amp;"AUS",Rank_Changes!$U$2:$U$1090,0))="","–",INDEX(Rank_Changes!$P$2:$P$1090,MATCH($A14&amp;"|"&amp;"AUS",Rank_Changes!$U$2:$U$1090,0))),"–")</f>
        <v>-1</v>
      </c>
    </row>
    <row r="15" customFormat="false" ht="15" hidden="false" customHeight="false" outlineLevel="0" collapsed="false">
      <c r="A15" s="12" t="s">
        <v>72</v>
      </c>
      <c r="B15" s="12" t="s">
        <v>42</v>
      </c>
      <c r="C15" s="12" t="s">
        <v>73</v>
      </c>
      <c r="D15" s="26" t="n">
        <f aca="false">IFERROR(IF(INDEX(Rank_Changes!$P$2:$P$1090,MATCH($A15&amp;"|"&amp;"USA",Rank_Changes!$U$2:$U$1090,0))="","–",INDEX(Rank_Changes!$P$2:$P$1090,MATCH($A15&amp;"|"&amp;"USA",Rank_Changes!$U$2:$U$1090,0))),"–")</f>
        <v>-1</v>
      </c>
      <c r="E15" s="26" t="n">
        <f aca="false">IFERROR(IF(INDEX(Rank_Changes!$P$2:$P$1090,MATCH($A15&amp;"|"&amp;"GBR",Rank_Changes!$U$2:$U$1090,0))="","–",INDEX(Rank_Changes!$P$2:$P$1090,MATCH($A15&amp;"|"&amp;"GBR",Rank_Changes!$U$2:$U$1090,0))),"–")</f>
        <v>-1</v>
      </c>
      <c r="F15" s="26" t="n">
        <f aca="false">IFERROR(IF(INDEX(Rank_Changes!$P$2:$P$1090,MATCH($A15&amp;"|"&amp;"DEU",Rank_Changes!$U$2:$U$1090,0))="","–",INDEX(Rank_Changes!$P$2:$P$1090,MATCH($A15&amp;"|"&amp;"DEU",Rank_Changes!$U$2:$U$1090,0))),"–")</f>
        <v>3</v>
      </c>
      <c r="G15" s="26" t="n">
        <f aca="false">IFERROR(IF(INDEX(Rank_Changes!$P$2:$P$1090,MATCH($A15&amp;"|"&amp;"SWE",Rank_Changes!$U$2:$U$1090,0))="","–",INDEX(Rank_Changes!$P$2:$P$1090,MATCH($A15&amp;"|"&amp;"SWE",Rank_Changes!$U$2:$U$1090,0))),"–")</f>
        <v>0</v>
      </c>
      <c r="H15" s="26" t="n">
        <f aca="false">IFERROR(IF(INDEX(Rank_Changes!$P$2:$P$1090,MATCH($A15&amp;"|"&amp;"FRA",Rank_Changes!$U$2:$U$1090,0))="","–",INDEX(Rank_Changes!$P$2:$P$1090,MATCH($A15&amp;"|"&amp;"FRA",Rank_Changes!$U$2:$U$1090,0))),"–")</f>
        <v>0</v>
      </c>
      <c r="I15" s="26" t="str">
        <f aca="false">IFERROR(IF(INDEX(Rank_Changes!$P$2:$P$1090,MATCH($A15&amp;"|"&amp;"NLD",Rank_Changes!$U$2:$U$1090,0))="","–",INDEX(Rank_Changes!$P$2:$P$1090,MATCH($A15&amp;"|"&amp;"NLD",Rank_Changes!$U$2:$U$1090,0))),"–")</f>
        <v>–</v>
      </c>
      <c r="J15" s="26" t="n">
        <f aca="false">IFERROR(IF(INDEX(Rank_Changes!$P$2:$P$1090,MATCH($A15&amp;"|"&amp;"CHE",Rank_Changes!$U$2:$U$1090,0))="","–",INDEX(Rank_Changes!$P$2:$P$1090,MATCH($A15&amp;"|"&amp;"CHE",Rank_Changes!$U$2:$U$1090,0))),"–")</f>
        <v>-1</v>
      </c>
      <c r="K15" s="26" t="n">
        <f aca="false">IFERROR(IF(INDEX(Rank_Changes!$P$2:$P$1090,MATCH($A15&amp;"|"&amp;"DNK",Rank_Changes!$U$2:$U$1090,0))="","–",INDEX(Rank_Changes!$P$2:$P$1090,MATCH($A15&amp;"|"&amp;"DNK",Rank_Changes!$U$2:$U$1090,0))),"–")</f>
        <v>-2</v>
      </c>
      <c r="L15" s="26" t="n">
        <f aca="false">IFERROR(IF(INDEX(Rank_Changes!$P$2:$P$1090,MATCH($A15&amp;"|"&amp;"CAN",Rank_Changes!$U$2:$U$1090,0))="","–",INDEX(Rank_Changes!$P$2:$P$1090,MATCH($A15&amp;"|"&amp;"CAN",Rank_Changes!$U$2:$U$1090,0))),"–")</f>
        <v>5</v>
      </c>
      <c r="M15" s="26" t="n">
        <f aca="false">IFERROR(IF(INDEX(Rank_Changes!$P$2:$P$1090,MATCH($A15&amp;"|"&amp;"JPN",Rank_Changes!$U$2:$U$1090,0))="","–",INDEX(Rank_Changes!$P$2:$P$1090,MATCH($A15&amp;"|"&amp;"JPN",Rank_Changes!$U$2:$U$1090,0))),"–")</f>
        <v>-4</v>
      </c>
      <c r="N15" s="26" t="n">
        <f aca="false">IFERROR(IF(INDEX(Rank_Changes!$P$2:$P$1090,MATCH($A15&amp;"|"&amp;"AUS",Rank_Changes!$U$2:$U$1090,0))="","–",INDEX(Rank_Changes!$P$2:$P$1090,MATCH($A15&amp;"|"&amp;"AUS",Rank_Changes!$U$2:$U$1090,0))),"–")</f>
        <v>1</v>
      </c>
    </row>
    <row r="16" customFormat="false" ht="15" hidden="false" customHeight="false" outlineLevel="0" collapsed="false">
      <c r="A16" s="12" t="s">
        <v>74</v>
      </c>
      <c r="B16" s="12" t="s">
        <v>42</v>
      </c>
      <c r="C16" s="12" t="s">
        <v>75</v>
      </c>
      <c r="D16" s="26" t="n">
        <f aca="false">IFERROR(IF(INDEX(Rank_Changes!$P$2:$P$1090,MATCH($A16&amp;"|"&amp;"USA",Rank_Changes!$U$2:$U$1090,0))="","–",INDEX(Rank_Changes!$P$2:$P$1090,MATCH($A16&amp;"|"&amp;"USA",Rank_Changes!$U$2:$U$1090,0))),"–")</f>
        <v>0</v>
      </c>
      <c r="E16" s="26" t="n">
        <f aca="false">IFERROR(IF(INDEX(Rank_Changes!$P$2:$P$1090,MATCH($A16&amp;"|"&amp;"GBR",Rank_Changes!$U$2:$U$1090,0))="","–",INDEX(Rank_Changes!$P$2:$P$1090,MATCH($A16&amp;"|"&amp;"GBR",Rank_Changes!$U$2:$U$1090,0))),"–")</f>
        <v>-4</v>
      </c>
      <c r="F16" s="26" t="n">
        <f aca="false">IFERROR(IF(INDEX(Rank_Changes!$P$2:$P$1090,MATCH($A16&amp;"|"&amp;"DEU",Rank_Changes!$U$2:$U$1090,0))="","–",INDEX(Rank_Changes!$P$2:$P$1090,MATCH($A16&amp;"|"&amp;"DEU",Rank_Changes!$U$2:$U$1090,0))),"–")</f>
        <v>0</v>
      </c>
      <c r="G16" s="26" t="n">
        <f aca="false">IFERROR(IF(INDEX(Rank_Changes!$P$2:$P$1090,MATCH($A16&amp;"|"&amp;"SWE",Rank_Changes!$U$2:$U$1090,0))="","–",INDEX(Rank_Changes!$P$2:$P$1090,MATCH($A16&amp;"|"&amp;"SWE",Rank_Changes!$U$2:$U$1090,0))),"–")</f>
        <v>1</v>
      </c>
      <c r="H16" s="26" t="n">
        <f aca="false">IFERROR(IF(INDEX(Rank_Changes!$P$2:$P$1090,MATCH($A16&amp;"|"&amp;"FRA",Rank_Changes!$U$2:$U$1090,0))="","–",INDEX(Rank_Changes!$P$2:$P$1090,MATCH($A16&amp;"|"&amp;"FRA",Rank_Changes!$U$2:$U$1090,0))),"–")</f>
        <v>-2</v>
      </c>
      <c r="I16" s="26" t="str">
        <f aca="false">IFERROR(IF(INDEX(Rank_Changes!$P$2:$P$1090,MATCH($A16&amp;"|"&amp;"NLD",Rank_Changes!$U$2:$U$1090,0))="","–",INDEX(Rank_Changes!$P$2:$P$1090,MATCH($A16&amp;"|"&amp;"NLD",Rank_Changes!$U$2:$U$1090,0))),"–")</f>
        <v>–</v>
      </c>
      <c r="J16" s="26" t="n">
        <f aca="false">IFERROR(IF(INDEX(Rank_Changes!$P$2:$P$1090,MATCH($A16&amp;"|"&amp;"CHE",Rank_Changes!$U$2:$U$1090,0))="","–",INDEX(Rank_Changes!$P$2:$P$1090,MATCH($A16&amp;"|"&amp;"CHE",Rank_Changes!$U$2:$U$1090,0))),"–")</f>
        <v>2</v>
      </c>
      <c r="K16" s="26" t="n">
        <f aca="false">IFERROR(IF(INDEX(Rank_Changes!$P$2:$P$1090,MATCH($A16&amp;"|"&amp;"DNK",Rank_Changes!$U$2:$U$1090,0))="","–",INDEX(Rank_Changes!$P$2:$P$1090,MATCH($A16&amp;"|"&amp;"DNK",Rank_Changes!$U$2:$U$1090,0))),"–")</f>
        <v>1</v>
      </c>
      <c r="L16" s="26" t="n">
        <f aca="false">IFERROR(IF(INDEX(Rank_Changes!$P$2:$P$1090,MATCH($A16&amp;"|"&amp;"CAN",Rank_Changes!$U$2:$U$1090,0))="","–",INDEX(Rank_Changes!$P$2:$P$1090,MATCH($A16&amp;"|"&amp;"CAN",Rank_Changes!$U$2:$U$1090,0))),"–")</f>
        <v>-3</v>
      </c>
      <c r="M16" s="26" t="n">
        <f aca="false">IFERROR(IF(INDEX(Rank_Changes!$P$2:$P$1090,MATCH($A16&amp;"|"&amp;"JPN",Rank_Changes!$U$2:$U$1090,0))="","–",INDEX(Rank_Changes!$P$2:$P$1090,MATCH($A16&amp;"|"&amp;"JPN",Rank_Changes!$U$2:$U$1090,0))),"–")</f>
        <v>-1</v>
      </c>
      <c r="N16" s="26" t="n">
        <f aca="false">IFERROR(IF(INDEX(Rank_Changes!$P$2:$P$1090,MATCH($A16&amp;"|"&amp;"AUS",Rank_Changes!$U$2:$U$1090,0))="","–",INDEX(Rank_Changes!$P$2:$P$1090,MATCH($A16&amp;"|"&amp;"AUS",Rank_Changes!$U$2:$U$1090,0))),"–")</f>
        <v>0</v>
      </c>
    </row>
    <row r="17" customFormat="false" ht="15" hidden="false" customHeight="false" outlineLevel="0" collapsed="false">
      <c r="A17" s="12" t="s">
        <v>76</v>
      </c>
      <c r="B17" s="12" t="s">
        <v>42</v>
      </c>
      <c r="C17" s="12" t="s">
        <v>77</v>
      </c>
      <c r="D17" s="26" t="n">
        <f aca="false">IFERROR(IF(INDEX(Rank_Changes!$P$2:$P$1090,MATCH($A17&amp;"|"&amp;"USA",Rank_Changes!$U$2:$U$1090,0))="","–",INDEX(Rank_Changes!$P$2:$P$1090,MATCH($A17&amp;"|"&amp;"USA",Rank_Changes!$U$2:$U$1090,0))),"–")</f>
        <v>0</v>
      </c>
      <c r="E17" s="26" t="n">
        <f aca="false">IFERROR(IF(INDEX(Rank_Changes!$P$2:$P$1090,MATCH($A17&amp;"|"&amp;"GBR",Rank_Changes!$U$2:$U$1090,0))="","–",INDEX(Rank_Changes!$P$2:$P$1090,MATCH($A17&amp;"|"&amp;"GBR",Rank_Changes!$U$2:$U$1090,0))),"–")</f>
        <v>-2</v>
      </c>
      <c r="F17" s="26" t="n">
        <f aca="false">IFERROR(IF(INDEX(Rank_Changes!$P$2:$P$1090,MATCH($A17&amp;"|"&amp;"DEU",Rank_Changes!$U$2:$U$1090,0))="","–",INDEX(Rank_Changes!$P$2:$P$1090,MATCH($A17&amp;"|"&amp;"DEU",Rank_Changes!$U$2:$U$1090,0))),"–")</f>
        <v>-2</v>
      </c>
      <c r="G17" s="26" t="n">
        <f aca="false">IFERROR(IF(INDEX(Rank_Changes!$P$2:$P$1090,MATCH($A17&amp;"|"&amp;"SWE",Rank_Changes!$U$2:$U$1090,0))="","–",INDEX(Rank_Changes!$P$2:$P$1090,MATCH($A17&amp;"|"&amp;"SWE",Rank_Changes!$U$2:$U$1090,0))),"–")</f>
        <v>-4</v>
      </c>
      <c r="H17" s="26" t="n">
        <f aca="false">IFERROR(IF(INDEX(Rank_Changes!$P$2:$P$1090,MATCH($A17&amp;"|"&amp;"FRA",Rank_Changes!$U$2:$U$1090,0))="","–",INDEX(Rank_Changes!$P$2:$P$1090,MATCH($A17&amp;"|"&amp;"FRA",Rank_Changes!$U$2:$U$1090,0))),"–")</f>
        <v>7</v>
      </c>
      <c r="I17" s="26" t="str">
        <f aca="false">IFERROR(IF(INDEX(Rank_Changes!$P$2:$P$1090,MATCH($A17&amp;"|"&amp;"NLD",Rank_Changes!$U$2:$U$1090,0))="","–",INDEX(Rank_Changes!$P$2:$P$1090,MATCH($A17&amp;"|"&amp;"NLD",Rank_Changes!$U$2:$U$1090,0))),"–")</f>
        <v>–</v>
      </c>
      <c r="J17" s="26" t="n">
        <f aca="false">IFERROR(IF(INDEX(Rank_Changes!$P$2:$P$1090,MATCH($A17&amp;"|"&amp;"CHE",Rank_Changes!$U$2:$U$1090,0))="","–",INDEX(Rank_Changes!$P$2:$P$1090,MATCH($A17&amp;"|"&amp;"CHE",Rank_Changes!$U$2:$U$1090,0))),"–")</f>
        <v>0</v>
      </c>
      <c r="K17" s="26" t="n">
        <f aca="false">IFERROR(IF(INDEX(Rank_Changes!$P$2:$P$1090,MATCH($A17&amp;"|"&amp;"DNK",Rank_Changes!$U$2:$U$1090,0))="","–",INDEX(Rank_Changes!$P$2:$P$1090,MATCH($A17&amp;"|"&amp;"DNK",Rank_Changes!$U$2:$U$1090,0))),"–")</f>
        <v>2</v>
      </c>
      <c r="L17" s="26" t="n">
        <f aca="false">IFERROR(IF(INDEX(Rank_Changes!$P$2:$P$1090,MATCH($A17&amp;"|"&amp;"CAN",Rank_Changes!$U$2:$U$1090,0))="","–",INDEX(Rank_Changes!$P$2:$P$1090,MATCH($A17&amp;"|"&amp;"CAN",Rank_Changes!$U$2:$U$1090,0))),"–")</f>
        <v>-2</v>
      </c>
      <c r="M17" s="26" t="n">
        <f aca="false">IFERROR(IF(INDEX(Rank_Changes!$P$2:$P$1090,MATCH($A17&amp;"|"&amp;"JPN",Rank_Changes!$U$2:$U$1090,0))="","–",INDEX(Rank_Changes!$P$2:$P$1090,MATCH($A17&amp;"|"&amp;"JPN",Rank_Changes!$U$2:$U$1090,0))),"–")</f>
        <v>0</v>
      </c>
      <c r="N17" s="26" t="n">
        <f aca="false">IFERROR(IF(INDEX(Rank_Changes!$P$2:$P$1090,MATCH($A17&amp;"|"&amp;"AUS",Rank_Changes!$U$2:$U$1090,0))="","–",INDEX(Rank_Changes!$P$2:$P$1090,MATCH($A17&amp;"|"&amp;"AUS",Rank_Changes!$U$2:$U$1090,0))),"–")</f>
        <v>-3</v>
      </c>
    </row>
    <row r="18" customFormat="false" ht="15" hidden="false" customHeight="false" outlineLevel="0" collapsed="false">
      <c r="A18" s="12" t="s">
        <v>78</v>
      </c>
      <c r="B18" s="12" t="s">
        <v>42</v>
      </c>
      <c r="C18" s="12" t="s">
        <v>79</v>
      </c>
      <c r="D18" s="26" t="str">
        <f aca="false">IFERROR(IF(INDEX(Rank_Changes!$P$2:$P$1090,MATCH($A18&amp;"|"&amp;"USA",Rank_Changes!$U$2:$U$1090,0))="","–",INDEX(Rank_Changes!$P$2:$P$1090,MATCH($A18&amp;"|"&amp;"USA",Rank_Changes!$U$2:$U$1090,0))),"–")</f>
        <v>–</v>
      </c>
      <c r="E18" s="26" t="n">
        <f aca="false">IFERROR(IF(INDEX(Rank_Changes!$P$2:$P$1090,MATCH($A18&amp;"|"&amp;"GBR",Rank_Changes!$U$2:$U$1090,0))="","–",INDEX(Rank_Changes!$P$2:$P$1090,MATCH($A18&amp;"|"&amp;"GBR",Rank_Changes!$U$2:$U$1090,0))),"–")</f>
        <v>0</v>
      </c>
      <c r="F18" s="26" t="n">
        <f aca="false">IFERROR(IF(INDEX(Rank_Changes!$P$2:$P$1090,MATCH($A18&amp;"|"&amp;"DEU",Rank_Changes!$U$2:$U$1090,0))="","–",INDEX(Rank_Changes!$P$2:$P$1090,MATCH($A18&amp;"|"&amp;"DEU",Rank_Changes!$U$2:$U$1090,0))),"–")</f>
        <v>-1</v>
      </c>
      <c r="G18" s="26" t="n">
        <f aca="false">IFERROR(IF(INDEX(Rank_Changes!$P$2:$P$1090,MATCH($A18&amp;"|"&amp;"SWE",Rank_Changes!$U$2:$U$1090,0))="","–",INDEX(Rank_Changes!$P$2:$P$1090,MATCH($A18&amp;"|"&amp;"SWE",Rank_Changes!$U$2:$U$1090,0))),"–")</f>
        <v>1</v>
      </c>
      <c r="H18" s="26" t="n">
        <f aca="false">IFERROR(IF(INDEX(Rank_Changes!$P$2:$P$1090,MATCH($A18&amp;"|"&amp;"FRA",Rank_Changes!$U$2:$U$1090,0))="","–",INDEX(Rank_Changes!$P$2:$P$1090,MATCH($A18&amp;"|"&amp;"FRA",Rank_Changes!$U$2:$U$1090,0))),"–")</f>
        <v>0</v>
      </c>
      <c r="I18" s="26" t="str">
        <f aca="false">IFERROR(IF(INDEX(Rank_Changes!$P$2:$P$1090,MATCH($A18&amp;"|"&amp;"NLD",Rank_Changes!$U$2:$U$1090,0))="","–",INDEX(Rank_Changes!$P$2:$P$1090,MATCH($A18&amp;"|"&amp;"NLD",Rank_Changes!$U$2:$U$1090,0))),"–")</f>
        <v>–</v>
      </c>
      <c r="J18" s="26" t="str">
        <f aca="false">IFERROR(IF(INDEX(Rank_Changes!$P$2:$P$1090,MATCH($A18&amp;"|"&amp;"CHE",Rank_Changes!$U$2:$U$1090,0))="","–",INDEX(Rank_Changes!$P$2:$P$1090,MATCH($A18&amp;"|"&amp;"CHE",Rank_Changes!$U$2:$U$1090,0))),"–")</f>
        <v>–</v>
      </c>
      <c r="K18" s="26" t="str">
        <f aca="false">IFERROR(IF(INDEX(Rank_Changes!$P$2:$P$1090,MATCH($A18&amp;"|"&amp;"DNK",Rank_Changes!$U$2:$U$1090,0))="","–",INDEX(Rank_Changes!$P$2:$P$1090,MATCH($A18&amp;"|"&amp;"DNK",Rank_Changes!$U$2:$U$1090,0))),"–")</f>
        <v>–</v>
      </c>
      <c r="L18" s="26" t="n">
        <f aca="false">IFERROR(IF(INDEX(Rank_Changes!$P$2:$P$1090,MATCH($A18&amp;"|"&amp;"CAN",Rank_Changes!$U$2:$U$1090,0))="","–",INDEX(Rank_Changes!$P$2:$P$1090,MATCH($A18&amp;"|"&amp;"CAN",Rank_Changes!$U$2:$U$1090,0))),"–")</f>
        <v>-1</v>
      </c>
      <c r="M18" s="26" t="n">
        <f aca="false">IFERROR(IF(INDEX(Rank_Changes!$P$2:$P$1090,MATCH($A18&amp;"|"&amp;"JPN",Rank_Changes!$U$2:$U$1090,0))="","–",INDEX(Rank_Changes!$P$2:$P$1090,MATCH($A18&amp;"|"&amp;"JPN",Rank_Changes!$U$2:$U$1090,0))),"–")</f>
        <v>-1</v>
      </c>
      <c r="N18" s="26" t="n">
        <f aca="false">IFERROR(IF(INDEX(Rank_Changes!$P$2:$P$1090,MATCH($A18&amp;"|"&amp;"AUS",Rank_Changes!$U$2:$U$1090,0))="","–",INDEX(Rank_Changes!$P$2:$P$1090,MATCH($A18&amp;"|"&amp;"AUS",Rank_Changes!$U$2:$U$1090,0))),"–")</f>
        <v>-2</v>
      </c>
    </row>
    <row r="19" customFormat="false" ht="15" hidden="false" customHeight="false" outlineLevel="0" collapsed="false">
      <c r="A19" s="12" t="s">
        <v>80</v>
      </c>
      <c r="B19" s="12" t="s">
        <v>42</v>
      </c>
      <c r="C19" s="12" t="s">
        <v>81</v>
      </c>
      <c r="D19" s="26" t="n">
        <f aca="false">IFERROR(IF(INDEX(Rank_Changes!$P$2:$P$1090,MATCH($A19&amp;"|"&amp;"USA",Rank_Changes!$U$2:$U$1090,0))="","–",INDEX(Rank_Changes!$P$2:$P$1090,MATCH($A19&amp;"|"&amp;"USA",Rank_Changes!$U$2:$U$1090,0))),"–")</f>
        <v>-2</v>
      </c>
      <c r="E19" s="26" t="n">
        <f aca="false">IFERROR(IF(INDEX(Rank_Changes!$P$2:$P$1090,MATCH($A19&amp;"|"&amp;"GBR",Rank_Changes!$U$2:$U$1090,0))="","–",INDEX(Rank_Changes!$P$2:$P$1090,MATCH($A19&amp;"|"&amp;"GBR",Rank_Changes!$U$2:$U$1090,0))),"–")</f>
        <v>0</v>
      </c>
      <c r="F19" s="26" t="n">
        <f aca="false">IFERROR(IF(INDEX(Rank_Changes!$P$2:$P$1090,MATCH($A19&amp;"|"&amp;"DEU",Rank_Changes!$U$2:$U$1090,0))="","–",INDEX(Rank_Changes!$P$2:$P$1090,MATCH($A19&amp;"|"&amp;"DEU",Rank_Changes!$U$2:$U$1090,0))),"–")</f>
        <v>-1</v>
      </c>
      <c r="G19" s="26" t="n">
        <f aca="false">IFERROR(IF(INDEX(Rank_Changes!$P$2:$P$1090,MATCH($A19&amp;"|"&amp;"SWE",Rank_Changes!$U$2:$U$1090,0))="","–",INDEX(Rank_Changes!$P$2:$P$1090,MATCH($A19&amp;"|"&amp;"SWE",Rank_Changes!$U$2:$U$1090,0))),"–")</f>
        <v>-3</v>
      </c>
      <c r="H19" s="26" t="n">
        <f aca="false">IFERROR(IF(INDEX(Rank_Changes!$P$2:$P$1090,MATCH($A19&amp;"|"&amp;"FRA",Rank_Changes!$U$2:$U$1090,0))="","–",INDEX(Rank_Changes!$P$2:$P$1090,MATCH($A19&amp;"|"&amp;"FRA",Rank_Changes!$U$2:$U$1090,0))),"–")</f>
        <v>1</v>
      </c>
      <c r="I19" s="26" t="str">
        <f aca="false">IFERROR(IF(INDEX(Rank_Changes!$P$2:$P$1090,MATCH($A19&amp;"|"&amp;"NLD",Rank_Changes!$U$2:$U$1090,0))="","–",INDEX(Rank_Changes!$P$2:$P$1090,MATCH($A19&amp;"|"&amp;"NLD",Rank_Changes!$U$2:$U$1090,0))),"–")</f>
        <v>–</v>
      </c>
      <c r="J19" s="26" t="n">
        <f aca="false">IFERROR(IF(INDEX(Rank_Changes!$P$2:$P$1090,MATCH($A19&amp;"|"&amp;"CHE",Rank_Changes!$U$2:$U$1090,0))="","–",INDEX(Rank_Changes!$P$2:$P$1090,MATCH($A19&amp;"|"&amp;"CHE",Rank_Changes!$U$2:$U$1090,0))),"–")</f>
        <v>-2</v>
      </c>
      <c r="K19" s="26" t="n">
        <f aca="false">IFERROR(IF(INDEX(Rank_Changes!$P$2:$P$1090,MATCH($A19&amp;"|"&amp;"DNK",Rank_Changes!$U$2:$U$1090,0))="","–",INDEX(Rank_Changes!$P$2:$P$1090,MATCH($A19&amp;"|"&amp;"DNK",Rank_Changes!$U$2:$U$1090,0))),"–")</f>
        <v>-5</v>
      </c>
      <c r="L19" s="26" t="n">
        <f aca="false">IFERROR(IF(INDEX(Rank_Changes!$P$2:$P$1090,MATCH($A19&amp;"|"&amp;"CAN",Rank_Changes!$U$2:$U$1090,0))="","–",INDEX(Rank_Changes!$P$2:$P$1090,MATCH($A19&amp;"|"&amp;"CAN",Rank_Changes!$U$2:$U$1090,0))),"–")</f>
        <v>0</v>
      </c>
      <c r="M19" s="26" t="n">
        <f aca="false">IFERROR(IF(INDEX(Rank_Changes!$P$2:$P$1090,MATCH($A19&amp;"|"&amp;"JPN",Rank_Changes!$U$2:$U$1090,0))="","–",INDEX(Rank_Changes!$P$2:$P$1090,MATCH($A19&amp;"|"&amp;"JPN",Rank_Changes!$U$2:$U$1090,0))),"–")</f>
        <v>0</v>
      </c>
      <c r="N19" s="26" t="n">
        <f aca="false">IFERROR(IF(INDEX(Rank_Changes!$P$2:$P$1090,MATCH($A19&amp;"|"&amp;"AUS",Rank_Changes!$U$2:$U$1090,0))="","–",INDEX(Rank_Changes!$P$2:$P$1090,MATCH($A19&amp;"|"&amp;"AUS",Rank_Changes!$U$2:$U$1090,0))),"–")</f>
        <v>-1</v>
      </c>
    </row>
    <row r="20" customFormat="false" ht="15" hidden="false" customHeight="false" outlineLevel="0" collapsed="false">
      <c r="A20" s="12" t="s">
        <v>82</v>
      </c>
      <c r="B20" s="12" t="s">
        <v>42</v>
      </c>
      <c r="C20" s="12" t="s">
        <v>83</v>
      </c>
      <c r="D20" s="26" t="n">
        <f aca="false">IFERROR(IF(INDEX(Rank_Changes!$P$2:$P$1090,MATCH($A20&amp;"|"&amp;"USA",Rank_Changes!$U$2:$U$1090,0))="","–",INDEX(Rank_Changes!$P$2:$P$1090,MATCH($A20&amp;"|"&amp;"USA",Rank_Changes!$U$2:$U$1090,0))),"–")</f>
        <v>0</v>
      </c>
      <c r="E20" s="26" t="n">
        <f aca="false">IFERROR(IF(INDEX(Rank_Changes!$P$2:$P$1090,MATCH($A20&amp;"|"&amp;"GBR",Rank_Changes!$U$2:$U$1090,0))="","–",INDEX(Rank_Changes!$P$2:$P$1090,MATCH($A20&amp;"|"&amp;"GBR",Rank_Changes!$U$2:$U$1090,0))),"–")</f>
        <v>-1</v>
      </c>
      <c r="F20" s="26" t="n">
        <f aca="false">IFERROR(IF(INDEX(Rank_Changes!$P$2:$P$1090,MATCH($A20&amp;"|"&amp;"DEU",Rank_Changes!$U$2:$U$1090,0))="","–",INDEX(Rank_Changes!$P$2:$P$1090,MATCH($A20&amp;"|"&amp;"DEU",Rank_Changes!$U$2:$U$1090,0))),"–")</f>
        <v>-2</v>
      </c>
      <c r="G20" s="26" t="n">
        <f aca="false">IFERROR(IF(INDEX(Rank_Changes!$P$2:$P$1090,MATCH($A20&amp;"|"&amp;"SWE",Rank_Changes!$U$2:$U$1090,0))="","–",INDEX(Rank_Changes!$P$2:$P$1090,MATCH($A20&amp;"|"&amp;"SWE",Rank_Changes!$U$2:$U$1090,0))),"–")</f>
        <v>-1</v>
      </c>
      <c r="H20" s="26" t="n">
        <f aca="false">IFERROR(IF(INDEX(Rank_Changes!$P$2:$P$1090,MATCH($A20&amp;"|"&amp;"FRA",Rank_Changes!$U$2:$U$1090,0))="","–",INDEX(Rank_Changes!$P$2:$P$1090,MATCH($A20&amp;"|"&amp;"FRA",Rank_Changes!$U$2:$U$1090,0))),"–")</f>
        <v>-2</v>
      </c>
      <c r="I20" s="26" t="str">
        <f aca="false">IFERROR(IF(INDEX(Rank_Changes!$P$2:$P$1090,MATCH($A20&amp;"|"&amp;"NLD",Rank_Changes!$U$2:$U$1090,0))="","–",INDEX(Rank_Changes!$P$2:$P$1090,MATCH($A20&amp;"|"&amp;"NLD",Rank_Changes!$U$2:$U$1090,0))),"–")</f>
        <v>–</v>
      </c>
      <c r="J20" s="26" t="n">
        <f aca="false">IFERROR(IF(INDEX(Rank_Changes!$P$2:$P$1090,MATCH($A20&amp;"|"&amp;"CHE",Rank_Changes!$U$2:$U$1090,0))="","–",INDEX(Rank_Changes!$P$2:$P$1090,MATCH($A20&amp;"|"&amp;"CHE",Rank_Changes!$U$2:$U$1090,0))),"–")</f>
        <v>7</v>
      </c>
      <c r="K20" s="26" t="n">
        <f aca="false">IFERROR(IF(INDEX(Rank_Changes!$P$2:$P$1090,MATCH($A20&amp;"|"&amp;"DNK",Rank_Changes!$U$2:$U$1090,0))="","–",INDEX(Rank_Changes!$P$2:$P$1090,MATCH($A20&amp;"|"&amp;"DNK",Rank_Changes!$U$2:$U$1090,0))),"–")</f>
        <v>0</v>
      </c>
      <c r="L20" s="26" t="n">
        <f aca="false">IFERROR(IF(INDEX(Rank_Changes!$P$2:$P$1090,MATCH($A20&amp;"|"&amp;"CAN",Rank_Changes!$U$2:$U$1090,0))="","–",INDEX(Rank_Changes!$P$2:$P$1090,MATCH($A20&amp;"|"&amp;"CAN",Rank_Changes!$U$2:$U$1090,0))),"–")</f>
        <v>-1</v>
      </c>
      <c r="M20" s="26" t="n">
        <f aca="false">IFERROR(IF(INDEX(Rank_Changes!$P$2:$P$1090,MATCH($A20&amp;"|"&amp;"JPN",Rank_Changes!$U$2:$U$1090,0))="","–",INDEX(Rank_Changes!$P$2:$P$1090,MATCH($A20&amp;"|"&amp;"JPN",Rank_Changes!$U$2:$U$1090,0))),"–")</f>
        <v>-1</v>
      </c>
      <c r="N20" s="26" t="n">
        <f aca="false">IFERROR(IF(INDEX(Rank_Changes!$P$2:$P$1090,MATCH($A20&amp;"|"&amp;"AUS",Rank_Changes!$U$2:$U$1090,0))="","–",INDEX(Rank_Changes!$P$2:$P$1090,MATCH($A20&amp;"|"&amp;"AUS",Rank_Changes!$U$2:$U$1090,0))),"–")</f>
        <v>-1</v>
      </c>
    </row>
    <row r="21" customFormat="false" ht="15" hidden="false" customHeight="false" outlineLevel="0" collapsed="false">
      <c r="A21" s="12" t="s">
        <v>84</v>
      </c>
      <c r="B21" s="12" t="s">
        <v>42</v>
      </c>
      <c r="C21" s="12" t="s">
        <v>85</v>
      </c>
      <c r="D21" s="26" t="n">
        <f aca="false">IFERROR(IF(INDEX(Rank_Changes!$P$2:$P$1090,MATCH($A21&amp;"|"&amp;"USA",Rank_Changes!$U$2:$U$1090,0))="","–",INDEX(Rank_Changes!$P$2:$P$1090,MATCH($A21&amp;"|"&amp;"USA",Rank_Changes!$U$2:$U$1090,0))),"–")</f>
        <v>0</v>
      </c>
      <c r="E21" s="26" t="n">
        <f aca="false">IFERROR(IF(INDEX(Rank_Changes!$P$2:$P$1090,MATCH($A21&amp;"|"&amp;"GBR",Rank_Changes!$U$2:$U$1090,0))="","–",INDEX(Rank_Changes!$P$2:$P$1090,MATCH($A21&amp;"|"&amp;"GBR",Rank_Changes!$U$2:$U$1090,0))),"–")</f>
        <v>0</v>
      </c>
      <c r="F21" s="26" t="n">
        <f aca="false">IFERROR(IF(INDEX(Rank_Changes!$P$2:$P$1090,MATCH($A21&amp;"|"&amp;"DEU",Rank_Changes!$U$2:$U$1090,0))="","–",INDEX(Rank_Changes!$P$2:$P$1090,MATCH($A21&amp;"|"&amp;"DEU",Rank_Changes!$U$2:$U$1090,0))),"–")</f>
        <v>2</v>
      </c>
      <c r="G21" s="26" t="n">
        <f aca="false">IFERROR(IF(INDEX(Rank_Changes!$P$2:$P$1090,MATCH($A21&amp;"|"&amp;"SWE",Rank_Changes!$U$2:$U$1090,0))="","–",INDEX(Rank_Changes!$P$2:$P$1090,MATCH($A21&amp;"|"&amp;"SWE",Rank_Changes!$U$2:$U$1090,0))),"–")</f>
        <v>0</v>
      </c>
      <c r="H21" s="26" t="n">
        <f aca="false">IFERROR(IF(INDEX(Rank_Changes!$P$2:$P$1090,MATCH($A21&amp;"|"&amp;"FRA",Rank_Changes!$U$2:$U$1090,0))="","–",INDEX(Rank_Changes!$P$2:$P$1090,MATCH($A21&amp;"|"&amp;"FRA",Rank_Changes!$U$2:$U$1090,0))),"–")</f>
        <v>0</v>
      </c>
      <c r="I21" s="26" t="n">
        <f aca="false">IFERROR(IF(INDEX(Rank_Changes!$P$2:$P$1090,MATCH($A21&amp;"|"&amp;"NLD",Rank_Changes!$U$2:$U$1090,0))="","–",INDEX(Rank_Changes!$P$2:$P$1090,MATCH($A21&amp;"|"&amp;"NLD",Rank_Changes!$U$2:$U$1090,0))),"–")</f>
        <v>-2</v>
      </c>
      <c r="J21" s="26" t="n">
        <f aca="false">IFERROR(IF(INDEX(Rank_Changes!$P$2:$P$1090,MATCH($A21&amp;"|"&amp;"CHE",Rank_Changes!$U$2:$U$1090,0))="","–",INDEX(Rank_Changes!$P$2:$P$1090,MATCH($A21&amp;"|"&amp;"CHE",Rank_Changes!$U$2:$U$1090,0))),"–")</f>
        <v>0</v>
      </c>
      <c r="K21" s="26" t="n">
        <f aca="false">IFERROR(IF(INDEX(Rank_Changes!$P$2:$P$1090,MATCH($A21&amp;"|"&amp;"DNK",Rank_Changes!$U$2:$U$1090,0))="","–",INDEX(Rank_Changes!$P$2:$P$1090,MATCH($A21&amp;"|"&amp;"DNK",Rank_Changes!$U$2:$U$1090,0))),"–")</f>
        <v>0</v>
      </c>
      <c r="L21" s="26" t="n">
        <f aca="false">IFERROR(IF(INDEX(Rank_Changes!$P$2:$P$1090,MATCH($A21&amp;"|"&amp;"CAN",Rank_Changes!$U$2:$U$1090,0))="","–",INDEX(Rank_Changes!$P$2:$P$1090,MATCH($A21&amp;"|"&amp;"CAN",Rank_Changes!$U$2:$U$1090,0))),"–")</f>
        <v>0</v>
      </c>
      <c r="M21" s="26" t="n">
        <f aca="false">IFERROR(IF(INDEX(Rank_Changes!$P$2:$P$1090,MATCH($A21&amp;"|"&amp;"JPN",Rank_Changes!$U$2:$U$1090,0))="","–",INDEX(Rank_Changes!$P$2:$P$1090,MATCH($A21&amp;"|"&amp;"JPN",Rank_Changes!$U$2:$U$1090,0))),"–")</f>
        <v>0</v>
      </c>
      <c r="N21" s="26" t="n">
        <f aca="false">IFERROR(IF(INDEX(Rank_Changes!$P$2:$P$1090,MATCH($A21&amp;"|"&amp;"AUS",Rank_Changes!$U$2:$U$1090,0))="","–",INDEX(Rank_Changes!$P$2:$P$1090,MATCH($A21&amp;"|"&amp;"AUS",Rank_Changes!$U$2:$U$1090,0))),"–")</f>
        <v>0</v>
      </c>
    </row>
    <row r="22" customFormat="false" ht="15" hidden="false" customHeight="false" outlineLevel="0" collapsed="false">
      <c r="A22" s="12" t="s">
        <v>87</v>
      </c>
      <c r="B22" s="12" t="s">
        <v>39</v>
      </c>
      <c r="C22" s="12" t="s">
        <v>88</v>
      </c>
      <c r="D22" s="26" t="n">
        <f aca="false">IFERROR(IF(INDEX(Rank_Changes!$P$2:$P$1090,MATCH($A22&amp;"|"&amp;"USA",Rank_Changes!$U$2:$U$1090,0))="","–",INDEX(Rank_Changes!$P$2:$P$1090,MATCH($A22&amp;"|"&amp;"USA",Rank_Changes!$U$2:$U$1090,0))),"–")</f>
        <v>-1</v>
      </c>
      <c r="E22" s="26" t="n">
        <f aca="false">IFERROR(IF(INDEX(Rank_Changes!$P$2:$P$1090,MATCH($A22&amp;"|"&amp;"GBR",Rank_Changes!$U$2:$U$1090,0))="","–",INDEX(Rank_Changes!$P$2:$P$1090,MATCH($A22&amp;"|"&amp;"GBR",Rank_Changes!$U$2:$U$1090,0))),"–")</f>
        <v>0</v>
      </c>
      <c r="F22" s="26" t="n">
        <f aca="false">IFERROR(IF(INDEX(Rank_Changes!$P$2:$P$1090,MATCH($A22&amp;"|"&amp;"DEU",Rank_Changes!$U$2:$U$1090,0))="","–",INDEX(Rank_Changes!$P$2:$P$1090,MATCH($A22&amp;"|"&amp;"DEU",Rank_Changes!$U$2:$U$1090,0))),"–")</f>
        <v>-2</v>
      </c>
      <c r="G22" s="26" t="n">
        <f aca="false">IFERROR(IF(INDEX(Rank_Changes!$P$2:$P$1090,MATCH($A22&amp;"|"&amp;"SWE",Rank_Changes!$U$2:$U$1090,0))="","–",INDEX(Rank_Changes!$P$2:$P$1090,MATCH($A22&amp;"|"&amp;"SWE",Rank_Changes!$U$2:$U$1090,0))),"–")</f>
        <v>2</v>
      </c>
      <c r="H22" s="26" t="n">
        <f aca="false">IFERROR(IF(INDEX(Rank_Changes!$P$2:$P$1090,MATCH($A22&amp;"|"&amp;"FRA",Rank_Changes!$U$2:$U$1090,0))="","–",INDEX(Rank_Changes!$P$2:$P$1090,MATCH($A22&amp;"|"&amp;"FRA",Rank_Changes!$U$2:$U$1090,0))),"–")</f>
        <v>0</v>
      </c>
      <c r="I22" s="26" t="n">
        <f aca="false">IFERROR(IF(INDEX(Rank_Changes!$P$2:$P$1090,MATCH($A22&amp;"|"&amp;"NLD",Rank_Changes!$U$2:$U$1090,0))="","–",INDEX(Rank_Changes!$P$2:$P$1090,MATCH($A22&amp;"|"&amp;"NLD",Rank_Changes!$U$2:$U$1090,0))),"–")</f>
        <v>-1</v>
      </c>
      <c r="J22" s="26" t="n">
        <f aca="false">IFERROR(IF(INDEX(Rank_Changes!$P$2:$P$1090,MATCH($A22&amp;"|"&amp;"CHE",Rank_Changes!$U$2:$U$1090,0))="","–",INDEX(Rank_Changes!$P$2:$P$1090,MATCH($A22&amp;"|"&amp;"CHE",Rank_Changes!$U$2:$U$1090,0))),"–")</f>
        <v>1</v>
      </c>
      <c r="K22" s="26" t="n">
        <f aca="false">IFERROR(IF(INDEX(Rank_Changes!$P$2:$P$1090,MATCH($A22&amp;"|"&amp;"DNK",Rank_Changes!$U$2:$U$1090,0))="","–",INDEX(Rank_Changes!$P$2:$P$1090,MATCH($A22&amp;"|"&amp;"DNK",Rank_Changes!$U$2:$U$1090,0))),"–")</f>
        <v>0</v>
      </c>
      <c r="L22" s="26" t="n">
        <f aca="false">IFERROR(IF(INDEX(Rank_Changes!$P$2:$P$1090,MATCH($A22&amp;"|"&amp;"CAN",Rank_Changes!$U$2:$U$1090,0))="","–",INDEX(Rank_Changes!$P$2:$P$1090,MATCH($A22&amp;"|"&amp;"CAN",Rank_Changes!$U$2:$U$1090,0))),"–")</f>
        <v>-2</v>
      </c>
      <c r="M22" s="26" t="n">
        <f aca="false">IFERROR(IF(INDEX(Rank_Changes!$P$2:$P$1090,MATCH($A22&amp;"|"&amp;"JPN",Rank_Changes!$U$2:$U$1090,0))="","–",INDEX(Rank_Changes!$P$2:$P$1090,MATCH($A22&amp;"|"&amp;"JPN",Rank_Changes!$U$2:$U$1090,0))),"–")</f>
        <v>2</v>
      </c>
      <c r="N22" s="26" t="n">
        <f aca="false">IFERROR(IF(INDEX(Rank_Changes!$P$2:$P$1090,MATCH($A22&amp;"|"&amp;"AUS",Rank_Changes!$U$2:$U$1090,0))="","–",INDEX(Rank_Changes!$P$2:$P$1090,MATCH($A22&amp;"|"&amp;"AUS",Rank_Changes!$U$2:$U$1090,0))),"–")</f>
        <v>1</v>
      </c>
    </row>
    <row r="23" customFormat="false" ht="15" hidden="false" customHeight="false" outlineLevel="0" collapsed="false">
      <c r="A23" s="12" t="s">
        <v>90</v>
      </c>
      <c r="B23" s="12" t="s">
        <v>39</v>
      </c>
      <c r="C23" s="12" t="s">
        <v>91</v>
      </c>
      <c r="D23" s="26" t="n">
        <f aca="false">IFERROR(IF(INDEX(Rank_Changes!$P$2:$P$1090,MATCH($A23&amp;"|"&amp;"USA",Rank_Changes!$U$2:$U$1090,0))="","–",INDEX(Rank_Changes!$P$2:$P$1090,MATCH($A23&amp;"|"&amp;"USA",Rank_Changes!$U$2:$U$1090,0))),"–")</f>
        <v>3</v>
      </c>
      <c r="E23" s="26" t="n">
        <f aca="false">IFERROR(IF(INDEX(Rank_Changes!$P$2:$P$1090,MATCH($A23&amp;"|"&amp;"GBR",Rank_Changes!$U$2:$U$1090,0))="","–",INDEX(Rank_Changes!$P$2:$P$1090,MATCH($A23&amp;"|"&amp;"GBR",Rank_Changes!$U$2:$U$1090,0))),"–")</f>
        <v>-2</v>
      </c>
      <c r="F23" s="26" t="n">
        <f aca="false">IFERROR(IF(INDEX(Rank_Changes!$P$2:$P$1090,MATCH($A23&amp;"|"&amp;"DEU",Rank_Changes!$U$2:$U$1090,0))="","–",INDEX(Rank_Changes!$P$2:$P$1090,MATCH($A23&amp;"|"&amp;"DEU",Rank_Changes!$U$2:$U$1090,0))),"–")</f>
        <v>1</v>
      </c>
      <c r="G23" s="26" t="n">
        <f aca="false">IFERROR(IF(INDEX(Rank_Changes!$P$2:$P$1090,MATCH($A23&amp;"|"&amp;"SWE",Rank_Changes!$U$2:$U$1090,0))="","–",INDEX(Rank_Changes!$P$2:$P$1090,MATCH($A23&amp;"|"&amp;"SWE",Rank_Changes!$U$2:$U$1090,0))),"–")</f>
        <v>1</v>
      </c>
      <c r="H23" s="26" t="n">
        <f aca="false">IFERROR(IF(INDEX(Rank_Changes!$P$2:$P$1090,MATCH($A23&amp;"|"&amp;"FRA",Rank_Changes!$U$2:$U$1090,0))="","–",INDEX(Rank_Changes!$P$2:$P$1090,MATCH($A23&amp;"|"&amp;"FRA",Rank_Changes!$U$2:$U$1090,0))),"–")</f>
        <v>-1</v>
      </c>
      <c r="I23" s="26" t="n">
        <f aca="false">IFERROR(IF(INDEX(Rank_Changes!$P$2:$P$1090,MATCH($A23&amp;"|"&amp;"NLD",Rank_Changes!$U$2:$U$1090,0))="","–",INDEX(Rank_Changes!$P$2:$P$1090,MATCH($A23&amp;"|"&amp;"NLD",Rank_Changes!$U$2:$U$1090,0))),"–")</f>
        <v>0</v>
      </c>
      <c r="J23" s="26" t="n">
        <f aca="false">IFERROR(IF(INDEX(Rank_Changes!$P$2:$P$1090,MATCH($A23&amp;"|"&amp;"CHE",Rank_Changes!$U$2:$U$1090,0))="","–",INDEX(Rank_Changes!$P$2:$P$1090,MATCH($A23&amp;"|"&amp;"CHE",Rank_Changes!$U$2:$U$1090,0))),"–")</f>
        <v>-4</v>
      </c>
      <c r="K23" s="26" t="n">
        <f aca="false">IFERROR(IF(INDEX(Rank_Changes!$P$2:$P$1090,MATCH($A23&amp;"|"&amp;"DNK",Rank_Changes!$U$2:$U$1090,0))="","–",INDEX(Rank_Changes!$P$2:$P$1090,MATCH($A23&amp;"|"&amp;"DNK",Rank_Changes!$U$2:$U$1090,0))),"–")</f>
        <v>1</v>
      </c>
      <c r="L23" s="26" t="n">
        <f aca="false">IFERROR(IF(INDEX(Rank_Changes!$P$2:$P$1090,MATCH($A23&amp;"|"&amp;"CAN",Rank_Changes!$U$2:$U$1090,0))="","–",INDEX(Rank_Changes!$P$2:$P$1090,MATCH($A23&amp;"|"&amp;"CAN",Rank_Changes!$U$2:$U$1090,0))),"–")</f>
        <v>1</v>
      </c>
      <c r="M23" s="26" t="n">
        <f aca="false">IFERROR(IF(INDEX(Rank_Changes!$P$2:$P$1090,MATCH($A23&amp;"|"&amp;"JPN",Rank_Changes!$U$2:$U$1090,0))="","–",INDEX(Rank_Changes!$P$2:$P$1090,MATCH($A23&amp;"|"&amp;"JPN",Rank_Changes!$U$2:$U$1090,0))),"–")</f>
        <v>-1</v>
      </c>
      <c r="N23" s="26" t="n">
        <f aca="false">IFERROR(IF(INDEX(Rank_Changes!$P$2:$P$1090,MATCH($A23&amp;"|"&amp;"AUS",Rank_Changes!$U$2:$U$1090,0))="","–",INDEX(Rank_Changes!$P$2:$P$1090,MATCH($A23&amp;"|"&amp;"AUS",Rank_Changes!$U$2:$U$1090,0))),"–")</f>
        <v>1</v>
      </c>
    </row>
    <row r="24" customFormat="false" ht="15" hidden="false" customHeight="false" outlineLevel="0" collapsed="false">
      <c r="A24" s="12" t="s">
        <v>92</v>
      </c>
      <c r="B24" s="12" t="s">
        <v>39</v>
      </c>
      <c r="C24" s="12" t="s">
        <v>93</v>
      </c>
      <c r="D24" s="26" t="n">
        <f aca="false">IFERROR(IF(INDEX(Rank_Changes!$P$2:$P$1090,MATCH($A24&amp;"|"&amp;"USA",Rank_Changes!$U$2:$U$1090,0))="","–",INDEX(Rank_Changes!$P$2:$P$1090,MATCH($A24&amp;"|"&amp;"USA",Rank_Changes!$U$2:$U$1090,0))),"–")</f>
        <v>0</v>
      </c>
      <c r="E24" s="26" t="n">
        <f aca="false">IFERROR(IF(INDEX(Rank_Changes!$P$2:$P$1090,MATCH($A24&amp;"|"&amp;"GBR",Rank_Changes!$U$2:$U$1090,0))="","–",INDEX(Rank_Changes!$P$2:$P$1090,MATCH($A24&amp;"|"&amp;"GBR",Rank_Changes!$U$2:$U$1090,0))),"–")</f>
        <v>1</v>
      </c>
      <c r="F24" s="26" t="str">
        <f aca="false">IFERROR(IF(INDEX(Rank_Changes!$P$2:$P$1090,MATCH($A24&amp;"|"&amp;"DEU",Rank_Changes!$U$2:$U$1090,0))="","–",INDEX(Rank_Changes!$P$2:$P$1090,MATCH($A24&amp;"|"&amp;"DEU",Rank_Changes!$U$2:$U$1090,0))),"–")</f>
        <v>–</v>
      </c>
      <c r="G24" s="26" t="n">
        <f aca="false">IFERROR(IF(INDEX(Rank_Changes!$P$2:$P$1090,MATCH($A24&amp;"|"&amp;"SWE",Rank_Changes!$U$2:$U$1090,0))="","–",INDEX(Rank_Changes!$P$2:$P$1090,MATCH($A24&amp;"|"&amp;"SWE",Rank_Changes!$U$2:$U$1090,0))),"–")</f>
        <v>1</v>
      </c>
      <c r="H24" s="26" t="n">
        <f aca="false">IFERROR(IF(INDEX(Rank_Changes!$P$2:$P$1090,MATCH($A24&amp;"|"&amp;"FRA",Rank_Changes!$U$2:$U$1090,0))="","–",INDEX(Rank_Changes!$P$2:$P$1090,MATCH($A24&amp;"|"&amp;"FRA",Rank_Changes!$U$2:$U$1090,0))),"–")</f>
        <v>-3</v>
      </c>
      <c r="I24" s="26" t="n">
        <f aca="false">IFERROR(IF(INDEX(Rank_Changes!$P$2:$P$1090,MATCH($A24&amp;"|"&amp;"NLD",Rank_Changes!$U$2:$U$1090,0))="","–",INDEX(Rank_Changes!$P$2:$P$1090,MATCH($A24&amp;"|"&amp;"NLD",Rank_Changes!$U$2:$U$1090,0))),"–")</f>
        <v>0</v>
      </c>
      <c r="J24" s="26" t="n">
        <f aca="false">IFERROR(IF(INDEX(Rank_Changes!$P$2:$P$1090,MATCH($A24&amp;"|"&amp;"CHE",Rank_Changes!$U$2:$U$1090,0))="","–",INDEX(Rank_Changes!$P$2:$P$1090,MATCH($A24&amp;"|"&amp;"CHE",Rank_Changes!$U$2:$U$1090,0))),"–")</f>
        <v>0</v>
      </c>
      <c r="K24" s="26" t="n">
        <f aca="false">IFERROR(IF(INDEX(Rank_Changes!$P$2:$P$1090,MATCH($A24&amp;"|"&amp;"DNK",Rank_Changes!$U$2:$U$1090,0))="","–",INDEX(Rank_Changes!$P$2:$P$1090,MATCH($A24&amp;"|"&amp;"DNK",Rank_Changes!$U$2:$U$1090,0))),"–")</f>
        <v>1</v>
      </c>
      <c r="L24" s="26" t="n">
        <f aca="false">IFERROR(IF(INDEX(Rank_Changes!$P$2:$P$1090,MATCH($A24&amp;"|"&amp;"CAN",Rank_Changes!$U$2:$U$1090,0))="","–",INDEX(Rank_Changes!$P$2:$P$1090,MATCH($A24&amp;"|"&amp;"CAN",Rank_Changes!$U$2:$U$1090,0))),"–")</f>
        <v>0</v>
      </c>
      <c r="M24" s="26" t="n">
        <f aca="false">IFERROR(IF(INDEX(Rank_Changes!$P$2:$P$1090,MATCH($A24&amp;"|"&amp;"JPN",Rank_Changes!$U$2:$U$1090,0))="","–",INDEX(Rank_Changes!$P$2:$P$1090,MATCH($A24&amp;"|"&amp;"JPN",Rank_Changes!$U$2:$U$1090,0))),"–")</f>
        <v>0</v>
      </c>
      <c r="N24" s="26" t="n">
        <f aca="false">IFERROR(IF(INDEX(Rank_Changes!$P$2:$P$1090,MATCH($A24&amp;"|"&amp;"AUS",Rank_Changes!$U$2:$U$1090,0))="","–",INDEX(Rank_Changes!$P$2:$P$1090,MATCH($A24&amp;"|"&amp;"AUS",Rank_Changes!$U$2:$U$1090,0))),"–")</f>
        <v>-1</v>
      </c>
    </row>
    <row r="25" customFormat="false" ht="15" hidden="false" customHeight="false" outlineLevel="0" collapsed="false">
      <c r="A25" s="12" t="s">
        <v>94</v>
      </c>
      <c r="B25" s="12" t="s">
        <v>39</v>
      </c>
      <c r="C25" s="12" t="s">
        <v>95</v>
      </c>
      <c r="D25" s="26" t="n">
        <f aca="false">IFERROR(IF(INDEX(Rank_Changes!$P$2:$P$1090,MATCH($A25&amp;"|"&amp;"USA",Rank_Changes!$U$2:$U$1090,0))="","–",INDEX(Rank_Changes!$P$2:$P$1090,MATCH($A25&amp;"|"&amp;"USA",Rank_Changes!$U$2:$U$1090,0))),"–")</f>
        <v>0</v>
      </c>
      <c r="E25" s="26" t="n">
        <f aca="false">IFERROR(IF(INDEX(Rank_Changes!$P$2:$P$1090,MATCH($A25&amp;"|"&amp;"GBR",Rank_Changes!$U$2:$U$1090,0))="","–",INDEX(Rank_Changes!$P$2:$P$1090,MATCH($A25&amp;"|"&amp;"GBR",Rank_Changes!$U$2:$U$1090,0))),"–")</f>
        <v>-1</v>
      </c>
      <c r="F25" s="26" t="n">
        <f aca="false">IFERROR(IF(INDEX(Rank_Changes!$P$2:$P$1090,MATCH($A25&amp;"|"&amp;"DEU",Rank_Changes!$U$2:$U$1090,0))="","–",INDEX(Rank_Changes!$P$2:$P$1090,MATCH($A25&amp;"|"&amp;"DEU",Rank_Changes!$U$2:$U$1090,0))),"–")</f>
        <v>0</v>
      </c>
      <c r="G25" s="26" t="n">
        <f aca="false">IFERROR(IF(INDEX(Rank_Changes!$P$2:$P$1090,MATCH($A25&amp;"|"&amp;"SWE",Rank_Changes!$U$2:$U$1090,0))="","–",INDEX(Rank_Changes!$P$2:$P$1090,MATCH($A25&amp;"|"&amp;"SWE",Rank_Changes!$U$2:$U$1090,0))),"–")</f>
        <v>2</v>
      </c>
      <c r="H25" s="26" t="n">
        <f aca="false">IFERROR(IF(INDEX(Rank_Changes!$P$2:$P$1090,MATCH($A25&amp;"|"&amp;"FRA",Rank_Changes!$U$2:$U$1090,0))="","–",INDEX(Rank_Changes!$P$2:$P$1090,MATCH($A25&amp;"|"&amp;"FRA",Rank_Changes!$U$2:$U$1090,0))),"–")</f>
        <v>0</v>
      </c>
      <c r="I25" s="26" t="n">
        <f aca="false">IFERROR(IF(INDEX(Rank_Changes!$P$2:$P$1090,MATCH($A25&amp;"|"&amp;"NLD",Rank_Changes!$U$2:$U$1090,0))="","–",INDEX(Rank_Changes!$P$2:$P$1090,MATCH($A25&amp;"|"&amp;"NLD",Rank_Changes!$U$2:$U$1090,0))),"–")</f>
        <v>-1</v>
      </c>
      <c r="J25" s="26" t="n">
        <f aca="false">IFERROR(IF(INDEX(Rank_Changes!$P$2:$P$1090,MATCH($A25&amp;"|"&amp;"CHE",Rank_Changes!$U$2:$U$1090,0))="","–",INDEX(Rank_Changes!$P$2:$P$1090,MATCH($A25&amp;"|"&amp;"CHE",Rank_Changes!$U$2:$U$1090,0))),"–")</f>
        <v>1</v>
      </c>
      <c r="K25" s="26" t="n">
        <f aca="false">IFERROR(IF(INDEX(Rank_Changes!$P$2:$P$1090,MATCH($A25&amp;"|"&amp;"DNK",Rank_Changes!$U$2:$U$1090,0))="","–",INDEX(Rank_Changes!$P$2:$P$1090,MATCH($A25&amp;"|"&amp;"DNK",Rank_Changes!$U$2:$U$1090,0))),"–")</f>
        <v>2</v>
      </c>
      <c r="L25" s="26" t="n">
        <f aca="false">IFERROR(IF(INDEX(Rank_Changes!$P$2:$P$1090,MATCH($A25&amp;"|"&amp;"CAN",Rank_Changes!$U$2:$U$1090,0))="","–",INDEX(Rank_Changes!$P$2:$P$1090,MATCH($A25&amp;"|"&amp;"CAN",Rank_Changes!$U$2:$U$1090,0))),"–")</f>
        <v>0</v>
      </c>
      <c r="M25" s="26" t="n">
        <f aca="false">IFERROR(IF(INDEX(Rank_Changes!$P$2:$P$1090,MATCH($A25&amp;"|"&amp;"JPN",Rank_Changes!$U$2:$U$1090,0))="","–",INDEX(Rank_Changes!$P$2:$P$1090,MATCH($A25&amp;"|"&amp;"JPN",Rank_Changes!$U$2:$U$1090,0))),"–")</f>
        <v>-1</v>
      </c>
      <c r="N25" s="26" t="n">
        <f aca="false">IFERROR(IF(INDEX(Rank_Changes!$P$2:$P$1090,MATCH($A25&amp;"|"&amp;"AUS",Rank_Changes!$U$2:$U$1090,0))="","–",INDEX(Rank_Changes!$P$2:$P$1090,MATCH($A25&amp;"|"&amp;"AUS",Rank_Changes!$U$2:$U$1090,0))),"–")</f>
        <v>-1</v>
      </c>
    </row>
    <row r="26" customFormat="false" ht="15" hidden="false" customHeight="false" outlineLevel="0" collapsed="false">
      <c r="A26" s="12" t="s">
        <v>97</v>
      </c>
      <c r="B26" s="12" t="s">
        <v>39</v>
      </c>
      <c r="C26" s="12" t="s">
        <v>98</v>
      </c>
      <c r="D26" s="26" t="n">
        <f aca="false">IFERROR(IF(INDEX(Rank_Changes!$P$2:$P$1090,MATCH($A26&amp;"|"&amp;"USA",Rank_Changes!$U$2:$U$1090,0))="","–",INDEX(Rank_Changes!$P$2:$P$1090,MATCH($A26&amp;"|"&amp;"USA",Rank_Changes!$U$2:$U$1090,0))),"–")</f>
        <v>0</v>
      </c>
      <c r="E26" s="26" t="n">
        <f aca="false">IFERROR(IF(INDEX(Rank_Changes!$P$2:$P$1090,MATCH($A26&amp;"|"&amp;"GBR",Rank_Changes!$U$2:$U$1090,0))="","–",INDEX(Rank_Changes!$P$2:$P$1090,MATCH($A26&amp;"|"&amp;"GBR",Rank_Changes!$U$2:$U$1090,0))),"–")</f>
        <v>-2</v>
      </c>
      <c r="F26" s="26" t="n">
        <f aca="false">IFERROR(IF(INDEX(Rank_Changes!$P$2:$P$1090,MATCH($A26&amp;"|"&amp;"DEU",Rank_Changes!$U$2:$U$1090,0))="","–",INDEX(Rank_Changes!$P$2:$P$1090,MATCH($A26&amp;"|"&amp;"DEU",Rank_Changes!$U$2:$U$1090,0))),"–")</f>
        <v>0</v>
      </c>
      <c r="G26" s="26" t="n">
        <f aca="false">IFERROR(IF(INDEX(Rank_Changes!$P$2:$P$1090,MATCH($A26&amp;"|"&amp;"SWE",Rank_Changes!$U$2:$U$1090,0))="","–",INDEX(Rank_Changes!$P$2:$P$1090,MATCH($A26&amp;"|"&amp;"SWE",Rank_Changes!$U$2:$U$1090,0))),"–")</f>
        <v>3</v>
      </c>
      <c r="H26" s="26" t="n">
        <f aca="false">IFERROR(IF(INDEX(Rank_Changes!$P$2:$P$1090,MATCH($A26&amp;"|"&amp;"FRA",Rank_Changes!$U$2:$U$1090,0))="","–",INDEX(Rank_Changes!$P$2:$P$1090,MATCH($A26&amp;"|"&amp;"FRA",Rank_Changes!$U$2:$U$1090,0))),"–")</f>
        <v>-2</v>
      </c>
      <c r="I26" s="26" t="n">
        <f aca="false">IFERROR(IF(INDEX(Rank_Changes!$P$2:$P$1090,MATCH($A26&amp;"|"&amp;"NLD",Rank_Changes!$U$2:$U$1090,0))="","–",INDEX(Rank_Changes!$P$2:$P$1090,MATCH($A26&amp;"|"&amp;"NLD",Rank_Changes!$U$2:$U$1090,0))),"–")</f>
        <v>-2</v>
      </c>
      <c r="J26" s="26" t="n">
        <f aca="false">IFERROR(IF(INDEX(Rank_Changes!$P$2:$P$1090,MATCH($A26&amp;"|"&amp;"CHE",Rank_Changes!$U$2:$U$1090,0))="","–",INDEX(Rank_Changes!$P$2:$P$1090,MATCH($A26&amp;"|"&amp;"CHE",Rank_Changes!$U$2:$U$1090,0))),"–")</f>
        <v>0</v>
      </c>
      <c r="K26" s="26" t="n">
        <f aca="false">IFERROR(IF(INDEX(Rank_Changes!$P$2:$P$1090,MATCH($A26&amp;"|"&amp;"DNK",Rank_Changes!$U$2:$U$1090,0))="","–",INDEX(Rank_Changes!$P$2:$P$1090,MATCH($A26&amp;"|"&amp;"DNK",Rank_Changes!$U$2:$U$1090,0))),"–")</f>
        <v>4</v>
      </c>
      <c r="L26" s="26" t="n">
        <f aca="false">IFERROR(IF(INDEX(Rank_Changes!$P$2:$P$1090,MATCH($A26&amp;"|"&amp;"CAN",Rank_Changes!$U$2:$U$1090,0))="","–",INDEX(Rank_Changes!$P$2:$P$1090,MATCH($A26&amp;"|"&amp;"CAN",Rank_Changes!$U$2:$U$1090,0))),"–")</f>
        <v>-4</v>
      </c>
      <c r="M26" s="26" t="n">
        <f aca="false">IFERROR(IF(INDEX(Rank_Changes!$P$2:$P$1090,MATCH($A26&amp;"|"&amp;"JPN",Rank_Changes!$U$2:$U$1090,0))="","–",INDEX(Rank_Changes!$P$2:$P$1090,MATCH($A26&amp;"|"&amp;"JPN",Rank_Changes!$U$2:$U$1090,0))),"–")</f>
        <v>0</v>
      </c>
      <c r="N26" s="26" t="n">
        <f aca="false">IFERROR(IF(INDEX(Rank_Changes!$P$2:$P$1090,MATCH($A26&amp;"|"&amp;"AUS",Rank_Changes!$U$2:$U$1090,0))="","–",INDEX(Rank_Changes!$P$2:$P$1090,MATCH($A26&amp;"|"&amp;"AUS",Rank_Changes!$U$2:$U$1090,0))),"–")</f>
        <v>3</v>
      </c>
    </row>
    <row r="27" customFormat="false" ht="15" hidden="false" customHeight="false" outlineLevel="0" collapsed="false">
      <c r="A27" s="12" t="s">
        <v>99</v>
      </c>
      <c r="B27" s="12" t="s">
        <v>39</v>
      </c>
      <c r="C27" s="12" t="s">
        <v>100</v>
      </c>
      <c r="D27" s="26" t="n">
        <f aca="false">IFERROR(IF(INDEX(Rank_Changes!$P$2:$P$1090,MATCH($A27&amp;"|"&amp;"USA",Rank_Changes!$U$2:$U$1090,0))="","–",INDEX(Rank_Changes!$P$2:$P$1090,MATCH($A27&amp;"|"&amp;"USA",Rank_Changes!$U$2:$U$1090,0))),"–")</f>
        <v>0</v>
      </c>
      <c r="E27" s="26" t="n">
        <f aca="false">IFERROR(IF(INDEX(Rank_Changes!$P$2:$P$1090,MATCH($A27&amp;"|"&amp;"GBR",Rank_Changes!$U$2:$U$1090,0))="","–",INDEX(Rank_Changes!$P$2:$P$1090,MATCH($A27&amp;"|"&amp;"GBR",Rank_Changes!$U$2:$U$1090,0))),"–")</f>
        <v>1</v>
      </c>
      <c r="F27" s="26" t="n">
        <f aca="false">IFERROR(IF(INDEX(Rank_Changes!$P$2:$P$1090,MATCH($A27&amp;"|"&amp;"DEU",Rank_Changes!$U$2:$U$1090,0))="","–",INDEX(Rank_Changes!$P$2:$P$1090,MATCH($A27&amp;"|"&amp;"DEU",Rank_Changes!$U$2:$U$1090,0))),"–")</f>
        <v>-1</v>
      </c>
      <c r="G27" s="26" t="n">
        <f aca="false">IFERROR(IF(INDEX(Rank_Changes!$P$2:$P$1090,MATCH($A27&amp;"|"&amp;"SWE",Rank_Changes!$U$2:$U$1090,0))="","–",INDEX(Rank_Changes!$P$2:$P$1090,MATCH($A27&amp;"|"&amp;"SWE",Rank_Changes!$U$2:$U$1090,0))),"–")</f>
        <v>1</v>
      </c>
      <c r="H27" s="26" t="n">
        <f aca="false">IFERROR(IF(INDEX(Rank_Changes!$P$2:$P$1090,MATCH($A27&amp;"|"&amp;"FRA",Rank_Changes!$U$2:$U$1090,0))="","–",INDEX(Rank_Changes!$P$2:$P$1090,MATCH($A27&amp;"|"&amp;"FRA",Rank_Changes!$U$2:$U$1090,0))),"–")</f>
        <v>0</v>
      </c>
      <c r="I27" s="26" t="n">
        <f aca="false">IFERROR(IF(INDEX(Rank_Changes!$P$2:$P$1090,MATCH($A27&amp;"|"&amp;"NLD",Rank_Changes!$U$2:$U$1090,0))="","–",INDEX(Rank_Changes!$P$2:$P$1090,MATCH($A27&amp;"|"&amp;"NLD",Rank_Changes!$U$2:$U$1090,0))),"–")</f>
        <v>-3</v>
      </c>
      <c r="J27" s="26" t="n">
        <f aca="false">IFERROR(IF(INDEX(Rank_Changes!$P$2:$P$1090,MATCH($A27&amp;"|"&amp;"CHE",Rank_Changes!$U$2:$U$1090,0))="","–",INDEX(Rank_Changes!$P$2:$P$1090,MATCH($A27&amp;"|"&amp;"CHE",Rank_Changes!$U$2:$U$1090,0))),"–")</f>
        <v>1</v>
      </c>
      <c r="K27" s="26" t="n">
        <f aca="false">IFERROR(IF(INDEX(Rank_Changes!$P$2:$P$1090,MATCH($A27&amp;"|"&amp;"DNK",Rank_Changes!$U$2:$U$1090,0))="","–",INDEX(Rank_Changes!$P$2:$P$1090,MATCH($A27&amp;"|"&amp;"DNK",Rank_Changes!$U$2:$U$1090,0))),"–")</f>
        <v>3</v>
      </c>
      <c r="L27" s="26" t="n">
        <f aca="false">IFERROR(IF(INDEX(Rank_Changes!$P$2:$P$1090,MATCH($A27&amp;"|"&amp;"CAN",Rank_Changes!$U$2:$U$1090,0))="","–",INDEX(Rank_Changes!$P$2:$P$1090,MATCH($A27&amp;"|"&amp;"CAN",Rank_Changes!$U$2:$U$1090,0))),"–")</f>
        <v>-1</v>
      </c>
      <c r="M27" s="26" t="n">
        <f aca="false">IFERROR(IF(INDEX(Rank_Changes!$P$2:$P$1090,MATCH($A27&amp;"|"&amp;"JPN",Rank_Changes!$U$2:$U$1090,0))="","–",INDEX(Rank_Changes!$P$2:$P$1090,MATCH($A27&amp;"|"&amp;"JPN",Rank_Changes!$U$2:$U$1090,0))),"–")</f>
        <v>0</v>
      </c>
      <c r="N27" s="26" t="n">
        <f aca="false">IFERROR(IF(INDEX(Rank_Changes!$P$2:$P$1090,MATCH($A27&amp;"|"&amp;"AUS",Rank_Changes!$U$2:$U$1090,0))="","–",INDEX(Rank_Changes!$P$2:$P$1090,MATCH($A27&amp;"|"&amp;"AUS",Rank_Changes!$U$2:$U$1090,0))),"–")</f>
        <v>0</v>
      </c>
    </row>
    <row r="28" customFormat="false" ht="15" hidden="false" customHeight="false" outlineLevel="0" collapsed="false">
      <c r="A28" s="12" t="s">
        <v>101</v>
      </c>
      <c r="B28" s="12" t="s">
        <v>39</v>
      </c>
      <c r="C28" s="12" t="s">
        <v>102</v>
      </c>
      <c r="D28" s="26" t="n">
        <f aca="false">IFERROR(IF(INDEX(Rank_Changes!$P$2:$P$1090,MATCH($A28&amp;"|"&amp;"USA",Rank_Changes!$U$2:$U$1090,0))="","–",INDEX(Rank_Changes!$P$2:$P$1090,MATCH($A28&amp;"|"&amp;"USA",Rank_Changes!$U$2:$U$1090,0))),"–")</f>
        <v>0</v>
      </c>
      <c r="E28" s="26" t="n">
        <f aca="false">IFERROR(IF(INDEX(Rank_Changes!$P$2:$P$1090,MATCH($A28&amp;"|"&amp;"GBR",Rank_Changes!$U$2:$U$1090,0))="","–",INDEX(Rank_Changes!$P$2:$P$1090,MATCH($A28&amp;"|"&amp;"GBR",Rank_Changes!$U$2:$U$1090,0))),"–")</f>
        <v>-1</v>
      </c>
      <c r="F28" s="26" t="n">
        <f aca="false">IFERROR(IF(INDEX(Rank_Changes!$P$2:$P$1090,MATCH($A28&amp;"|"&amp;"DEU",Rank_Changes!$U$2:$U$1090,0))="","–",INDEX(Rank_Changes!$P$2:$P$1090,MATCH($A28&amp;"|"&amp;"DEU",Rank_Changes!$U$2:$U$1090,0))),"–")</f>
        <v>0</v>
      </c>
      <c r="G28" s="26" t="n">
        <f aca="false">IFERROR(IF(INDEX(Rank_Changes!$P$2:$P$1090,MATCH($A28&amp;"|"&amp;"SWE",Rank_Changes!$U$2:$U$1090,0))="","–",INDEX(Rank_Changes!$P$2:$P$1090,MATCH($A28&amp;"|"&amp;"SWE",Rank_Changes!$U$2:$U$1090,0))),"–")</f>
        <v>2</v>
      </c>
      <c r="H28" s="26" t="n">
        <f aca="false">IFERROR(IF(INDEX(Rank_Changes!$P$2:$P$1090,MATCH($A28&amp;"|"&amp;"FRA",Rank_Changes!$U$2:$U$1090,0))="","–",INDEX(Rank_Changes!$P$2:$P$1090,MATCH($A28&amp;"|"&amp;"FRA",Rank_Changes!$U$2:$U$1090,0))),"–")</f>
        <v>1</v>
      </c>
      <c r="I28" s="26" t="n">
        <f aca="false">IFERROR(IF(INDEX(Rank_Changes!$P$2:$P$1090,MATCH($A28&amp;"|"&amp;"NLD",Rank_Changes!$U$2:$U$1090,0))="","–",INDEX(Rank_Changes!$P$2:$P$1090,MATCH($A28&amp;"|"&amp;"NLD",Rank_Changes!$U$2:$U$1090,0))),"–")</f>
        <v>-1</v>
      </c>
      <c r="J28" s="26" t="n">
        <f aca="false">IFERROR(IF(INDEX(Rank_Changes!$P$2:$P$1090,MATCH($A28&amp;"|"&amp;"CHE",Rank_Changes!$U$2:$U$1090,0))="","–",INDEX(Rank_Changes!$P$2:$P$1090,MATCH($A28&amp;"|"&amp;"CHE",Rank_Changes!$U$2:$U$1090,0))),"–")</f>
        <v>0</v>
      </c>
      <c r="K28" s="26" t="n">
        <f aca="false">IFERROR(IF(INDEX(Rank_Changes!$P$2:$P$1090,MATCH($A28&amp;"|"&amp;"DNK",Rank_Changes!$U$2:$U$1090,0))="","–",INDEX(Rank_Changes!$P$2:$P$1090,MATCH($A28&amp;"|"&amp;"DNK",Rank_Changes!$U$2:$U$1090,0))),"–")</f>
        <v>1</v>
      </c>
      <c r="L28" s="26" t="n">
        <f aca="false">IFERROR(IF(INDEX(Rank_Changes!$P$2:$P$1090,MATCH($A28&amp;"|"&amp;"CAN",Rank_Changes!$U$2:$U$1090,0))="","–",INDEX(Rank_Changes!$P$2:$P$1090,MATCH($A28&amp;"|"&amp;"CAN",Rank_Changes!$U$2:$U$1090,0))),"–")</f>
        <v>0</v>
      </c>
      <c r="M28" s="26" t="n">
        <f aca="false">IFERROR(IF(INDEX(Rank_Changes!$P$2:$P$1090,MATCH($A28&amp;"|"&amp;"JPN",Rank_Changes!$U$2:$U$1090,0))="","–",INDEX(Rank_Changes!$P$2:$P$1090,MATCH($A28&amp;"|"&amp;"JPN",Rank_Changes!$U$2:$U$1090,0))),"–")</f>
        <v>-2</v>
      </c>
      <c r="N28" s="26" t="n">
        <f aca="false">IFERROR(IF(INDEX(Rank_Changes!$P$2:$P$1090,MATCH($A28&amp;"|"&amp;"AUS",Rank_Changes!$U$2:$U$1090,0))="","–",INDEX(Rank_Changes!$P$2:$P$1090,MATCH($A28&amp;"|"&amp;"AUS",Rank_Changes!$U$2:$U$1090,0))),"–")</f>
        <v>0</v>
      </c>
    </row>
    <row r="29" customFormat="false" ht="15" hidden="false" customHeight="false" outlineLevel="0" collapsed="false">
      <c r="A29" s="12" t="s">
        <v>103</v>
      </c>
      <c r="B29" s="12" t="s">
        <v>39</v>
      </c>
      <c r="C29" s="12" t="s">
        <v>104</v>
      </c>
      <c r="D29" s="26" t="n">
        <f aca="false">IFERROR(IF(INDEX(Rank_Changes!$P$2:$P$1090,MATCH($A29&amp;"|"&amp;"USA",Rank_Changes!$U$2:$U$1090,0))="","–",INDEX(Rank_Changes!$P$2:$P$1090,MATCH($A29&amp;"|"&amp;"USA",Rank_Changes!$U$2:$U$1090,0))),"–")</f>
        <v>0</v>
      </c>
      <c r="E29" s="26" t="n">
        <f aca="false">IFERROR(IF(INDEX(Rank_Changes!$P$2:$P$1090,MATCH($A29&amp;"|"&amp;"GBR",Rank_Changes!$U$2:$U$1090,0))="","–",INDEX(Rank_Changes!$P$2:$P$1090,MATCH($A29&amp;"|"&amp;"GBR",Rank_Changes!$U$2:$U$1090,0))),"–")</f>
        <v>-1</v>
      </c>
      <c r="F29" s="26" t="n">
        <f aca="false">IFERROR(IF(INDEX(Rank_Changes!$P$2:$P$1090,MATCH($A29&amp;"|"&amp;"DEU",Rank_Changes!$U$2:$U$1090,0))="","–",INDEX(Rank_Changes!$P$2:$P$1090,MATCH($A29&amp;"|"&amp;"DEU",Rank_Changes!$U$2:$U$1090,0))),"–")</f>
        <v>-5</v>
      </c>
      <c r="G29" s="26" t="n">
        <f aca="false">IFERROR(IF(INDEX(Rank_Changes!$P$2:$P$1090,MATCH($A29&amp;"|"&amp;"SWE",Rank_Changes!$U$2:$U$1090,0))="","–",INDEX(Rank_Changes!$P$2:$P$1090,MATCH($A29&amp;"|"&amp;"SWE",Rank_Changes!$U$2:$U$1090,0))),"–")</f>
        <v>3</v>
      </c>
      <c r="H29" s="26" t="n">
        <f aca="false">IFERROR(IF(INDEX(Rank_Changes!$P$2:$P$1090,MATCH($A29&amp;"|"&amp;"FRA",Rank_Changes!$U$2:$U$1090,0))="","–",INDEX(Rank_Changes!$P$2:$P$1090,MATCH($A29&amp;"|"&amp;"FRA",Rank_Changes!$U$2:$U$1090,0))),"–")</f>
        <v>0</v>
      </c>
      <c r="I29" s="26" t="n">
        <f aca="false">IFERROR(IF(INDEX(Rank_Changes!$P$2:$P$1090,MATCH($A29&amp;"|"&amp;"NLD",Rank_Changes!$U$2:$U$1090,0))="","–",INDEX(Rank_Changes!$P$2:$P$1090,MATCH($A29&amp;"|"&amp;"NLD",Rank_Changes!$U$2:$U$1090,0))),"–")</f>
        <v>-4</v>
      </c>
      <c r="J29" s="26" t="n">
        <f aca="false">IFERROR(IF(INDEX(Rank_Changes!$P$2:$P$1090,MATCH($A29&amp;"|"&amp;"CHE",Rank_Changes!$U$2:$U$1090,0))="","–",INDEX(Rank_Changes!$P$2:$P$1090,MATCH($A29&amp;"|"&amp;"CHE",Rank_Changes!$U$2:$U$1090,0))),"–")</f>
        <v>2</v>
      </c>
      <c r="K29" s="26" t="n">
        <f aca="false">IFERROR(IF(INDEX(Rank_Changes!$P$2:$P$1090,MATCH($A29&amp;"|"&amp;"DNK",Rank_Changes!$U$2:$U$1090,0))="","–",INDEX(Rank_Changes!$P$2:$P$1090,MATCH($A29&amp;"|"&amp;"DNK",Rank_Changes!$U$2:$U$1090,0))),"–")</f>
        <v>0</v>
      </c>
      <c r="L29" s="26" t="n">
        <f aca="false">IFERROR(IF(INDEX(Rank_Changes!$P$2:$P$1090,MATCH($A29&amp;"|"&amp;"CAN",Rank_Changes!$U$2:$U$1090,0))="","–",INDEX(Rank_Changes!$P$2:$P$1090,MATCH($A29&amp;"|"&amp;"CAN",Rank_Changes!$U$2:$U$1090,0))),"–")</f>
        <v>3</v>
      </c>
      <c r="M29" s="26" t="n">
        <f aca="false">IFERROR(IF(INDEX(Rank_Changes!$P$2:$P$1090,MATCH($A29&amp;"|"&amp;"JPN",Rank_Changes!$U$2:$U$1090,0))="","–",INDEX(Rank_Changes!$P$2:$P$1090,MATCH($A29&amp;"|"&amp;"JPN",Rank_Changes!$U$2:$U$1090,0))),"–")</f>
        <v>-1</v>
      </c>
      <c r="N29" s="26" t="n">
        <f aca="false">IFERROR(IF(INDEX(Rank_Changes!$P$2:$P$1090,MATCH($A29&amp;"|"&amp;"AUS",Rank_Changes!$U$2:$U$1090,0))="","–",INDEX(Rank_Changes!$P$2:$P$1090,MATCH($A29&amp;"|"&amp;"AUS",Rank_Changes!$U$2:$U$1090,0))),"–")</f>
        <v>4</v>
      </c>
    </row>
    <row r="30" customFormat="false" ht="15" hidden="false" customHeight="false" outlineLevel="0" collapsed="false">
      <c r="A30" s="12" t="s">
        <v>106</v>
      </c>
      <c r="B30" s="12" t="s">
        <v>39</v>
      </c>
      <c r="C30" s="12" t="s">
        <v>107</v>
      </c>
      <c r="D30" s="26" t="n">
        <f aca="false">IFERROR(IF(INDEX(Rank_Changes!$P$2:$P$1090,MATCH($A30&amp;"|"&amp;"USA",Rank_Changes!$U$2:$U$1090,0))="","–",INDEX(Rank_Changes!$P$2:$P$1090,MATCH($A30&amp;"|"&amp;"USA",Rank_Changes!$U$2:$U$1090,0))),"–")</f>
        <v>0</v>
      </c>
      <c r="E30" s="26" t="n">
        <f aca="false">IFERROR(IF(INDEX(Rank_Changes!$P$2:$P$1090,MATCH($A30&amp;"|"&amp;"GBR",Rank_Changes!$U$2:$U$1090,0))="","–",INDEX(Rank_Changes!$P$2:$P$1090,MATCH($A30&amp;"|"&amp;"GBR",Rank_Changes!$U$2:$U$1090,0))),"–")</f>
        <v>0</v>
      </c>
      <c r="F30" s="26" t="n">
        <f aca="false">IFERROR(IF(INDEX(Rank_Changes!$P$2:$P$1090,MATCH($A30&amp;"|"&amp;"DEU",Rank_Changes!$U$2:$U$1090,0))="","–",INDEX(Rank_Changes!$P$2:$P$1090,MATCH($A30&amp;"|"&amp;"DEU",Rank_Changes!$U$2:$U$1090,0))),"–")</f>
        <v>2</v>
      </c>
      <c r="G30" s="26" t="n">
        <f aca="false">IFERROR(IF(INDEX(Rank_Changes!$P$2:$P$1090,MATCH($A30&amp;"|"&amp;"SWE",Rank_Changes!$U$2:$U$1090,0))="","–",INDEX(Rank_Changes!$P$2:$P$1090,MATCH($A30&amp;"|"&amp;"SWE",Rank_Changes!$U$2:$U$1090,0))),"–")</f>
        <v>-1</v>
      </c>
      <c r="H30" s="26" t="n">
        <f aca="false">IFERROR(IF(INDEX(Rank_Changes!$P$2:$P$1090,MATCH($A30&amp;"|"&amp;"FRA",Rank_Changes!$U$2:$U$1090,0))="","–",INDEX(Rank_Changes!$P$2:$P$1090,MATCH($A30&amp;"|"&amp;"FRA",Rank_Changes!$U$2:$U$1090,0))),"–")</f>
        <v>1</v>
      </c>
      <c r="I30" s="26" t="n">
        <f aca="false">IFERROR(IF(INDEX(Rank_Changes!$P$2:$P$1090,MATCH($A30&amp;"|"&amp;"NLD",Rank_Changes!$U$2:$U$1090,0))="","–",INDEX(Rank_Changes!$P$2:$P$1090,MATCH($A30&amp;"|"&amp;"NLD",Rank_Changes!$U$2:$U$1090,0))),"–")</f>
        <v>4</v>
      </c>
      <c r="J30" s="26" t="n">
        <f aca="false">IFERROR(IF(INDEX(Rank_Changes!$P$2:$P$1090,MATCH($A30&amp;"|"&amp;"CHE",Rank_Changes!$U$2:$U$1090,0))="","–",INDEX(Rank_Changes!$P$2:$P$1090,MATCH($A30&amp;"|"&amp;"CHE",Rank_Changes!$U$2:$U$1090,0))),"–")</f>
        <v>-2</v>
      </c>
      <c r="K30" s="26" t="n">
        <f aca="false">IFERROR(IF(INDEX(Rank_Changes!$P$2:$P$1090,MATCH($A30&amp;"|"&amp;"DNK",Rank_Changes!$U$2:$U$1090,0))="","–",INDEX(Rank_Changes!$P$2:$P$1090,MATCH($A30&amp;"|"&amp;"DNK",Rank_Changes!$U$2:$U$1090,0))),"–")</f>
        <v>-3</v>
      </c>
      <c r="L30" s="26" t="n">
        <f aca="false">IFERROR(IF(INDEX(Rank_Changes!$P$2:$P$1090,MATCH($A30&amp;"|"&amp;"CAN",Rank_Changes!$U$2:$U$1090,0))="","–",INDEX(Rank_Changes!$P$2:$P$1090,MATCH($A30&amp;"|"&amp;"CAN",Rank_Changes!$U$2:$U$1090,0))),"–")</f>
        <v>0</v>
      </c>
      <c r="M30" s="26" t="n">
        <f aca="false">IFERROR(IF(INDEX(Rank_Changes!$P$2:$P$1090,MATCH($A30&amp;"|"&amp;"JPN",Rank_Changes!$U$2:$U$1090,0))="","–",INDEX(Rank_Changes!$P$2:$P$1090,MATCH($A30&amp;"|"&amp;"JPN",Rank_Changes!$U$2:$U$1090,0))),"–")</f>
        <v>0</v>
      </c>
      <c r="N30" s="26" t="n">
        <f aca="false">IFERROR(IF(INDEX(Rank_Changes!$P$2:$P$1090,MATCH($A30&amp;"|"&amp;"AUS",Rank_Changes!$U$2:$U$1090,0))="","–",INDEX(Rank_Changes!$P$2:$P$1090,MATCH($A30&amp;"|"&amp;"AUS",Rank_Changes!$U$2:$U$1090,0))),"–")</f>
        <v>3</v>
      </c>
    </row>
    <row r="31" customFormat="false" ht="15" hidden="false" customHeight="false" outlineLevel="0" collapsed="false">
      <c r="A31" s="12" t="s">
        <v>108</v>
      </c>
      <c r="B31" s="12" t="s">
        <v>39</v>
      </c>
      <c r="C31" s="12" t="s">
        <v>109</v>
      </c>
      <c r="D31" s="26" t="n">
        <f aca="false">IFERROR(IF(INDEX(Rank_Changes!$P$2:$P$1090,MATCH($A31&amp;"|"&amp;"USA",Rank_Changes!$U$2:$U$1090,0))="","–",INDEX(Rank_Changes!$P$2:$P$1090,MATCH($A31&amp;"|"&amp;"USA",Rank_Changes!$U$2:$U$1090,0))),"–")</f>
        <v>0</v>
      </c>
      <c r="E31" s="26" t="n">
        <f aca="false">IFERROR(IF(INDEX(Rank_Changes!$P$2:$P$1090,MATCH($A31&amp;"|"&amp;"GBR",Rank_Changes!$U$2:$U$1090,0))="","–",INDEX(Rank_Changes!$P$2:$P$1090,MATCH($A31&amp;"|"&amp;"GBR",Rank_Changes!$U$2:$U$1090,0))),"–")</f>
        <v>2</v>
      </c>
      <c r="F31" s="26" t="n">
        <f aca="false">IFERROR(IF(INDEX(Rank_Changes!$P$2:$P$1090,MATCH($A31&amp;"|"&amp;"DEU",Rank_Changes!$U$2:$U$1090,0))="","–",INDEX(Rank_Changes!$P$2:$P$1090,MATCH($A31&amp;"|"&amp;"DEU",Rank_Changes!$U$2:$U$1090,0))),"–")</f>
        <v>1</v>
      </c>
      <c r="G31" s="26" t="n">
        <f aca="false">IFERROR(IF(INDEX(Rank_Changes!$P$2:$P$1090,MATCH($A31&amp;"|"&amp;"SWE",Rank_Changes!$U$2:$U$1090,0))="","–",INDEX(Rank_Changes!$P$2:$P$1090,MATCH($A31&amp;"|"&amp;"SWE",Rank_Changes!$U$2:$U$1090,0))),"–")</f>
        <v>0</v>
      </c>
      <c r="H31" s="26" t="n">
        <f aca="false">IFERROR(IF(INDEX(Rank_Changes!$P$2:$P$1090,MATCH($A31&amp;"|"&amp;"FRA",Rank_Changes!$U$2:$U$1090,0))="","–",INDEX(Rank_Changes!$P$2:$P$1090,MATCH($A31&amp;"|"&amp;"FRA",Rank_Changes!$U$2:$U$1090,0))),"–")</f>
        <v>2</v>
      </c>
      <c r="I31" s="26" t="n">
        <f aca="false">IFERROR(IF(INDEX(Rank_Changes!$P$2:$P$1090,MATCH($A31&amp;"|"&amp;"NLD",Rank_Changes!$U$2:$U$1090,0))="","–",INDEX(Rank_Changes!$P$2:$P$1090,MATCH($A31&amp;"|"&amp;"NLD",Rank_Changes!$U$2:$U$1090,0))),"–")</f>
        <v>1</v>
      </c>
      <c r="J31" s="26" t="n">
        <f aca="false">IFERROR(IF(INDEX(Rank_Changes!$P$2:$P$1090,MATCH($A31&amp;"|"&amp;"CHE",Rank_Changes!$U$2:$U$1090,0))="","–",INDEX(Rank_Changes!$P$2:$P$1090,MATCH($A31&amp;"|"&amp;"CHE",Rank_Changes!$U$2:$U$1090,0))),"–")</f>
        <v>-2</v>
      </c>
      <c r="K31" s="26" t="n">
        <f aca="false">IFERROR(IF(INDEX(Rank_Changes!$P$2:$P$1090,MATCH($A31&amp;"|"&amp;"DNK",Rank_Changes!$U$2:$U$1090,0))="","–",INDEX(Rank_Changes!$P$2:$P$1090,MATCH($A31&amp;"|"&amp;"DNK",Rank_Changes!$U$2:$U$1090,0))),"–")</f>
        <v>-5</v>
      </c>
      <c r="L31" s="26" t="n">
        <f aca="false">IFERROR(IF(INDEX(Rank_Changes!$P$2:$P$1090,MATCH($A31&amp;"|"&amp;"CAN",Rank_Changes!$U$2:$U$1090,0))="","–",INDEX(Rank_Changes!$P$2:$P$1090,MATCH($A31&amp;"|"&amp;"CAN",Rank_Changes!$U$2:$U$1090,0))),"–")</f>
        <v>0</v>
      </c>
      <c r="M31" s="26" t="n">
        <f aca="false">IFERROR(IF(INDEX(Rank_Changes!$P$2:$P$1090,MATCH($A31&amp;"|"&amp;"JPN",Rank_Changes!$U$2:$U$1090,0))="","–",INDEX(Rank_Changes!$P$2:$P$1090,MATCH($A31&amp;"|"&amp;"JPN",Rank_Changes!$U$2:$U$1090,0))),"–")</f>
        <v>0</v>
      </c>
      <c r="N31" s="26" t="n">
        <f aca="false">IFERROR(IF(INDEX(Rank_Changes!$P$2:$P$1090,MATCH($A31&amp;"|"&amp;"AUS",Rank_Changes!$U$2:$U$1090,0))="","–",INDEX(Rank_Changes!$P$2:$P$1090,MATCH($A31&amp;"|"&amp;"AUS",Rank_Changes!$U$2:$U$1090,0))),"–")</f>
        <v>1</v>
      </c>
    </row>
    <row r="32" customFormat="false" ht="15" hidden="false" customHeight="false" outlineLevel="0" collapsed="false">
      <c r="A32" s="12" t="s">
        <v>110</v>
      </c>
      <c r="B32" s="12" t="s">
        <v>39</v>
      </c>
      <c r="C32" s="12" t="s">
        <v>111</v>
      </c>
      <c r="D32" s="26" t="str">
        <f aca="false">IFERROR(IF(INDEX(Rank_Changes!$P$2:$P$1090,MATCH($A32&amp;"|"&amp;"USA",Rank_Changes!$U$2:$U$1090,0))="","–",INDEX(Rank_Changes!$P$2:$P$1090,MATCH($A32&amp;"|"&amp;"USA",Rank_Changes!$U$2:$U$1090,0))),"–")</f>
        <v>–</v>
      </c>
      <c r="E32" s="26" t="str">
        <f aca="false">IFERROR(IF(INDEX(Rank_Changes!$P$2:$P$1090,MATCH($A32&amp;"|"&amp;"GBR",Rank_Changes!$U$2:$U$1090,0))="","–",INDEX(Rank_Changes!$P$2:$P$1090,MATCH($A32&amp;"|"&amp;"GBR",Rank_Changes!$U$2:$U$1090,0))),"–")</f>
        <v>–</v>
      </c>
      <c r="F32" s="26" t="str">
        <f aca="false">IFERROR(IF(INDEX(Rank_Changes!$P$2:$P$1090,MATCH($A32&amp;"|"&amp;"DEU",Rank_Changes!$U$2:$U$1090,0))="","–",INDEX(Rank_Changes!$P$2:$P$1090,MATCH($A32&amp;"|"&amp;"DEU",Rank_Changes!$U$2:$U$1090,0))),"–")</f>
        <v>–</v>
      </c>
      <c r="G32" s="26" t="str">
        <f aca="false">IFERROR(IF(INDEX(Rank_Changes!$P$2:$P$1090,MATCH($A32&amp;"|"&amp;"SWE",Rank_Changes!$U$2:$U$1090,0))="","–",INDEX(Rank_Changes!$P$2:$P$1090,MATCH($A32&amp;"|"&amp;"SWE",Rank_Changes!$U$2:$U$1090,0))),"–")</f>
        <v>–</v>
      </c>
      <c r="H32" s="26" t="str">
        <f aca="false">IFERROR(IF(INDEX(Rank_Changes!$P$2:$P$1090,MATCH($A32&amp;"|"&amp;"FRA",Rank_Changes!$U$2:$U$1090,0))="","–",INDEX(Rank_Changes!$P$2:$P$1090,MATCH($A32&amp;"|"&amp;"FRA",Rank_Changes!$U$2:$U$1090,0))),"–")</f>
        <v>–</v>
      </c>
      <c r="I32" s="26" t="str">
        <f aca="false">IFERROR(IF(INDEX(Rank_Changes!$P$2:$P$1090,MATCH($A32&amp;"|"&amp;"NLD",Rank_Changes!$U$2:$U$1090,0))="","–",INDEX(Rank_Changes!$P$2:$P$1090,MATCH($A32&amp;"|"&amp;"NLD",Rank_Changes!$U$2:$U$1090,0))),"–")</f>
        <v>–</v>
      </c>
      <c r="J32" s="26" t="str">
        <f aca="false">IFERROR(IF(INDEX(Rank_Changes!$P$2:$P$1090,MATCH($A32&amp;"|"&amp;"CHE",Rank_Changes!$U$2:$U$1090,0))="","–",INDEX(Rank_Changes!$P$2:$P$1090,MATCH($A32&amp;"|"&amp;"CHE",Rank_Changes!$U$2:$U$1090,0))),"–")</f>
        <v>–</v>
      </c>
      <c r="K32" s="26" t="str">
        <f aca="false">IFERROR(IF(INDEX(Rank_Changes!$P$2:$P$1090,MATCH($A32&amp;"|"&amp;"DNK",Rank_Changes!$U$2:$U$1090,0))="","–",INDEX(Rank_Changes!$P$2:$P$1090,MATCH($A32&amp;"|"&amp;"DNK",Rank_Changes!$U$2:$U$1090,0))),"–")</f>
        <v>–</v>
      </c>
      <c r="L32" s="26" t="str">
        <f aca="false">IFERROR(IF(INDEX(Rank_Changes!$P$2:$P$1090,MATCH($A32&amp;"|"&amp;"CAN",Rank_Changes!$U$2:$U$1090,0))="","–",INDEX(Rank_Changes!$P$2:$P$1090,MATCH($A32&amp;"|"&amp;"CAN",Rank_Changes!$U$2:$U$1090,0))),"–")</f>
        <v>–</v>
      </c>
      <c r="M32" s="26" t="str">
        <f aca="false">IFERROR(IF(INDEX(Rank_Changes!$P$2:$P$1090,MATCH($A32&amp;"|"&amp;"JPN",Rank_Changes!$U$2:$U$1090,0))="","–",INDEX(Rank_Changes!$P$2:$P$1090,MATCH($A32&amp;"|"&amp;"JPN",Rank_Changes!$U$2:$U$1090,0))),"–")</f>
        <v>–</v>
      </c>
      <c r="N32" s="26" t="str">
        <f aca="false">IFERROR(IF(INDEX(Rank_Changes!$P$2:$P$1090,MATCH($A32&amp;"|"&amp;"AUS",Rank_Changes!$U$2:$U$1090,0))="","–",INDEX(Rank_Changes!$P$2:$P$1090,MATCH($A32&amp;"|"&amp;"AUS",Rank_Changes!$U$2:$U$1090,0))),"–")</f>
        <v>–</v>
      </c>
    </row>
    <row r="33" customFormat="false" ht="15" hidden="false" customHeight="false" outlineLevel="0" collapsed="false">
      <c r="A33" s="12" t="s">
        <v>112</v>
      </c>
      <c r="B33" s="12" t="s">
        <v>39</v>
      </c>
      <c r="C33" s="12" t="s">
        <v>113</v>
      </c>
      <c r="D33" s="26" t="n">
        <f aca="false">IFERROR(IF(INDEX(Rank_Changes!$P$2:$P$1090,MATCH($A33&amp;"|"&amp;"USA",Rank_Changes!$U$2:$U$1090,0))="","–",INDEX(Rank_Changes!$P$2:$P$1090,MATCH($A33&amp;"|"&amp;"USA",Rank_Changes!$U$2:$U$1090,0))),"–")</f>
        <v>0</v>
      </c>
      <c r="E33" s="26" t="n">
        <f aca="false">IFERROR(IF(INDEX(Rank_Changes!$P$2:$P$1090,MATCH($A33&amp;"|"&amp;"GBR",Rank_Changes!$U$2:$U$1090,0))="","–",INDEX(Rank_Changes!$P$2:$P$1090,MATCH($A33&amp;"|"&amp;"GBR",Rank_Changes!$U$2:$U$1090,0))),"–")</f>
        <v>-1</v>
      </c>
      <c r="F33" s="26" t="n">
        <f aca="false">IFERROR(IF(INDEX(Rank_Changes!$P$2:$P$1090,MATCH($A33&amp;"|"&amp;"DEU",Rank_Changes!$U$2:$U$1090,0))="","–",INDEX(Rank_Changes!$P$2:$P$1090,MATCH($A33&amp;"|"&amp;"DEU",Rank_Changes!$U$2:$U$1090,0))),"–")</f>
        <v>-2</v>
      </c>
      <c r="G33" s="26" t="n">
        <f aca="false">IFERROR(IF(INDEX(Rank_Changes!$P$2:$P$1090,MATCH($A33&amp;"|"&amp;"SWE",Rank_Changes!$U$2:$U$1090,0))="","–",INDEX(Rank_Changes!$P$2:$P$1090,MATCH($A33&amp;"|"&amp;"SWE",Rank_Changes!$U$2:$U$1090,0))),"–")</f>
        <v>0</v>
      </c>
      <c r="H33" s="26" t="n">
        <f aca="false">IFERROR(IF(INDEX(Rank_Changes!$P$2:$P$1090,MATCH($A33&amp;"|"&amp;"FRA",Rank_Changes!$U$2:$U$1090,0))="","–",INDEX(Rank_Changes!$P$2:$P$1090,MATCH($A33&amp;"|"&amp;"FRA",Rank_Changes!$U$2:$U$1090,0))),"–")</f>
        <v>5</v>
      </c>
      <c r="I33" s="26" t="n">
        <f aca="false">IFERROR(IF(INDEX(Rank_Changes!$P$2:$P$1090,MATCH($A33&amp;"|"&amp;"NLD",Rank_Changes!$U$2:$U$1090,0))="","–",INDEX(Rank_Changes!$P$2:$P$1090,MATCH($A33&amp;"|"&amp;"NLD",Rank_Changes!$U$2:$U$1090,0))),"–")</f>
        <v>-3</v>
      </c>
      <c r="J33" s="26" t="str">
        <f aca="false">IFERROR(IF(INDEX(Rank_Changes!$P$2:$P$1090,MATCH($A33&amp;"|"&amp;"CHE",Rank_Changes!$U$2:$U$1090,0))="","–",INDEX(Rank_Changes!$P$2:$P$1090,MATCH($A33&amp;"|"&amp;"CHE",Rank_Changes!$U$2:$U$1090,0))),"–")</f>
        <v>–</v>
      </c>
      <c r="K33" s="26" t="n">
        <f aca="false">IFERROR(IF(INDEX(Rank_Changes!$P$2:$P$1090,MATCH($A33&amp;"|"&amp;"DNK",Rank_Changes!$U$2:$U$1090,0))="","–",INDEX(Rank_Changes!$P$2:$P$1090,MATCH($A33&amp;"|"&amp;"DNK",Rank_Changes!$U$2:$U$1090,0))),"–")</f>
        <v>0</v>
      </c>
      <c r="L33" s="26" t="n">
        <f aca="false">IFERROR(IF(INDEX(Rank_Changes!$P$2:$P$1090,MATCH($A33&amp;"|"&amp;"CAN",Rank_Changes!$U$2:$U$1090,0))="","–",INDEX(Rank_Changes!$P$2:$P$1090,MATCH($A33&amp;"|"&amp;"CAN",Rank_Changes!$U$2:$U$1090,0))),"–")</f>
        <v>3</v>
      </c>
      <c r="M33" s="26" t="n">
        <f aca="false">IFERROR(IF(INDEX(Rank_Changes!$P$2:$P$1090,MATCH($A33&amp;"|"&amp;"JPN",Rank_Changes!$U$2:$U$1090,0))="","–",INDEX(Rank_Changes!$P$2:$P$1090,MATCH($A33&amp;"|"&amp;"JPN",Rank_Changes!$U$2:$U$1090,0))),"–")</f>
        <v>0</v>
      </c>
      <c r="N33" s="26" t="n">
        <f aca="false">IFERROR(IF(INDEX(Rank_Changes!$P$2:$P$1090,MATCH($A33&amp;"|"&amp;"AUS",Rank_Changes!$U$2:$U$1090,0))="","–",INDEX(Rank_Changes!$P$2:$P$1090,MATCH($A33&amp;"|"&amp;"AUS",Rank_Changes!$U$2:$U$1090,0))),"–")</f>
        <v>0</v>
      </c>
    </row>
    <row r="34" customFormat="false" ht="15" hidden="false" customHeight="false" outlineLevel="0" collapsed="false">
      <c r="A34" s="12" t="s">
        <v>114</v>
      </c>
      <c r="B34" s="12" t="s">
        <v>312</v>
      </c>
      <c r="C34" s="12" t="s">
        <v>115</v>
      </c>
      <c r="D34" s="26" t="n">
        <f aca="false">IFERROR(IF(INDEX(Rank_Changes!$P$2:$P$1090,MATCH($A34&amp;"|"&amp;"USA",Rank_Changes!$U$2:$U$1090,0))="","–",INDEX(Rank_Changes!$P$2:$P$1090,MATCH($A34&amp;"|"&amp;"USA",Rank_Changes!$U$2:$U$1090,0))),"–")</f>
        <v>-1</v>
      </c>
      <c r="E34" s="26" t="n">
        <f aca="false">IFERROR(IF(INDEX(Rank_Changes!$P$2:$P$1090,MATCH($A34&amp;"|"&amp;"GBR",Rank_Changes!$U$2:$U$1090,0))="","–",INDEX(Rank_Changes!$P$2:$P$1090,MATCH($A34&amp;"|"&amp;"GBR",Rank_Changes!$U$2:$U$1090,0))),"–")</f>
        <v>3</v>
      </c>
      <c r="F34" s="26" t="n">
        <f aca="false">IFERROR(IF(INDEX(Rank_Changes!$P$2:$P$1090,MATCH($A34&amp;"|"&amp;"DEU",Rank_Changes!$U$2:$U$1090,0))="","–",INDEX(Rank_Changes!$P$2:$P$1090,MATCH($A34&amp;"|"&amp;"DEU",Rank_Changes!$U$2:$U$1090,0))),"–")</f>
        <v>2</v>
      </c>
      <c r="G34" s="26" t="n">
        <f aca="false">IFERROR(IF(INDEX(Rank_Changes!$P$2:$P$1090,MATCH($A34&amp;"|"&amp;"SWE",Rank_Changes!$U$2:$U$1090,0))="","–",INDEX(Rank_Changes!$P$2:$P$1090,MATCH($A34&amp;"|"&amp;"SWE",Rank_Changes!$U$2:$U$1090,0))),"–")</f>
        <v>0</v>
      </c>
      <c r="H34" s="26" t="n">
        <f aca="false">IFERROR(IF(INDEX(Rank_Changes!$P$2:$P$1090,MATCH($A34&amp;"|"&amp;"FRA",Rank_Changes!$U$2:$U$1090,0))="","–",INDEX(Rank_Changes!$P$2:$P$1090,MATCH($A34&amp;"|"&amp;"FRA",Rank_Changes!$U$2:$U$1090,0))),"–")</f>
        <v>0</v>
      </c>
      <c r="I34" s="26" t="n">
        <f aca="false">IFERROR(IF(INDEX(Rank_Changes!$P$2:$P$1090,MATCH($A34&amp;"|"&amp;"NLD",Rank_Changes!$U$2:$U$1090,0))="","–",INDEX(Rank_Changes!$P$2:$P$1090,MATCH($A34&amp;"|"&amp;"NLD",Rank_Changes!$U$2:$U$1090,0))),"–")</f>
        <v>-1</v>
      </c>
      <c r="J34" s="26" t="n">
        <f aca="false">IFERROR(IF(INDEX(Rank_Changes!$P$2:$P$1090,MATCH($A34&amp;"|"&amp;"CHE",Rank_Changes!$U$2:$U$1090,0))="","–",INDEX(Rank_Changes!$P$2:$P$1090,MATCH($A34&amp;"|"&amp;"CHE",Rank_Changes!$U$2:$U$1090,0))),"–")</f>
        <v>-1</v>
      </c>
      <c r="K34" s="26" t="n">
        <f aca="false">IFERROR(IF(INDEX(Rank_Changes!$P$2:$P$1090,MATCH($A34&amp;"|"&amp;"DNK",Rank_Changes!$U$2:$U$1090,0))="","–",INDEX(Rank_Changes!$P$2:$P$1090,MATCH($A34&amp;"|"&amp;"DNK",Rank_Changes!$U$2:$U$1090,0))),"–")</f>
        <v>2</v>
      </c>
      <c r="L34" s="26" t="n">
        <f aca="false">IFERROR(IF(INDEX(Rank_Changes!$P$2:$P$1090,MATCH($A34&amp;"|"&amp;"CAN",Rank_Changes!$U$2:$U$1090,0))="","–",INDEX(Rank_Changes!$P$2:$P$1090,MATCH($A34&amp;"|"&amp;"CAN",Rank_Changes!$U$2:$U$1090,0))),"–")</f>
        <v>-2</v>
      </c>
      <c r="M34" s="26" t="n">
        <f aca="false">IFERROR(IF(INDEX(Rank_Changes!$P$2:$P$1090,MATCH($A34&amp;"|"&amp;"JPN",Rank_Changes!$U$2:$U$1090,0))="","–",INDEX(Rank_Changes!$P$2:$P$1090,MATCH($A34&amp;"|"&amp;"JPN",Rank_Changes!$U$2:$U$1090,0))),"–")</f>
        <v>0</v>
      </c>
      <c r="N34" s="26" t="n">
        <f aca="false">IFERROR(IF(INDEX(Rank_Changes!$P$2:$P$1090,MATCH($A34&amp;"|"&amp;"AUS",Rank_Changes!$U$2:$U$1090,0))="","–",INDEX(Rank_Changes!$P$2:$P$1090,MATCH($A34&amp;"|"&amp;"AUS",Rank_Changes!$U$2:$U$1090,0))),"–")</f>
        <v>0</v>
      </c>
    </row>
    <row r="35" customFormat="false" ht="15" hidden="false" customHeight="false" outlineLevel="0" collapsed="false">
      <c r="A35" s="12" t="s">
        <v>116</v>
      </c>
      <c r="B35" s="12" t="s">
        <v>312</v>
      </c>
      <c r="C35" s="12" t="s">
        <v>117</v>
      </c>
      <c r="D35" s="26" t="str">
        <f aca="false">IFERROR(IF(INDEX(Rank_Changes!$P$2:$P$1090,MATCH($A35&amp;"|"&amp;"USA",Rank_Changes!$U$2:$U$1090,0))="","–",INDEX(Rank_Changes!$P$2:$P$1090,MATCH($A35&amp;"|"&amp;"USA",Rank_Changes!$U$2:$U$1090,0))),"–")</f>
        <v>–</v>
      </c>
      <c r="E35" s="26" t="str">
        <f aca="false">IFERROR(IF(INDEX(Rank_Changes!$P$2:$P$1090,MATCH($A35&amp;"|"&amp;"GBR",Rank_Changes!$U$2:$U$1090,0))="","–",INDEX(Rank_Changes!$P$2:$P$1090,MATCH($A35&amp;"|"&amp;"GBR",Rank_Changes!$U$2:$U$1090,0))),"–")</f>
        <v>–</v>
      </c>
      <c r="F35" s="26" t="str">
        <f aca="false">IFERROR(IF(INDEX(Rank_Changes!$P$2:$P$1090,MATCH($A35&amp;"|"&amp;"DEU",Rank_Changes!$U$2:$U$1090,0))="","–",INDEX(Rank_Changes!$P$2:$P$1090,MATCH($A35&amp;"|"&amp;"DEU",Rank_Changes!$U$2:$U$1090,0))),"–")</f>
        <v>–</v>
      </c>
      <c r="G35" s="26" t="str">
        <f aca="false">IFERROR(IF(INDEX(Rank_Changes!$P$2:$P$1090,MATCH($A35&amp;"|"&amp;"SWE",Rank_Changes!$U$2:$U$1090,0))="","–",INDEX(Rank_Changes!$P$2:$P$1090,MATCH($A35&amp;"|"&amp;"SWE",Rank_Changes!$U$2:$U$1090,0))),"–")</f>
        <v>–</v>
      </c>
      <c r="H35" s="26" t="str">
        <f aca="false">IFERROR(IF(INDEX(Rank_Changes!$P$2:$P$1090,MATCH($A35&amp;"|"&amp;"FRA",Rank_Changes!$U$2:$U$1090,0))="","–",INDEX(Rank_Changes!$P$2:$P$1090,MATCH($A35&amp;"|"&amp;"FRA",Rank_Changes!$U$2:$U$1090,0))),"–")</f>
        <v>–</v>
      </c>
      <c r="I35" s="26" t="str">
        <f aca="false">IFERROR(IF(INDEX(Rank_Changes!$P$2:$P$1090,MATCH($A35&amp;"|"&amp;"NLD",Rank_Changes!$U$2:$U$1090,0))="","–",INDEX(Rank_Changes!$P$2:$P$1090,MATCH($A35&amp;"|"&amp;"NLD",Rank_Changes!$U$2:$U$1090,0))),"–")</f>
        <v>–</v>
      </c>
      <c r="J35" s="26" t="str">
        <f aca="false">IFERROR(IF(INDEX(Rank_Changes!$P$2:$P$1090,MATCH($A35&amp;"|"&amp;"CHE",Rank_Changes!$U$2:$U$1090,0))="","–",INDEX(Rank_Changes!$P$2:$P$1090,MATCH($A35&amp;"|"&amp;"CHE",Rank_Changes!$U$2:$U$1090,0))),"–")</f>
        <v>–</v>
      </c>
      <c r="K35" s="26" t="str">
        <f aca="false">IFERROR(IF(INDEX(Rank_Changes!$P$2:$P$1090,MATCH($A35&amp;"|"&amp;"DNK",Rank_Changes!$U$2:$U$1090,0))="","–",INDEX(Rank_Changes!$P$2:$P$1090,MATCH($A35&amp;"|"&amp;"DNK",Rank_Changes!$U$2:$U$1090,0))),"–")</f>
        <v>–</v>
      </c>
      <c r="L35" s="26" t="str">
        <f aca="false">IFERROR(IF(INDEX(Rank_Changes!$P$2:$P$1090,MATCH($A35&amp;"|"&amp;"CAN",Rank_Changes!$U$2:$U$1090,0))="","–",INDEX(Rank_Changes!$P$2:$P$1090,MATCH($A35&amp;"|"&amp;"CAN",Rank_Changes!$U$2:$U$1090,0))),"–")</f>
        <v>–</v>
      </c>
      <c r="M35" s="26" t="str">
        <f aca="false">IFERROR(IF(INDEX(Rank_Changes!$P$2:$P$1090,MATCH($A35&amp;"|"&amp;"JPN",Rank_Changes!$U$2:$U$1090,0))="","–",INDEX(Rank_Changes!$P$2:$P$1090,MATCH($A35&amp;"|"&amp;"JPN",Rank_Changes!$U$2:$U$1090,0))),"–")</f>
        <v>–</v>
      </c>
      <c r="N35" s="26" t="str">
        <f aca="false">IFERROR(IF(INDEX(Rank_Changes!$P$2:$P$1090,MATCH($A35&amp;"|"&amp;"AUS",Rank_Changes!$U$2:$U$1090,0))="","–",INDEX(Rank_Changes!$P$2:$P$1090,MATCH($A35&amp;"|"&amp;"AUS",Rank_Changes!$U$2:$U$1090,0))),"–")</f>
        <v>–</v>
      </c>
    </row>
    <row r="36" customFormat="false" ht="15" hidden="false" customHeight="false" outlineLevel="0" collapsed="false">
      <c r="A36" s="12" t="s">
        <v>118</v>
      </c>
      <c r="B36" s="12" t="s">
        <v>312</v>
      </c>
      <c r="C36" s="12" t="s">
        <v>119</v>
      </c>
      <c r="D36" s="26" t="str">
        <f aca="false">IFERROR(IF(INDEX(Rank_Changes!$P$2:$P$1090,MATCH($A36&amp;"|"&amp;"USA",Rank_Changes!$U$2:$U$1090,0))="","–",INDEX(Rank_Changes!$P$2:$P$1090,MATCH($A36&amp;"|"&amp;"USA",Rank_Changes!$U$2:$U$1090,0))),"–")</f>
        <v>–</v>
      </c>
      <c r="E36" s="26" t="str">
        <f aca="false">IFERROR(IF(INDEX(Rank_Changes!$P$2:$P$1090,MATCH($A36&amp;"|"&amp;"GBR",Rank_Changes!$U$2:$U$1090,0))="","–",INDEX(Rank_Changes!$P$2:$P$1090,MATCH($A36&amp;"|"&amp;"GBR",Rank_Changes!$U$2:$U$1090,0))),"–")</f>
        <v>–</v>
      </c>
      <c r="F36" s="26" t="str">
        <f aca="false">IFERROR(IF(INDEX(Rank_Changes!$P$2:$P$1090,MATCH($A36&amp;"|"&amp;"DEU",Rank_Changes!$U$2:$U$1090,0))="","–",INDEX(Rank_Changes!$P$2:$P$1090,MATCH($A36&amp;"|"&amp;"DEU",Rank_Changes!$U$2:$U$1090,0))),"–")</f>
        <v>–</v>
      </c>
      <c r="G36" s="26" t="str">
        <f aca="false">IFERROR(IF(INDEX(Rank_Changes!$P$2:$P$1090,MATCH($A36&amp;"|"&amp;"SWE",Rank_Changes!$U$2:$U$1090,0))="","–",INDEX(Rank_Changes!$P$2:$P$1090,MATCH($A36&amp;"|"&amp;"SWE",Rank_Changes!$U$2:$U$1090,0))),"–")</f>
        <v>–</v>
      </c>
      <c r="H36" s="26" t="str">
        <f aca="false">IFERROR(IF(INDEX(Rank_Changes!$P$2:$P$1090,MATCH($A36&amp;"|"&amp;"FRA",Rank_Changes!$U$2:$U$1090,0))="","–",INDEX(Rank_Changes!$P$2:$P$1090,MATCH($A36&amp;"|"&amp;"FRA",Rank_Changes!$U$2:$U$1090,0))),"–")</f>
        <v>–</v>
      </c>
      <c r="I36" s="26" t="str">
        <f aca="false">IFERROR(IF(INDEX(Rank_Changes!$P$2:$P$1090,MATCH($A36&amp;"|"&amp;"NLD",Rank_Changes!$U$2:$U$1090,0))="","–",INDEX(Rank_Changes!$P$2:$P$1090,MATCH($A36&amp;"|"&amp;"NLD",Rank_Changes!$U$2:$U$1090,0))),"–")</f>
        <v>–</v>
      </c>
      <c r="J36" s="26" t="str">
        <f aca="false">IFERROR(IF(INDEX(Rank_Changes!$P$2:$P$1090,MATCH($A36&amp;"|"&amp;"CHE",Rank_Changes!$U$2:$U$1090,0))="","–",INDEX(Rank_Changes!$P$2:$P$1090,MATCH($A36&amp;"|"&amp;"CHE",Rank_Changes!$U$2:$U$1090,0))),"–")</f>
        <v>–</v>
      </c>
      <c r="K36" s="26" t="str">
        <f aca="false">IFERROR(IF(INDEX(Rank_Changes!$P$2:$P$1090,MATCH($A36&amp;"|"&amp;"DNK",Rank_Changes!$U$2:$U$1090,0))="","–",INDEX(Rank_Changes!$P$2:$P$1090,MATCH($A36&amp;"|"&amp;"DNK",Rank_Changes!$U$2:$U$1090,0))),"–")</f>
        <v>–</v>
      </c>
      <c r="L36" s="26" t="str">
        <f aca="false">IFERROR(IF(INDEX(Rank_Changes!$P$2:$P$1090,MATCH($A36&amp;"|"&amp;"CAN",Rank_Changes!$U$2:$U$1090,0))="","–",INDEX(Rank_Changes!$P$2:$P$1090,MATCH($A36&amp;"|"&amp;"CAN",Rank_Changes!$U$2:$U$1090,0))),"–")</f>
        <v>–</v>
      </c>
      <c r="M36" s="26" t="str">
        <f aca="false">IFERROR(IF(INDEX(Rank_Changes!$P$2:$P$1090,MATCH($A36&amp;"|"&amp;"JPN",Rank_Changes!$U$2:$U$1090,0))="","–",INDEX(Rank_Changes!$P$2:$P$1090,MATCH($A36&amp;"|"&amp;"JPN",Rank_Changes!$U$2:$U$1090,0))),"–")</f>
        <v>–</v>
      </c>
      <c r="N36" s="26" t="str">
        <f aca="false">IFERROR(IF(INDEX(Rank_Changes!$P$2:$P$1090,MATCH($A36&amp;"|"&amp;"AUS",Rank_Changes!$U$2:$U$1090,0))="","–",INDEX(Rank_Changes!$P$2:$P$1090,MATCH($A36&amp;"|"&amp;"AUS",Rank_Changes!$U$2:$U$1090,0))),"–")</f>
        <v>–</v>
      </c>
    </row>
    <row r="37" customFormat="false" ht="15" hidden="false" customHeight="false" outlineLevel="0" collapsed="false">
      <c r="A37" s="12" t="s">
        <v>120</v>
      </c>
      <c r="B37" s="12" t="s">
        <v>312</v>
      </c>
      <c r="C37" s="12" t="s">
        <v>121</v>
      </c>
      <c r="D37" s="26" t="n">
        <f aca="false">IFERROR(IF(INDEX(Rank_Changes!$P$2:$P$1090,MATCH($A37&amp;"|"&amp;"USA",Rank_Changes!$U$2:$U$1090,0))="","–",INDEX(Rank_Changes!$P$2:$P$1090,MATCH($A37&amp;"|"&amp;"USA",Rank_Changes!$U$2:$U$1090,0))),"–")</f>
        <v>3</v>
      </c>
      <c r="E37" s="26" t="n">
        <f aca="false">IFERROR(IF(INDEX(Rank_Changes!$P$2:$P$1090,MATCH($A37&amp;"|"&amp;"GBR",Rank_Changes!$U$2:$U$1090,0))="","–",INDEX(Rank_Changes!$P$2:$P$1090,MATCH($A37&amp;"|"&amp;"GBR",Rank_Changes!$U$2:$U$1090,0))),"–")</f>
        <v>1</v>
      </c>
      <c r="F37" s="26" t="n">
        <f aca="false">IFERROR(IF(INDEX(Rank_Changes!$P$2:$P$1090,MATCH($A37&amp;"|"&amp;"DEU",Rank_Changes!$U$2:$U$1090,0))="","–",INDEX(Rank_Changes!$P$2:$P$1090,MATCH($A37&amp;"|"&amp;"DEU",Rank_Changes!$U$2:$U$1090,0))),"–")</f>
        <v>-3</v>
      </c>
      <c r="G37" s="26" t="n">
        <f aca="false">IFERROR(IF(INDEX(Rank_Changes!$P$2:$P$1090,MATCH($A37&amp;"|"&amp;"SWE",Rank_Changes!$U$2:$U$1090,0))="","–",INDEX(Rank_Changes!$P$2:$P$1090,MATCH($A37&amp;"|"&amp;"SWE",Rank_Changes!$U$2:$U$1090,0))),"–")</f>
        <v>-2</v>
      </c>
      <c r="H37" s="26" t="n">
        <f aca="false">IFERROR(IF(INDEX(Rank_Changes!$P$2:$P$1090,MATCH($A37&amp;"|"&amp;"FRA",Rank_Changes!$U$2:$U$1090,0))="","–",INDEX(Rank_Changes!$P$2:$P$1090,MATCH($A37&amp;"|"&amp;"FRA",Rank_Changes!$U$2:$U$1090,0))),"–")</f>
        <v>-1</v>
      </c>
      <c r="I37" s="26" t="n">
        <f aca="false">IFERROR(IF(INDEX(Rank_Changes!$P$2:$P$1090,MATCH($A37&amp;"|"&amp;"NLD",Rank_Changes!$U$2:$U$1090,0))="","–",INDEX(Rank_Changes!$P$2:$P$1090,MATCH($A37&amp;"|"&amp;"NLD",Rank_Changes!$U$2:$U$1090,0))),"–")</f>
        <v>-3</v>
      </c>
      <c r="J37" s="26" t="n">
        <f aca="false">IFERROR(IF(INDEX(Rank_Changes!$P$2:$P$1090,MATCH($A37&amp;"|"&amp;"CHE",Rank_Changes!$U$2:$U$1090,0))="","–",INDEX(Rank_Changes!$P$2:$P$1090,MATCH($A37&amp;"|"&amp;"CHE",Rank_Changes!$U$2:$U$1090,0))),"–")</f>
        <v>0</v>
      </c>
      <c r="K37" s="26" t="str">
        <f aca="false">IFERROR(IF(INDEX(Rank_Changes!$P$2:$P$1090,MATCH($A37&amp;"|"&amp;"DNK",Rank_Changes!$U$2:$U$1090,0))="","–",INDEX(Rank_Changes!$P$2:$P$1090,MATCH($A37&amp;"|"&amp;"DNK",Rank_Changes!$U$2:$U$1090,0))),"–")</f>
        <v>–</v>
      </c>
      <c r="L37" s="26" t="n">
        <f aca="false">IFERROR(IF(INDEX(Rank_Changes!$P$2:$P$1090,MATCH($A37&amp;"|"&amp;"CAN",Rank_Changes!$U$2:$U$1090,0))="","–",INDEX(Rank_Changes!$P$2:$P$1090,MATCH($A37&amp;"|"&amp;"CAN",Rank_Changes!$U$2:$U$1090,0))),"–")</f>
        <v>0</v>
      </c>
      <c r="M37" s="26" t="n">
        <f aca="false">IFERROR(IF(INDEX(Rank_Changes!$P$2:$P$1090,MATCH($A37&amp;"|"&amp;"JPN",Rank_Changes!$U$2:$U$1090,0))="","–",INDEX(Rank_Changes!$P$2:$P$1090,MATCH($A37&amp;"|"&amp;"JPN",Rank_Changes!$U$2:$U$1090,0))),"–")</f>
        <v>3</v>
      </c>
      <c r="N37" s="26" t="n">
        <f aca="false">IFERROR(IF(INDEX(Rank_Changes!$P$2:$P$1090,MATCH($A37&amp;"|"&amp;"AUS",Rank_Changes!$U$2:$U$1090,0))="","–",INDEX(Rank_Changes!$P$2:$P$1090,MATCH($A37&amp;"|"&amp;"AUS",Rank_Changes!$U$2:$U$1090,0))),"–")</f>
        <v>2</v>
      </c>
    </row>
    <row r="38" customFormat="false" ht="15" hidden="false" customHeight="false" outlineLevel="0" collapsed="false">
      <c r="A38" s="12" t="s">
        <v>122</v>
      </c>
      <c r="B38" s="12" t="s">
        <v>312</v>
      </c>
      <c r="C38" s="12" t="s">
        <v>123</v>
      </c>
      <c r="D38" s="26" t="n">
        <f aca="false">IFERROR(IF(INDEX(Rank_Changes!$P$2:$P$1090,MATCH($A38&amp;"|"&amp;"USA",Rank_Changes!$U$2:$U$1090,0))="","–",INDEX(Rank_Changes!$P$2:$P$1090,MATCH($A38&amp;"|"&amp;"USA",Rank_Changes!$U$2:$U$1090,0))),"–")</f>
        <v>0</v>
      </c>
      <c r="E38" s="26" t="n">
        <f aca="false">IFERROR(IF(INDEX(Rank_Changes!$P$2:$P$1090,MATCH($A38&amp;"|"&amp;"GBR",Rank_Changes!$U$2:$U$1090,0))="","–",INDEX(Rank_Changes!$P$2:$P$1090,MATCH($A38&amp;"|"&amp;"GBR",Rank_Changes!$U$2:$U$1090,0))),"–")</f>
        <v>1</v>
      </c>
      <c r="F38" s="26" t="n">
        <f aca="false">IFERROR(IF(INDEX(Rank_Changes!$P$2:$P$1090,MATCH($A38&amp;"|"&amp;"DEU",Rank_Changes!$U$2:$U$1090,0))="","–",INDEX(Rank_Changes!$P$2:$P$1090,MATCH($A38&amp;"|"&amp;"DEU",Rank_Changes!$U$2:$U$1090,0))),"–")</f>
        <v>0</v>
      </c>
      <c r="G38" s="26" t="n">
        <f aca="false">IFERROR(IF(INDEX(Rank_Changes!$P$2:$P$1090,MATCH($A38&amp;"|"&amp;"SWE",Rank_Changes!$U$2:$U$1090,0))="","–",INDEX(Rank_Changes!$P$2:$P$1090,MATCH($A38&amp;"|"&amp;"SWE",Rank_Changes!$U$2:$U$1090,0))),"–")</f>
        <v>1</v>
      </c>
      <c r="H38" s="26" t="n">
        <f aca="false">IFERROR(IF(INDEX(Rank_Changes!$P$2:$P$1090,MATCH($A38&amp;"|"&amp;"FRA",Rank_Changes!$U$2:$U$1090,0))="","–",INDEX(Rank_Changes!$P$2:$P$1090,MATCH($A38&amp;"|"&amp;"FRA",Rank_Changes!$U$2:$U$1090,0))),"–")</f>
        <v>2</v>
      </c>
      <c r="I38" s="26" t="n">
        <f aca="false">IFERROR(IF(INDEX(Rank_Changes!$P$2:$P$1090,MATCH($A38&amp;"|"&amp;"NLD",Rank_Changes!$U$2:$U$1090,0))="","–",INDEX(Rank_Changes!$P$2:$P$1090,MATCH($A38&amp;"|"&amp;"NLD",Rank_Changes!$U$2:$U$1090,0))),"–")</f>
        <v>1</v>
      </c>
      <c r="J38" s="26" t="str">
        <f aca="false">IFERROR(IF(INDEX(Rank_Changes!$P$2:$P$1090,MATCH($A38&amp;"|"&amp;"CHE",Rank_Changes!$U$2:$U$1090,0))="","–",INDEX(Rank_Changes!$P$2:$P$1090,MATCH($A38&amp;"|"&amp;"CHE",Rank_Changes!$U$2:$U$1090,0))),"–")</f>
        <v>–</v>
      </c>
      <c r="K38" s="26" t="str">
        <f aca="false">IFERROR(IF(INDEX(Rank_Changes!$P$2:$P$1090,MATCH($A38&amp;"|"&amp;"DNK",Rank_Changes!$U$2:$U$1090,0))="","–",INDEX(Rank_Changes!$P$2:$P$1090,MATCH($A38&amp;"|"&amp;"DNK",Rank_Changes!$U$2:$U$1090,0))),"–")</f>
        <v>–</v>
      </c>
      <c r="L38" s="26" t="n">
        <f aca="false">IFERROR(IF(INDEX(Rank_Changes!$P$2:$P$1090,MATCH($A38&amp;"|"&amp;"CAN",Rank_Changes!$U$2:$U$1090,0))="","–",INDEX(Rank_Changes!$P$2:$P$1090,MATCH($A38&amp;"|"&amp;"CAN",Rank_Changes!$U$2:$U$1090,0))),"–")</f>
        <v>-2</v>
      </c>
      <c r="M38" s="26" t="n">
        <f aca="false">IFERROR(IF(INDEX(Rank_Changes!$P$2:$P$1090,MATCH($A38&amp;"|"&amp;"JPN",Rank_Changes!$U$2:$U$1090,0))="","–",INDEX(Rank_Changes!$P$2:$P$1090,MATCH($A38&amp;"|"&amp;"JPN",Rank_Changes!$U$2:$U$1090,0))),"–")</f>
        <v>-2</v>
      </c>
      <c r="N38" s="26" t="n">
        <f aca="false">IFERROR(IF(INDEX(Rank_Changes!$P$2:$P$1090,MATCH($A38&amp;"|"&amp;"AUS",Rank_Changes!$U$2:$U$1090,0))="","–",INDEX(Rank_Changes!$P$2:$P$1090,MATCH($A38&amp;"|"&amp;"AUS",Rank_Changes!$U$2:$U$1090,0))),"–")</f>
        <v>-1</v>
      </c>
    </row>
    <row r="39" customFormat="false" ht="15" hidden="false" customHeight="false" outlineLevel="0" collapsed="false">
      <c r="A39" s="12" t="s">
        <v>124</v>
      </c>
      <c r="B39" s="12" t="s">
        <v>312</v>
      </c>
      <c r="C39" s="12" t="s">
        <v>125</v>
      </c>
      <c r="D39" s="26" t="n">
        <f aca="false">IFERROR(IF(INDEX(Rank_Changes!$P$2:$P$1090,MATCH($A39&amp;"|"&amp;"USA",Rank_Changes!$U$2:$U$1090,0))="","–",INDEX(Rank_Changes!$P$2:$P$1090,MATCH($A39&amp;"|"&amp;"USA",Rank_Changes!$U$2:$U$1090,0))),"–")</f>
        <v>0</v>
      </c>
      <c r="E39" s="26" t="n">
        <f aca="false">IFERROR(IF(INDEX(Rank_Changes!$P$2:$P$1090,MATCH($A39&amp;"|"&amp;"GBR",Rank_Changes!$U$2:$U$1090,0))="","–",INDEX(Rank_Changes!$P$2:$P$1090,MATCH($A39&amp;"|"&amp;"GBR",Rank_Changes!$U$2:$U$1090,0))),"–")</f>
        <v>0</v>
      </c>
      <c r="F39" s="26" t="n">
        <f aca="false">IFERROR(IF(INDEX(Rank_Changes!$P$2:$P$1090,MATCH($A39&amp;"|"&amp;"DEU",Rank_Changes!$U$2:$U$1090,0))="","–",INDEX(Rank_Changes!$P$2:$P$1090,MATCH($A39&amp;"|"&amp;"DEU",Rank_Changes!$U$2:$U$1090,0))),"–")</f>
        <v>0</v>
      </c>
      <c r="G39" s="26" t="n">
        <f aca="false">IFERROR(IF(INDEX(Rank_Changes!$P$2:$P$1090,MATCH($A39&amp;"|"&amp;"SWE",Rank_Changes!$U$2:$U$1090,0))="","–",INDEX(Rank_Changes!$P$2:$P$1090,MATCH($A39&amp;"|"&amp;"SWE",Rank_Changes!$U$2:$U$1090,0))),"–")</f>
        <v>0</v>
      </c>
      <c r="H39" s="26" t="n">
        <f aca="false">IFERROR(IF(INDEX(Rank_Changes!$P$2:$P$1090,MATCH($A39&amp;"|"&amp;"FRA",Rank_Changes!$U$2:$U$1090,0))="","–",INDEX(Rank_Changes!$P$2:$P$1090,MATCH($A39&amp;"|"&amp;"FRA",Rank_Changes!$U$2:$U$1090,0))),"–")</f>
        <v>-1</v>
      </c>
      <c r="I39" s="26" t="n">
        <f aca="false">IFERROR(IF(INDEX(Rank_Changes!$P$2:$P$1090,MATCH($A39&amp;"|"&amp;"NLD",Rank_Changes!$U$2:$U$1090,0))="","–",INDEX(Rank_Changes!$P$2:$P$1090,MATCH($A39&amp;"|"&amp;"NLD",Rank_Changes!$U$2:$U$1090,0))),"–")</f>
        <v>0</v>
      </c>
      <c r="J39" s="26" t="str">
        <f aca="false">IFERROR(IF(INDEX(Rank_Changes!$P$2:$P$1090,MATCH($A39&amp;"|"&amp;"CHE",Rank_Changes!$U$2:$U$1090,0))="","–",INDEX(Rank_Changes!$P$2:$P$1090,MATCH($A39&amp;"|"&amp;"CHE",Rank_Changes!$U$2:$U$1090,0))),"–")</f>
        <v>–</v>
      </c>
      <c r="K39" s="26" t="n">
        <f aca="false">IFERROR(IF(INDEX(Rank_Changes!$P$2:$P$1090,MATCH($A39&amp;"|"&amp;"DNK",Rank_Changes!$U$2:$U$1090,0))="","–",INDEX(Rank_Changes!$P$2:$P$1090,MATCH($A39&amp;"|"&amp;"DNK",Rank_Changes!$U$2:$U$1090,0))),"–")</f>
        <v>1</v>
      </c>
      <c r="L39" s="26" t="n">
        <f aca="false">IFERROR(IF(INDEX(Rank_Changes!$P$2:$P$1090,MATCH($A39&amp;"|"&amp;"CAN",Rank_Changes!$U$2:$U$1090,0))="","–",INDEX(Rank_Changes!$P$2:$P$1090,MATCH($A39&amp;"|"&amp;"CAN",Rank_Changes!$U$2:$U$1090,0))),"–")</f>
        <v>2</v>
      </c>
      <c r="M39" s="26" t="str">
        <f aca="false">IFERROR(IF(INDEX(Rank_Changes!$P$2:$P$1090,MATCH($A39&amp;"|"&amp;"JPN",Rank_Changes!$U$2:$U$1090,0))="","–",INDEX(Rank_Changes!$P$2:$P$1090,MATCH($A39&amp;"|"&amp;"JPN",Rank_Changes!$U$2:$U$1090,0))),"–")</f>
        <v>–</v>
      </c>
      <c r="N39" s="26" t="n">
        <f aca="false">IFERROR(IF(INDEX(Rank_Changes!$P$2:$P$1090,MATCH($A39&amp;"|"&amp;"AUS",Rank_Changes!$U$2:$U$1090,0))="","–",INDEX(Rank_Changes!$P$2:$P$1090,MATCH($A39&amp;"|"&amp;"AUS",Rank_Changes!$U$2:$U$1090,0))),"–")</f>
        <v>-2</v>
      </c>
    </row>
    <row r="40" customFormat="false" ht="15" hidden="false" customHeight="false" outlineLevel="0" collapsed="false">
      <c r="A40" s="12" t="s">
        <v>126</v>
      </c>
      <c r="B40" s="12" t="s">
        <v>312</v>
      </c>
      <c r="C40" s="12" t="s">
        <v>127</v>
      </c>
      <c r="D40" s="26" t="n">
        <f aca="false">IFERROR(IF(INDEX(Rank_Changes!$P$2:$P$1090,MATCH($A40&amp;"|"&amp;"USA",Rank_Changes!$U$2:$U$1090,0))="","–",INDEX(Rank_Changes!$P$2:$P$1090,MATCH($A40&amp;"|"&amp;"USA",Rank_Changes!$U$2:$U$1090,0))),"–")</f>
        <v>0</v>
      </c>
      <c r="E40" s="26" t="n">
        <f aca="false">IFERROR(IF(INDEX(Rank_Changes!$P$2:$P$1090,MATCH($A40&amp;"|"&amp;"GBR",Rank_Changes!$U$2:$U$1090,0))="","–",INDEX(Rank_Changes!$P$2:$P$1090,MATCH($A40&amp;"|"&amp;"GBR",Rank_Changes!$U$2:$U$1090,0))),"–")</f>
        <v>-1</v>
      </c>
      <c r="F40" s="26" t="n">
        <f aca="false">IFERROR(IF(INDEX(Rank_Changes!$P$2:$P$1090,MATCH($A40&amp;"|"&amp;"DEU",Rank_Changes!$U$2:$U$1090,0))="","–",INDEX(Rank_Changes!$P$2:$P$1090,MATCH($A40&amp;"|"&amp;"DEU",Rank_Changes!$U$2:$U$1090,0))),"–")</f>
        <v>1</v>
      </c>
      <c r="G40" s="26" t="str">
        <f aca="false">IFERROR(IF(INDEX(Rank_Changes!$P$2:$P$1090,MATCH($A40&amp;"|"&amp;"SWE",Rank_Changes!$U$2:$U$1090,0))="","–",INDEX(Rank_Changes!$P$2:$P$1090,MATCH($A40&amp;"|"&amp;"SWE",Rank_Changes!$U$2:$U$1090,0))),"–")</f>
        <v>–</v>
      </c>
      <c r="H40" s="26" t="n">
        <f aca="false">IFERROR(IF(INDEX(Rank_Changes!$P$2:$P$1090,MATCH($A40&amp;"|"&amp;"FRA",Rank_Changes!$U$2:$U$1090,0))="","–",INDEX(Rank_Changes!$P$2:$P$1090,MATCH($A40&amp;"|"&amp;"FRA",Rank_Changes!$U$2:$U$1090,0))),"–")</f>
        <v>2</v>
      </c>
      <c r="I40" s="26" t="n">
        <f aca="false">IFERROR(IF(INDEX(Rank_Changes!$P$2:$P$1090,MATCH($A40&amp;"|"&amp;"NLD",Rank_Changes!$U$2:$U$1090,0))="","–",INDEX(Rank_Changes!$P$2:$P$1090,MATCH($A40&amp;"|"&amp;"NLD",Rank_Changes!$U$2:$U$1090,0))),"–")</f>
        <v>0</v>
      </c>
      <c r="J40" s="26" t="str">
        <f aca="false">IFERROR(IF(INDEX(Rank_Changes!$P$2:$P$1090,MATCH($A40&amp;"|"&amp;"CHE",Rank_Changes!$U$2:$U$1090,0))="","–",INDEX(Rank_Changes!$P$2:$P$1090,MATCH($A40&amp;"|"&amp;"CHE",Rank_Changes!$U$2:$U$1090,0))),"–")</f>
        <v>–</v>
      </c>
      <c r="K40" s="26" t="n">
        <f aca="false">IFERROR(IF(INDEX(Rank_Changes!$P$2:$P$1090,MATCH($A40&amp;"|"&amp;"DNK",Rank_Changes!$U$2:$U$1090,0))="","–",INDEX(Rank_Changes!$P$2:$P$1090,MATCH($A40&amp;"|"&amp;"DNK",Rank_Changes!$U$2:$U$1090,0))),"–")</f>
        <v>0</v>
      </c>
      <c r="L40" s="26" t="n">
        <f aca="false">IFERROR(IF(INDEX(Rank_Changes!$P$2:$P$1090,MATCH($A40&amp;"|"&amp;"CAN",Rank_Changes!$U$2:$U$1090,0))="","–",INDEX(Rank_Changes!$P$2:$P$1090,MATCH($A40&amp;"|"&amp;"CAN",Rank_Changes!$U$2:$U$1090,0))),"–")</f>
        <v>-1</v>
      </c>
      <c r="M40" s="26" t="n">
        <f aca="false">IFERROR(IF(INDEX(Rank_Changes!$P$2:$P$1090,MATCH($A40&amp;"|"&amp;"JPN",Rank_Changes!$U$2:$U$1090,0))="","–",INDEX(Rank_Changes!$P$2:$P$1090,MATCH($A40&amp;"|"&amp;"JPN",Rank_Changes!$U$2:$U$1090,0))),"–")</f>
        <v>-1</v>
      </c>
      <c r="N40" s="26" t="n">
        <f aca="false">IFERROR(IF(INDEX(Rank_Changes!$P$2:$P$1090,MATCH($A40&amp;"|"&amp;"AUS",Rank_Changes!$U$2:$U$1090,0))="","–",INDEX(Rank_Changes!$P$2:$P$1090,MATCH($A40&amp;"|"&amp;"AUS",Rank_Changes!$U$2:$U$1090,0))),"–")</f>
        <v>0</v>
      </c>
    </row>
    <row r="41" customFormat="false" ht="15" hidden="false" customHeight="false" outlineLevel="0" collapsed="false">
      <c r="A41" s="12" t="s">
        <v>128</v>
      </c>
      <c r="B41" s="12" t="s">
        <v>312</v>
      </c>
      <c r="C41" s="12" t="s">
        <v>129</v>
      </c>
      <c r="D41" s="26" t="n">
        <f aca="false">IFERROR(IF(INDEX(Rank_Changes!$P$2:$P$1090,MATCH($A41&amp;"|"&amp;"USA",Rank_Changes!$U$2:$U$1090,0))="","–",INDEX(Rank_Changes!$P$2:$P$1090,MATCH($A41&amp;"|"&amp;"USA",Rank_Changes!$U$2:$U$1090,0))),"–")</f>
        <v>-1</v>
      </c>
      <c r="E41" s="26" t="n">
        <f aca="false">IFERROR(IF(INDEX(Rank_Changes!$P$2:$P$1090,MATCH($A41&amp;"|"&amp;"GBR",Rank_Changes!$U$2:$U$1090,0))="","–",INDEX(Rank_Changes!$P$2:$P$1090,MATCH($A41&amp;"|"&amp;"GBR",Rank_Changes!$U$2:$U$1090,0))),"–")</f>
        <v>1</v>
      </c>
      <c r="F41" s="26" t="n">
        <f aca="false">IFERROR(IF(INDEX(Rank_Changes!$P$2:$P$1090,MATCH($A41&amp;"|"&amp;"DEU",Rank_Changes!$U$2:$U$1090,0))="","–",INDEX(Rank_Changes!$P$2:$P$1090,MATCH($A41&amp;"|"&amp;"DEU",Rank_Changes!$U$2:$U$1090,0))),"–")</f>
        <v>2</v>
      </c>
      <c r="G41" s="26" t="n">
        <f aca="false">IFERROR(IF(INDEX(Rank_Changes!$P$2:$P$1090,MATCH($A41&amp;"|"&amp;"SWE",Rank_Changes!$U$2:$U$1090,0))="","–",INDEX(Rank_Changes!$P$2:$P$1090,MATCH($A41&amp;"|"&amp;"SWE",Rank_Changes!$U$2:$U$1090,0))),"–")</f>
        <v>1</v>
      </c>
      <c r="H41" s="26" t="n">
        <f aca="false">IFERROR(IF(INDEX(Rank_Changes!$P$2:$P$1090,MATCH($A41&amp;"|"&amp;"FRA",Rank_Changes!$U$2:$U$1090,0))="","–",INDEX(Rank_Changes!$P$2:$P$1090,MATCH($A41&amp;"|"&amp;"FRA",Rank_Changes!$U$2:$U$1090,0))),"–")</f>
        <v>-2</v>
      </c>
      <c r="I41" s="26" t="n">
        <f aca="false">IFERROR(IF(INDEX(Rank_Changes!$P$2:$P$1090,MATCH($A41&amp;"|"&amp;"NLD",Rank_Changes!$U$2:$U$1090,0))="","–",INDEX(Rank_Changes!$P$2:$P$1090,MATCH($A41&amp;"|"&amp;"NLD",Rank_Changes!$U$2:$U$1090,0))),"–")</f>
        <v>0</v>
      </c>
      <c r="J41" s="26" t="n">
        <f aca="false">IFERROR(IF(INDEX(Rank_Changes!$P$2:$P$1090,MATCH($A41&amp;"|"&amp;"CHE",Rank_Changes!$U$2:$U$1090,0))="","–",INDEX(Rank_Changes!$P$2:$P$1090,MATCH($A41&amp;"|"&amp;"CHE",Rank_Changes!$U$2:$U$1090,0))),"–")</f>
        <v>1</v>
      </c>
      <c r="K41" s="26" t="n">
        <f aca="false">IFERROR(IF(INDEX(Rank_Changes!$P$2:$P$1090,MATCH($A41&amp;"|"&amp;"DNK",Rank_Changes!$U$2:$U$1090,0))="","–",INDEX(Rank_Changes!$P$2:$P$1090,MATCH($A41&amp;"|"&amp;"DNK",Rank_Changes!$U$2:$U$1090,0))),"–")</f>
        <v>0</v>
      </c>
      <c r="L41" s="26" t="n">
        <f aca="false">IFERROR(IF(INDEX(Rank_Changes!$P$2:$P$1090,MATCH($A41&amp;"|"&amp;"CAN",Rank_Changes!$U$2:$U$1090,0))="","–",INDEX(Rank_Changes!$P$2:$P$1090,MATCH($A41&amp;"|"&amp;"CAN",Rank_Changes!$U$2:$U$1090,0))),"–")</f>
        <v>-1</v>
      </c>
      <c r="M41" s="26" t="n">
        <f aca="false">IFERROR(IF(INDEX(Rank_Changes!$P$2:$P$1090,MATCH($A41&amp;"|"&amp;"JPN",Rank_Changes!$U$2:$U$1090,0))="","–",INDEX(Rank_Changes!$P$2:$P$1090,MATCH($A41&amp;"|"&amp;"JPN",Rank_Changes!$U$2:$U$1090,0))),"–")</f>
        <v>0</v>
      </c>
      <c r="N41" s="26" t="n">
        <f aca="false">IFERROR(IF(INDEX(Rank_Changes!$P$2:$P$1090,MATCH($A41&amp;"|"&amp;"AUS",Rank_Changes!$U$2:$U$1090,0))="","–",INDEX(Rank_Changes!$P$2:$P$1090,MATCH($A41&amp;"|"&amp;"AUS",Rank_Changes!$U$2:$U$1090,0))),"–")</f>
        <v>-1</v>
      </c>
    </row>
    <row r="42" customFormat="false" ht="15" hidden="false" customHeight="false" outlineLevel="0" collapsed="false">
      <c r="A42" s="12" t="s">
        <v>130</v>
      </c>
      <c r="B42" s="12" t="s">
        <v>312</v>
      </c>
      <c r="C42" s="12" t="s">
        <v>131</v>
      </c>
      <c r="D42" s="26" t="n">
        <f aca="false">IFERROR(IF(INDEX(Rank_Changes!$P$2:$P$1090,MATCH($A42&amp;"|"&amp;"USA",Rank_Changes!$U$2:$U$1090,0))="","–",INDEX(Rank_Changes!$P$2:$P$1090,MATCH($A42&amp;"|"&amp;"USA",Rank_Changes!$U$2:$U$1090,0))),"–")</f>
        <v>-2</v>
      </c>
      <c r="E42" s="26" t="n">
        <f aca="false">IFERROR(IF(INDEX(Rank_Changes!$P$2:$P$1090,MATCH($A42&amp;"|"&amp;"GBR",Rank_Changes!$U$2:$U$1090,0))="","–",INDEX(Rank_Changes!$P$2:$P$1090,MATCH($A42&amp;"|"&amp;"GBR",Rank_Changes!$U$2:$U$1090,0))),"–")</f>
        <v>1</v>
      </c>
      <c r="F42" s="26" t="n">
        <f aca="false">IFERROR(IF(INDEX(Rank_Changes!$P$2:$P$1090,MATCH($A42&amp;"|"&amp;"DEU",Rank_Changes!$U$2:$U$1090,0))="","–",INDEX(Rank_Changes!$P$2:$P$1090,MATCH($A42&amp;"|"&amp;"DEU",Rank_Changes!$U$2:$U$1090,0))),"–")</f>
        <v>1</v>
      </c>
      <c r="G42" s="26" t="n">
        <f aca="false">IFERROR(IF(INDEX(Rank_Changes!$P$2:$P$1090,MATCH($A42&amp;"|"&amp;"SWE",Rank_Changes!$U$2:$U$1090,0))="","–",INDEX(Rank_Changes!$P$2:$P$1090,MATCH($A42&amp;"|"&amp;"SWE",Rank_Changes!$U$2:$U$1090,0))),"–")</f>
        <v>1</v>
      </c>
      <c r="H42" s="26" t="n">
        <f aca="false">IFERROR(IF(INDEX(Rank_Changes!$P$2:$P$1090,MATCH($A42&amp;"|"&amp;"FRA",Rank_Changes!$U$2:$U$1090,0))="","–",INDEX(Rank_Changes!$P$2:$P$1090,MATCH($A42&amp;"|"&amp;"FRA",Rank_Changes!$U$2:$U$1090,0))),"–")</f>
        <v>1</v>
      </c>
      <c r="I42" s="26" t="n">
        <f aca="false">IFERROR(IF(INDEX(Rank_Changes!$P$2:$P$1090,MATCH($A42&amp;"|"&amp;"NLD",Rank_Changes!$U$2:$U$1090,0))="","–",INDEX(Rank_Changes!$P$2:$P$1090,MATCH($A42&amp;"|"&amp;"NLD",Rank_Changes!$U$2:$U$1090,0))),"–")</f>
        <v>0</v>
      </c>
      <c r="J42" s="26" t="str">
        <f aca="false">IFERROR(IF(INDEX(Rank_Changes!$P$2:$P$1090,MATCH($A42&amp;"|"&amp;"CHE",Rank_Changes!$U$2:$U$1090,0))="","–",INDEX(Rank_Changes!$P$2:$P$1090,MATCH($A42&amp;"|"&amp;"CHE",Rank_Changes!$U$2:$U$1090,0))),"–")</f>
        <v>–</v>
      </c>
      <c r="K42" s="26" t="str">
        <f aca="false">IFERROR(IF(INDEX(Rank_Changes!$P$2:$P$1090,MATCH($A42&amp;"|"&amp;"DNK",Rank_Changes!$U$2:$U$1090,0))="","–",INDEX(Rank_Changes!$P$2:$P$1090,MATCH($A42&amp;"|"&amp;"DNK",Rank_Changes!$U$2:$U$1090,0))),"–")</f>
        <v>–</v>
      </c>
      <c r="L42" s="26" t="n">
        <f aca="false">IFERROR(IF(INDEX(Rank_Changes!$P$2:$P$1090,MATCH($A42&amp;"|"&amp;"CAN",Rank_Changes!$U$2:$U$1090,0))="","–",INDEX(Rank_Changes!$P$2:$P$1090,MATCH($A42&amp;"|"&amp;"CAN",Rank_Changes!$U$2:$U$1090,0))),"–")</f>
        <v>-1</v>
      </c>
      <c r="M42" s="26" t="str">
        <f aca="false">IFERROR(IF(INDEX(Rank_Changes!$P$2:$P$1090,MATCH($A42&amp;"|"&amp;"JPN",Rank_Changes!$U$2:$U$1090,0))="","–",INDEX(Rank_Changes!$P$2:$P$1090,MATCH($A42&amp;"|"&amp;"JPN",Rank_Changes!$U$2:$U$1090,0))),"–")</f>
        <v>–</v>
      </c>
      <c r="N42" s="26" t="n">
        <f aca="false">IFERROR(IF(INDEX(Rank_Changes!$P$2:$P$1090,MATCH($A42&amp;"|"&amp;"AUS",Rank_Changes!$U$2:$U$1090,0))="","–",INDEX(Rank_Changes!$P$2:$P$1090,MATCH($A42&amp;"|"&amp;"AUS",Rank_Changes!$U$2:$U$1090,0))),"–")</f>
        <v>-2</v>
      </c>
    </row>
    <row r="43" customFormat="false" ht="15" hidden="false" customHeight="false" outlineLevel="0" collapsed="false">
      <c r="A43" s="12" t="s">
        <v>132</v>
      </c>
      <c r="B43" s="12" t="s">
        <v>312</v>
      </c>
      <c r="C43" s="12" t="s">
        <v>133</v>
      </c>
      <c r="D43" s="26" t="n">
        <f aca="false">IFERROR(IF(INDEX(Rank_Changes!$P$2:$P$1090,MATCH($A43&amp;"|"&amp;"USA",Rank_Changes!$U$2:$U$1090,0))="","–",INDEX(Rank_Changes!$P$2:$P$1090,MATCH($A43&amp;"|"&amp;"USA",Rank_Changes!$U$2:$U$1090,0))),"–")</f>
        <v>0</v>
      </c>
      <c r="E43" s="26" t="n">
        <f aca="false">IFERROR(IF(INDEX(Rank_Changes!$P$2:$P$1090,MATCH($A43&amp;"|"&amp;"GBR",Rank_Changes!$U$2:$U$1090,0))="","–",INDEX(Rank_Changes!$P$2:$P$1090,MATCH($A43&amp;"|"&amp;"GBR",Rank_Changes!$U$2:$U$1090,0))),"–")</f>
        <v>4</v>
      </c>
      <c r="F43" s="26" t="n">
        <f aca="false">IFERROR(IF(INDEX(Rank_Changes!$P$2:$P$1090,MATCH($A43&amp;"|"&amp;"DEU",Rank_Changes!$U$2:$U$1090,0))="","–",INDEX(Rank_Changes!$P$2:$P$1090,MATCH($A43&amp;"|"&amp;"DEU",Rank_Changes!$U$2:$U$1090,0))),"–")</f>
        <v>-4</v>
      </c>
      <c r="G43" s="26" t="n">
        <f aca="false">IFERROR(IF(INDEX(Rank_Changes!$P$2:$P$1090,MATCH($A43&amp;"|"&amp;"SWE",Rank_Changes!$U$2:$U$1090,0))="","–",INDEX(Rank_Changes!$P$2:$P$1090,MATCH($A43&amp;"|"&amp;"SWE",Rank_Changes!$U$2:$U$1090,0))),"–")</f>
        <v>0</v>
      </c>
      <c r="H43" s="26" t="n">
        <f aca="false">IFERROR(IF(INDEX(Rank_Changes!$P$2:$P$1090,MATCH($A43&amp;"|"&amp;"FRA",Rank_Changes!$U$2:$U$1090,0))="","–",INDEX(Rank_Changes!$P$2:$P$1090,MATCH($A43&amp;"|"&amp;"FRA",Rank_Changes!$U$2:$U$1090,0))),"–")</f>
        <v>-3</v>
      </c>
      <c r="I43" s="26" t="n">
        <f aca="false">IFERROR(IF(INDEX(Rank_Changes!$P$2:$P$1090,MATCH($A43&amp;"|"&amp;"NLD",Rank_Changes!$U$2:$U$1090,0))="","–",INDEX(Rank_Changes!$P$2:$P$1090,MATCH($A43&amp;"|"&amp;"NLD",Rank_Changes!$U$2:$U$1090,0))),"–")</f>
        <v>0</v>
      </c>
      <c r="J43" s="26" t="str">
        <f aca="false">IFERROR(IF(INDEX(Rank_Changes!$P$2:$P$1090,MATCH($A43&amp;"|"&amp;"CHE",Rank_Changes!$U$2:$U$1090,0))="","–",INDEX(Rank_Changes!$P$2:$P$1090,MATCH($A43&amp;"|"&amp;"CHE",Rank_Changes!$U$2:$U$1090,0))),"–")</f>
        <v>–</v>
      </c>
      <c r="K43" s="26" t="n">
        <f aca="false">IFERROR(IF(INDEX(Rank_Changes!$P$2:$P$1090,MATCH($A43&amp;"|"&amp;"DNK",Rank_Changes!$U$2:$U$1090,0))="","–",INDEX(Rank_Changes!$P$2:$P$1090,MATCH($A43&amp;"|"&amp;"DNK",Rank_Changes!$U$2:$U$1090,0))),"–")</f>
        <v>1</v>
      </c>
      <c r="L43" s="26" t="n">
        <f aca="false">IFERROR(IF(INDEX(Rank_Changes!$P$2:$P$1090,MATCH($A43&amp;"|"&amp;"CAN",Rank_Changes!$U$2:$U$1090,0))="","–",INDEX(Rank_Changes!$P$2:$P$1090,MATCH($A43&amp;"|"&amp;"CAN",Rank_Changes!$U$2:$U$1090,0))),"–")</f>
        <v>0</v>
      </c>
      <c r="M43" s="26" t="str">
        <f aca="false">IFERROR(IF(INDEX(Rank_Changes!$P$2:$P$1090,MATCH($A43&amp;"|"&amp;"JPN",Rank_Changes!$U$2:$U$1090,0))="","–",INDEX(Rank_Changes!$P$2:$P$1090,MATCH($A43&amp;"|"&amp;"JPN",Rank_Changes!$U$2:$U$1090,0))),"–")</f>
        <v>–</v>
      </c>
      <c r="N43" s="26" t="n">
        <f aca="false">IFERROR(IF(INDEX(Rank_Changes!$P$2:$P$1090,MATCH($A43&amp;"|"&amp;"AUS",Rank_Changes!$U$2:$U$1090,0))="","–",INDEX(Rank_Changes!$P$2:$P$1090,MATCH($A43&amp;"|"&amp;"AUS",Rank_Changes!$U$2:$U$1090,0))),"–")</f>
        <v>0</v>
      </c>
    </row>
    <row r="44" customFormat="false" ht="15" hidden="false" customHeight="false" outlineLevel="0" collapsed="false">
      <c r="A44" s="12" t="s">
        <v>134</v>
      </c>
      <c r="B44" s="12" t="s">
        <v>312</v>
      </c>
      <c r="C44" s="12" t="s">
        <v>135</v>
      </c>
      <c r="D44" s="26" t="n">
        <f aca="false">IFERROR(IF(INDEX(Rank_Changes!$P$2:$P$1090,MATCH($A44&amp;"|"&amp;"USA",Rank_Changes!$U$2:$U$1090,0))="","–",INDEX(Rank_Changes!$P$2:$P$1090,MATCH($A44&amp;"|"&amp;"USA",Rank_Changes!$U$2:$U$1090,0))),"–")</f>
        <v>-1</v>
      </c>
      <c r="E44" s="26" t="n">
        <f aca="false">IFERROR(IF(INDEX(Rank_Changes!$P$2:$P$1090,MATCH($A44&amp;"|"&amp;"GBR",Rank_Changes!$U$2:$U$1090,0))="","–",INDEX(Rank_Changes!$P$2:$P$1090,MATCH($A44&amp;"|"&amp;"GBR",Rank_Changes!$U$2:$U$1090,0))),"–")</f>
        <v>-5</v>
      </c>
      <c r="F44" s="26" t="n">
        <f aca="false">IFERROR(IF(INDEX(Rank_Changes!$P$2:$P$1090,MATCH($A44&amp;"|"&amp;"DEU",Rank_Changes!$U$2:$U$1090,0))="","–",INDEX(Rank_Changes!$P$2:$P$1090,MATCH($A44&amp;"|"&amp;"DEU",Rank_Changes!$U$2:$U$1090,0))),"–")</f>
        <v>0</v>
      </c>
      <c r="G44" s="26" t="str">
        <f aca="false">IFERROR(IF(INDEX(Rank_Changes!$P$2:$P$1090,MATCH($A44&amp;"|"&amp;"SWE",Rank_Changes!$U$2:$U$1090,0))="","–",INDEX(Rank_Changes!$P$2:$P$1090,MATCH($A44&amp;"|"&amp;"SWE",Rank_Changes!$U$2:$U$1090,0))),"–")</f>
        <v>–</v>
      </c>
      <c r="H44" s="26" t="n">
        <f aca="false">IFERROR(IF(INDEX(Rank_Changes!$P$2:$P$1090,MATCH($A44&amp;"|"&amp;"FRA",Rank_Changes!$U$2:$U$1090,0))="","–",INDEX(Rank_Changes!$P$2:$P$1090,MATCH($A44&amp;"|"&amp;"FRA",Rank_Changes!$U$2:$U$1090,0))),"–")</f>
        <v>1</v>
      </c>
      <c r="I44" s="26" t="n">
        <f aca="false">IFERROR(IF(INDEX(Rank_Changes!$P$2:$P$1090,MATCH($A44&amp;"|"&amp;"NLD",Rank_Changes!$U$2:$U$1090,0))="","–",INDEX(Rank_Changes!$P$2:$P$1090,MATCH($A44&amp;"|"&amp;"NLD",Rank_Changes!$U$2:$U$1090,0))),"–")</f>
        <v>1</v>
      </c>
      <c r="J44" s="26" t="str">
        <f aca="false">IFERROR(IF(INDEX(Rank_Changes!$P$2:$P$1090,MATCH($A44&amp;"|"&amp;"CHE",Rank_Changes!$U$2:$U$1090,0))="","–",INDEX(Rank_Changes!$P$2:$P$1090,MATCH($A44&amp;"|"&amp;"CHE",Rank_Changes!$U$2:$U$1090,0))),"–")</f>
        <v>–</v>
      </c>
      <c r="K44" s="26" t="n">
        <f aca="false">IFERROR(IF(INDEX(Rank_Changes!$P$2:$P$1090,MATCH($A44&amp;"|"&amp;"DNK",Rank_Changes!$U$2:$U$1090,0))="","–",INDEX(Rank_Changes!$P$2:$P$1090,MATCH($A44&amp;"|"&amp;"DNK",Rank_Changes!$U$2:$U$1090,0))),"–")</f>
        <v>2</v>
      </c>
      <c r="L44" s="26" t="n">
        <f aca="false">IFERROR(IF(INDEX(Rank_Changes!$P$2:$P$1090,MATCH($A44&amp;"|"&amp;"CAN",Rank_Changes!$U$2:$U$1090,0))="","–",INDEX(Rank_Changes!$P$2:$P$1090,MATCH($A44&amp;"|"&amp;"CAN",Rank_Changes!$U$2:$U$1090,0))),"–")</f>
        <v>1</v>
      </c>
      <c r="M44" s="26" t="n">
        <f aca="false">IFERROR(IF(INDEX(Rank_Changes!$P$2:$P$1090,MATCH($A44&amp;"|"&amp;"JPN",Rank_Changes!$U$2:$U$1090,0))="","–",INDEX(Rank_Changes!$P$2:$P$1090,MATCH($A44&amp;"|"&amp;"JPN",Rank_Changes!$U$2:$U$1090,0))),"–")</f>
        <v>-1</v>
      </c>
      <c r="N44" s="26" t="n">
        <f aca="false">IFERROR(IF(INDEX(Rank_Changes!$P$2:$P$1090,MATCH($A44&amp;"|"&amp;"AUS",Rank_Changes!$U$2:$U$1090,0))="","–",INDEX(Rank_Changes!$P$2:$P$1090,MATCH($A44&amp;"|"&amp;"AUS",Rank_Changes!$U$2:$U$1090,0))),"–")</f>
        <v>0</v>
      </c>
    </row>
    <row r="45" customFormat="false" ht="15" hidden="false" customHeight="false" outlineLevel="0" collapsed="false">
      <c r="A45" s="12" t="s">
        <v>136</v>
      </c>
      <c r="B45" s="12" t="s">
        <v>312</v>
      </c>
      <c r="C45" s="12" t="s">
        <v>137</v>
      </c>
      <c r="D45" s="26" t="n">
        <f aca="false">IFERROR(IF(INDEX(Rank_Changes!$P$2:$P$1090,MATCH($A45&amp;"|"&amp;"USA",Rank_Changes!$U$2:$U$1090,0))="","–",INDEX(Rank_Changes!$P$2:$P$1090,MATCH($A45&amp;"|"&amp;"USA",Rank_Changes!$U$2:$U$1090,0))),"–")</f>
        <v>0</v>
      </c>
      <c r="E45" s="26" t="n">
        <f aca="false">IFERROR(IF(INDEX(Rank_Changes!$P$2:$P$1090,MATCH($A45&amp;"|"&amp;"GBR",Rank_Changes!$U$2:$U$1090,0))="","–",INDEX(Rank_Changes!$P$2:$P$1090,MATCH($A45&amp;"|"&amp;"GBR",Rank_Changes!$U$2:$U$1090,0))),"–")</f>
        <v>0</v>
      </c>
      <c r="F45" s="26" t="n">
        <f aca="false">IFERROR(IF(INDEX(Rank_Changes!$P$2:$P$1090,MATCH($A45&amp;"|"&amp;"DEU",Rank_Changes!$U$2:$U$1090,0))="","–",INDEX(Rank_Changes!$P$2:$P$1090,MATCH($A45&amp;"|"&amp;"DEU",Rank_Changes!$U$2:$U$1090,0))),"–")</f>
        <v>0</v>
      </c>
      <c r="G45" s="26" t="str">
        <f aca="false">IFERROR(IF(INDEX(Rank_Changes!$P$2:$P$1090,MATCH($A45&amp;"|"&amp;"SWE",Rank_Changes!$U$2:$U$1090,0))="","–",INDEX(Rank_Changes!$P$2:$P$1090,MATCH($A45&amp;"|"&amp;"SWE",Rank_Changes!$U$2:$U$1090,0))),"–")</f>
        <v>–</v>
      </c>
      <c r="H45" s="26" t="n">
        <f aca="false">IFERROR(IF(INDEX(Rank_Changes!$P$2:$P$1090,MATCH($A45&amp;"|"&amp;"FRA",Rank_Changes!$U$2:$U$1090,0))="","–",INDEX(Rank_Changes!$P$2:$P$1090,MATCH($A45&amp;"|"&amp;"FRA",Rank_Changes!$U$2:$U$1090,0))),"–")</f>
        <v>2</v>
      </c>
      <c r="I45" s="26" t="n">
        <f aca="false">IFERROR(IF(INDEX(Rank_Changes!$P$2:$P$1090,MATCH($A45&amp;"|"&amp;"NLD",Rank_Changes!$U$2:$U$1090,0))="","–",INDEX(Rank_Changes!$P$2:$P$1090,MATCH($A45&amp;"|"&amp;"NLD",Rank_Changes!$U$2:$U$1090,0))),"–")</f>
        <v>-1</v>
      </c>
      <c r="J45" s="26" t="str">
        <f aca="false">IFERROR(IF(INDEX(Rank_Changes!$P$2:$P$1090,MATCH($A45&amp;"|"&amp;"CHE",Rank_Changes!$U$2:$U$1090,0))="","–",INDEX(Rank_Changes!$P$2:$P$1090,MATCH($A45&amp;"|"&amp;"CHE",Rank_Changes!$U$2:$U$1090,0))),"–")</f>
        <v>–</v>
      </c>
      <c r="K45" s="26" t="str">
        <f aca="false">IFERROR(IF(INDEX(Rank_Changes!$P$2:$P$1090,MATCH($A45&amp;"|"&amp;"DNK",Rank_Changes!$U$2:$U$1090,0))="","–",INDEX(Rank_Changes!$P$2:$P$1090,MATCH($A45&amp;"|"&amp;"DNK",Rank_Changes!$U$2:$U$1090,0))),"–")</f>
        <v>–</v>
      </c>
      <c r="L45" s="26" t="n">
        <f aca="false">IFERROR(IF(INDEX(Rank_Changes!$P$2:$P$1090,MATCH($A45&amp;"|"&amp;"CAN",Rank_Changes!$U$2:$U$1090,0))="","–",INDEX(Rank_Changes!$P$2:$P$1090,MATCH($A45&amp;"|"&amp;"CAN",Rank_Changes!$U$2:$U$1090,0))),"–")</f>
        <v>0</v>
      </c>
      <c r="M45" s="26" t="n">
        <f aca="false">IFERROR(IF(INDEX(Rank_Changes!$P$2:$P$1090,MATCH($A45&amp;"|"&amp;"JPN",Rank_Changes!$U$2:$U$1090,0))="","–",INDEX(Rank_Changes!$P$2:$P$1090,MATCH($A45&amp;"|"&amp;"JPN",Rank_Changes!$U$2:$U$1090,0))),"–")</f>
        <v>0</v>
      </c>
      <c r="N45" s="26" t="n">
        <f aca="false">IFERROR(IF(INDEX(Rank_Changes!$P$2:$P$1090,MATCH($A45&amp;"|"&amp;"AUS",Rank_Changes!$U$2:$U$1090,0))="","–",INDEX(Rank_Changes!$P$2:$P$1090,MATCH($A45&amp;"|"&amp;"AUS",Rank_Changes!$U$2:$U$1090,0))),"–")</f>
        <v>-1</v>
      </c>
    </row>
    <row r="46" customFormat="false" ht="15" hidden="false" customHeight="false" outlineLevel="0" collapsed="false">
      <c r="A46" s="12" t="s">
        <v>138</v>
      </c>
      <c r="B46" s="12" t="s">
        <v>312</v>
      </c>
      <c r="C46" s="12" t="s">
        <v>139</v>
      </c>
      <c r="D46" s="26" t="n">
        <f aca="false">IFERROR(IF(INDEX(Rank_Changes!$P$2:$P$1090,MATCH($A46&amp;"|"&amp;"USA",Rank_Changes!$U$2:$U$1090,0))="","–",INDEX(Rank_Changes!$P$2:$P$1090,MATCH($A46&amp;"|"&amp;"USA",Rank_Changes!$U$2:$U$1090,0))),"–")</f>
        <v>0</v>
      </c>
      <c r="E46" s="26" t="n">
        <f aca="false">IFERROR(IF(INDEX(Rank_Changes!$P$2:$P$1090,MATCH($A46&amp;"|"&amp;"GBR",Rank_Changes!$U$2:$U$1090,0))="","–",INDEX(Rank_Changes!$P$2:$P$1090,MATCH($A46&amp;"|"&amp;"GBR",Rank_Changes!$U$2:$U$1090,0))),"–")</f>
        <v>0</v>
      </c>
      <c r="F46" s="26" t="n">
        <f aca="false">IFERROR(IF(INDEX(Rank_Changes!$P$2:$P$1090,MATCH($A46&amp;"|"&amp;"DEU",Rank_Changes!$U$2:$U$1090,0))="","–",INDEX(Rank_Changes!$P$2:$P$1090,MATCH($A46&amp;"|"&amp;"DEU",Rank_Changes!$U$2:$U$1090,0))),"–")</f>
        <v>1</v>
      </c>
      <c r="G46" s="26" t="str">
        <f aca="false">IFERROR(IF(INDEX(Rank_Changes!$P$2:$P$1090,MATCH($A46&amp;"|"&amp;"SWE",Rank_Changes!$U$2:$U$1090,0))="","–",INDEX(Rank_Changes!$P$2:$P$1090,MATCH($A46&amp;"|"&amp;"SWE",Rank_Changes!$U$2:$U$1090,0))),"–")</f>
        <v>–</v>
      </c>
      <c r="H46" s="26" t="n">
        <f aca="false">IFERROR(IF(INDEX(Rank_Changes!$P$2:$P$1090,MATCH($A46&amp;"|"&amp;"FRA",Rank_Changes!$U$2:$U$1090,0))="","–",INDEX(Rank_Changes!$P$2:$P$1090,MATCH($A46&amp;"|"&amp;"FRA",Rank_Changes!$U$2:$U$1090,0))),"–")</f>
        <v>0</v>
      </c>
      <c r="I46" s="26" t="n">
        <f aca="false">IFERROR(IF(INDEX(Rank_Changes!$P$2:$P$1090,MATCH($A46&amp;"|"&amp;"NLD",Rank_Changes!$U$2:$U$1090,0))="","–",INDEX(Rank_Changes!$P$2:$P$1090,MATCH($A46&amp;"|"&amp;"NLD",Rank_Changes!$U$2:$U$1090,0))),"–")</f>
        <v>0</v>
      </c>
      <c r="J46" s="26" t="n">
        <f aca="false">IFERROR(IF(INDEX(Rank_Changes!$P$2:$P$1090,MATCH($A46&amp;"|"&amp;"CHE",Rank_Changes!$U$2:$U$1090,0))="","–",INDEX(Rank_Changes!$P$2:$P$1090,MATCH($A46&amp;"|"&amp;"CHE",Rank_Changes!$U$2:$U$1090,0))),"–")</f>
        <v>1</v>
      </c>
      <c r="K46" s="26" t="n">
        <f aca="false">IFERROR(IF(INDEX(Rank_Changes!$P$2:$P$1090,MATCH($A46&amp;"|"&amp;"DNK",Rank_Changes!$U$2:$U$1090,0))="","–",INDEX(Rank_Changes!$P$2:$P$1090,MATCH($A46&amp;"|"&amp;"DNK",Rank_Changes!$U$2:$U$1090,0))),"–")</f>
        <v>-2</v>
      </c>
      <c r="L46" s="26" t="n">
        <f aca="false">IFERROR(IF(INDEX(Rank_Changes!$P$2:$P$1090,MATCH($A46&amp;"|"&amp;"CAN",Rank_Changes!$U$2:$U$1090,0))="","–",INDEX(Rank_Changes!$P$2:$P$1090,MATCH($A46&amp;"|"&amp;"CAN",Rank_Changes!$U$2:$U$1090,0))),"–")</f>
        <v>0</v>
      </c>
      <c r="M46" s="26" t="n">
        <f aca="false">IFERROR(IF(INDEX(Rank_Changes!$P$2:$P$1090,MATCH($A46&amp;"|"&amp;"JPN",Rank_Changes!$U$2:$U$1090,0))="","–",INDEX(Rank_Changes!$P$2:$P$1090,MATCH($A46&amp;"|"&amp;"JPN",Rank_Changes!$U$2:$U$1090,0))),"–")</f>
        <v>0</v>
      </c>
      <c r="N46" s="26" t="n">
        <f aca="false">IFERROR(IF(INDEX(Rank_Changes!$P$2:$P$1090,MATCH($A46&amp;"|"&amp;"AUS",Rank_Changes!$U$2:$U$1090,0))="","–",INDEX(Rank_Changes!$P$2:$P$1090,MATCH($A46&amp;"|"&amp;"AUS",Rank_Changes!$U$2:$U$1090,0))),"–")</f>
        <v>0</v>
      </c>
    </row>
    <row r="47" customFormat="false" ht="15" hidden="false" customHeight="false" outlineLevel="0" collapsed="false">
      <c r="A47" s="12" t="s">
        <v>140</v>
      </c>
      <c r="B47" s="12" t="s">
        <v>312</v>
      </c>
      <c r="C47" s="12" t="s">
        <v>141</v>
      </c>
      <c r="D47" s="26" t="n">
        <f aca="false">IFERROR(IF(INDEX(Rank_Changes!$P$2:$P$1090,MATCH($A47&amp;"|"&amp;"USA",Rank_Changes!$U$2:$U$1090,0))="","–",INDEX(Rank_Changes!$P$2:$P$1090,MATCH($A47&amp;"|"&amp;"USA",Rank_Changes!$U$2:$U$1090,0))),"–")</f>
        <v>0</v>
      </c>
      <c r="E47" s="26" t="n">
        <f aca="false">IFERROR(IF(INDEX(Rank_Changes!$P$2:$P$1090,MATCH($A47&amp;"|"&amp;"GBR",Rank_Changes!$U$2:$U$1090,0))="","–",INDEX(Rank_Changes!$P$2:$P$1090,MATCH($A47&amp;"|"&amp;"GBR",Rank_Changes!$U$2:$U$1090,0))),"–")</f>
        <v>-2</v>
      </c>
      <c r="F47" s="26" t="str">
        <f aca="false">IFERROR(IF(INDEX(Rank_Changes!$P$2:$P$1090,MATCH($A47&amp;"|"&amp;"DEU",Rank_Changes!$U$2:$U$1090,0))="","–",INDEX(Rank_Changes!$P$2:$P$1090,MATCH($A47&amp;"|"&amp;"DEU",Rank_Changes!$U$2:$U$1090,0))),"–")</f>
        <v>–</v>
      </c>
      <c r="G47" s="26" t="str">
        <f aca="false">IFERROR(IF(INDEX(Rank_Changes!$P$2:$P$1090,MATCH($A47&amp;"|"&amp;"SWE",Rank_Changes!$U$2:$U$1090,0))="","–",INDEX(Rank_Changes!$P$2:$P$1090,MATCH($A47&amp;"|"&amp;"SWE",Rank_Changes!$U$2:$U$1090,0))),"–")</f>
        <v>–</v>
      </c>
      <c r="H47" s="26" t="str">
        <f aca="false">IFERROR(IF(INDEX(Rank_Changes!$P$2:$P$1090,MATCH($A47&amp;"|"&amp;"FRA",Rank_Changes!$U$2:$U$1090,0))="","–",INDEX(Rank_Changes!$P$2:$P$1090,MATCH($A47&amp;"|"&amp;"FRA",Rank_Changes!$U$2:$U$1090,0))),"–")</f>
        <v>–</v>
      </c>
      <c r="I47" s="26" t="str">
        <f aca="false">IFERROR(IF(INDEX(Rank_Changes!$P$2:$P$1090,MATCH($A47&amp;"|"&amp;"NLD",Rank_Changes!$U$2:$U$1090,0))="","–",INDEX(Rank_Changes!$P$2:$P$1090,MATCH($A47&amp;"|"&amp;"NLD",Rank_Changes!$U$2:$U$1090,0))),"–")</f>
        <v>–</v>
      </c>
      <c r="J47" s="26" t="n">
        <f aca="false">IFERROR(IF(INDEX(Rank_Changes!$P$2:$P$1090,MATCH($A47&amp;"|"&amp;"CHE",Rank_Changes!$U$2:$U$1090,0))="","–",INDEX(Rank_Changes!$P$2:$P$1090,MATCH($A47&amp;"|"&amp;"CHE",Rank_Changes!$U$2:$U$1090,0))),"–")</f>
        <v>0</v>
      </c>
      <c r="K47" s="26" t="n">
        <f aca="false">IFERROR(IF(INDEX(Rank_Changes!$P$2:$P$1090,MATCH($A47&amp;"|"&amp;"DNK",Rank_Changes!$U$2:$U$1090,0))="","–",INDEX(Rank_Changes!$P$2:$P$1090,MATCH($A47&amp;"|"&amp;"DNK",Rank_Changes!$U$2:$U$1090,0))),"–")</f>
        <v>1</v>
      </c>
      <c r="L47" s="26" t="n">
        <f aca="false">IFERROR(IF(INDEX(Rank_Changes!$P$2:$P$1090,MATCH($A47&amp;"|"&amp;"CAN",Rank_Changes!$U$2:$U$1090,0))="","–",INDEX(Rank_Changes!$P$2:$P$1090,MATCH($A47&amp;"|"&amp;"CAN",Rank_Changes!$U$2:$U$1090,0))),"–")</f>
        <v>1</v>
      </c>
      <c r="M47" s="26" t="n">
        <f aca="false">IFERROR(IF(INDEX(Rank_Changes!$P$2:$P$1090,MATCH($A47&amp;"|"&amp;"JPN",Rank_Changes!$U$2:$U$1090,0))="","–",INDEX(Rank_Changes!$P$2:$P$1090,MATCH($A47&amp;"|"&amp;"JPN",Rank_Changes!$U$2:$U$1090,0))),"–")</f>
        <v>0</v>
      </c>
      <c r="N47" s="26" t="n">
        <f aca="false">IFERROR(IF(INDEX(Rank_Changes!$P$2:$P$1090,MATCH($A47&amp;"|"&amp;"AUS",Rank_Changes!$U$2:$U$1090,0))="","–",INDEX(Rank_Changes!$P$2:$P$1090,MATCH($A47&amp;"|"&amp;"AUS",Rank_Changes!$U$2:$U$1090,0))),"–")</f>
        <v>0</v>
      </c>
    </row>
    <row r="48" customFormat="false" ht="15" hidden="false" customHeight="false" outlineLevel="0" collapsed="false">
      <c r="A48" s="12" t="s">
        <v>142</v>
      </c>
      <c r="B48" s="12" t="s">
        <v>312</v>
      </c>
      <c r="C48" s="12" t="s">
        <v>143</v>
      </c>
      <c r="D48" s="26" t="n">
        <f aca="false">IFERROR(IF(INDEX(Rank_Changes!$P$2:$P$1090,MATCH($A48&amp;"|"&amp;"USA",Rank_Changes!$U$2:$U$1090,0))="","–",INDEX(Rank_Changes!$P$2:$P$1090,MATCH($A48&amp;"|"&amp;"USA",Rank_Changes!$U$2:$U$1090,0))),"–")</f>
        <v>1</v>
      </c>
      <c r="E48" s="26" t="n">
        <f aca="false">IFERROR(IF(INDEX(Rank_Changes!$P$2:$P$1090,MATCH($A48&amp;"|"&amp;"GBR",Rank_Changes!$U$2:$U$1090,0))="","–",INDEX(Rank_Changes!$P$2:$P$1090,MATCH($A48&amp;"|"&amp;"GBR",Rank_Changes!$U$2:$U$1090,0))),"–")</f>
        <v>1</v>
      </c>
      <c r="F48" s="26" t="n">
        <f aca="false">IFERROR(IF(INDEX(Rank_Changes!$P$2:$P$1090,MATCH($A48&amp;"|"&amp;"DEU",Rank_Changes!$U$2:$U$1090,0))="","–",INDEX(Rank_Changes!$P$2:$P$1090,MATCH($A48&amp;"|"&amp;"DEU",Rank_Changes!$U$2:$U$1090,0))),"–")</f>
        <v>0</v>
      </c>
      <c r="G48" s="26" t="n">
        <f aca="false">IFERROR(IF(INDEX(Rank_Changes!$P$2:$P$1090,MATCH($A48&amp;"|"&amp;"SWE",Rank_Changes!$U$2:$U$1090,0))="","–",INDEX(Rank_Changes!$P$2:$P$1090,MATCH($A48&amp;"|"&amp;"SWE",Rank_Changes!$U$2:$U$1090,0))),"–")</f>
        <v>0</v>
      </c>
      <c r="H48" s="26" t="n">
        <f aca="false">IFERROR(IF(INDEX(Rank_Changes!$P$2:$P$1090,MATCH($A48&amp;"|"&amp;"FRA",Rank_Changes!$U$2:$U$1090,0))="","–",INDEX(Rank_Changes!$P$2:$P$1090,MATCH($A48&amp;"|"&amp;"FRA",Rank_Changes!$U$2:$U$1090,0))),"–")</f>
        <v>0</v>
      </c>
      <c r="I48" s="26" t="n">
        <f aca="false">IFERROR(IF(INDEX(Rank_Changes!$P$2:$P$1090,MATCH($A48&amp;"|"&amp;"NLD",Rank_Changes!$U$2:$U$1090,0))="","–",INDEX(Rank_Changes!$P$2:$P$1090,MATCH($A48&amp;"|"&amp;"NLD",Rank_Changes!$U$2:$U$1090,0))),"–")</f>
        <v>-3</v>
      </c>
      <c r="J48" s="26" t="n">
        <f aca="false">IFERROR(IF(INDEX(Rank_Changes!$P$2:$P$1090,MATCH($A48&amp;"|"&amp;"CHE",Rank_Changes!$U$2:$U$1090,0))="","–",INDEX(Rank_Changes!$P$2:$P$1090,MATCH($A48&amp;"|"&amp;"CHE",Rank_Changes!$U$2:$U$1090,0))),"–")</f>
        <v>0</v>
      </c>
      <c r="K48" s="26" t="n">
        <f aca="false">IFERROR(IF(INDEX(Rank_Changes!$P$2:$P$1090,MATCH($A48&amp;"|"&amp;"DNK",Rank_Changes!$U$2:$U$1090,0))="","–",INDEX(Rank_Changes!$P$2:$P$1090,MATCH($A48&amp;"|"&amp;"DNK",Rank_Changes!$U$2:$U$1090,0))),"–")</f>
        <v>-2</v>
      </c>
      <c r="L48" s="26" t="n">
        <f aca="false">IFERROR(IF(INDEX(Rank_Changes!$P$2:$P$1090,MATCH($A48&amp;"|"&amp;"CAN",Rank_Changes!$U$2:$U$1090,0))="","–",INDEX(Rank_Changes!$P$2:$P$1090,MATCH($A48&amp;"|"&amp;"CAN",Rank_Changes!$U$2:$U$1090,0))),"–")</f>
        <v>0</v>
      </c>
      <c r="M48" s="26" t="n">
        <f aca="false">IFERROR(IF(INDEX(Rank_Changes!$P$2:$P$1090,MATCH($A48&amp;"|"&amp;"JPN",Rank_Changes!$U$2:$U$1090,0))="","–",INDEX(Rank_Changes!$P$2:$P$1090,MATCH($A48&amp;"|"&amp;"JPN",Rank_Changes!$U$2:$U$1090,0))),"–")</f>
        <v>0</v>
      </c>
      <c r="N48" s="26" t="n">
        <f aca="false">IFERROR(IF(INDEX(Rank_Changes!$P$2:$P$1090,MATCH($A48&amp;"|"&amp;"AUS",Rank_Changes!$U$2:$U$1090,0))="","–",INDEX(Rank_Changes!$P$2:$P$1090,MATCH($A48&amp;"|"&amp;"AUS",Rank_Changes!$U$2:$U$1090,0))),"–")</f>
        <v>0</v>
      </c>
    </row>
    <row r="49" customFormat="false" ht="15" hidden="false" customHeight="false" outlineLevel="0" collapsed="false">
      <c r="A49" s="12" t="s">
        <v>144</v>
      </c>
      <c r="B49" s="12" t="s">
        <v>312</v>
      </c>
      <c r="C49" s="12" t="s">
        <v>145</v>
      </c>
      <c r="D49" s="26" t="n">
        <f aca="false">IFERROR(IF(INDEX(Rank_Changes!$P$2:$P$1090,MATCH($A49&amp;"|"&amp;"USA",Rank_Changes!$U$2:$U$1090,0))="","–",INDEX(Rank_Changes!$P$2:$P$1090,MATCH($A49&amp;"|"&amp;"USA",Rank_Changes!$U$2:$U$1090,0))),"–")</f>
        <v>0</v>
      </c>
      <c r="E49" s="26" t="n">
        <f aca="false">IFERROR(IF(INDEX(Rank_Changes!$P$2:$P$1090,MATCH($A49&amp;"|"&amp;"GBR",Rank_Changes!$U$2:$U$1090,0))="","–",INDEX(Rank_Changes!$P$2:$P$1090,MATCH($A49&amp;"|"&amp;"GBR",Rank_Changes!$U$2:$U$1090,0))),"–")</f>
        <v>0</v>
      </c>
      <c r="F49" s="26" t="n">
        <f aca="false">IFERROR(IF(INDEX(Rank_Changes!$P$2:$P$1090,MATCH($A49&amp;"|"&amp;"DEU",Rank_Changes!$U$2:$U$1090,0))="","–",INDEX(Rank_Changes!$P$2:$P$1090,MATCH($A49&amp;"|"&amp;"DEU",Rank_Changes!$U$2:$U$1090,0))),"–")</f>
        <v>3</v>
      </c>
      <c r="G49" s="26" t="n">
        <f aca="false">IFERROR(IF(INDEX(Rank_Changes!$P$2:$P$1090,MATCH($A49&amp;"|"&amp;"SWE",Rank_Changes!$U$2:$U$1090,0))="","–",INDEX(Rank_Changes!$P$2:$P$1090,MATCH($A49&amp;"|"&amp;"SWE",Rank_Changes!$U$2:$U$1090,0))),"–")</f>
        <v>-1</v>
      </c>
      <c r="H49" s="26" t="n">
        <f aca="false">IFERROR(IF(INDEX(Rank_Changes!$P$2:$P$1090,MATCH($A49&amp;"|"&amp;"FRA",Rank_Changes!$U$2:$U$1090,0))="","–",INDEX(Rank_Changes!$P$2:$P$1090,MATCH($A49&amp;"|"&amp;"FRA",Rank_Changes!$U$2:$U$1090,0))),"–")</f>
        <v>-1</v>
      </c>
      <c r="I49" s="26" t="n">
        <f aca="false">IFERROR(IF(INDEX(Rank_Changes!$P$2:$P$1090,MATCH($A49&amp;"|"&amp;"NLD",Rank_Changes!$U$2:$U$1090,0))="","–",INDEX(Rank_Changes!$P$2:$P$1090,MATCH($A49&amp;"|"&amp;"NLD",Rank_Changes!$U$2:$U$1090,0))),"–")</f>
        <v>2</v>
      </c>
      <c r="J49" s="26" t="n">
        <f aca="false">IFERROR(IF(INDEX(Rank_Changes!$P$2:$P$1090,MATCH($A49&amp;"|"&amp;"CHE",Rank_Changes!$U$2:$U$1090,0))="","–",INDEX(Rank_Changes!$P$2:$P$1090,MATCH($A49&amp;"|"&amp;"CHE",Rank_Changes!$U$2:$U$1090,0))),"–")</f>
        <v>-1</v>
      </c>
      <c r="K49" s="26" t="n">
        <f aca="false">IFERROR(IF(INDEX(Rank_Changes!$P$2:$P$1090,MATCH($A49&amp;"|"&amp;"DNK",Rank_Changes!$U$2:$U$1090,0))="","–",INDEX(Rank_Changes!$P$2:$P$1090,MATCH($A49&amp;"|"&amp;"DNK",Rank_Changes!$U$2:$U$1090,0))),"–")</f>
        <v>0</v>
      </c>
      <c r="L49" s="26" t="n">
        <f aca="false">IFERROR(IF(INDEX(Rank_Changes!$P$2:$P$1090,MATCH($A49&amp;"|"&amp;"CAN",Rank_Changes!$U$2:$U$1090,0))="","–",INDEX(Rank_Changes!$P$2:$P$1090,MATCH($A49&amp;"|"&amp;"CAN",Rank_Changes!$U$2:$U$1090,0))),"–")</f>
        <v>-1</v>
      </c>
      <c r="M49" s="26" t="n">
        <f aca="false">IFERROR(IF(INDEX(Rank_Changes!$P$2:$P$1090,MATCH($A49&amp;"|"&amp;"JPN",Rank_Changes!$U$2:$U$1090,0))="","–",INDEX(Rank_Changes!$P$2:$P$1090,MATCH($A49&amp;"|"&amp;"JPN",Rank_Changes!$U$2:$U$1090,0))),"–")</f>
        <v>0</v>
      </c>
      <c r="N49" s="26" t="n">
        <f aca="false">IFERROR(IF(INDEX(Rank_Changes!$P$2:$P$1090,MATCH($A49&amp;"|"&amp;"AUS",Rank_Changes!$U$2:$U$1090,0))="","–",INDEX(Rank_Changes!$P$2:$P$1090,MATCH($A49&amp;"|"&amp;"AUS",Rank_Changes!$U$2:$U$1090,0))),"–")</f>
        <v>-1</v>
      </c>
    </row>
    <row r="50" customFormat="false" ht="15" hidden="false" customHeight="false" outlineLevel="0" collapsed="false">
      <c r="A50" s="12" t="s">
        <v>146</v>
      </c>
      <c r="B50" s="12" t="s">
        <v>321</v>
      </c>
      <c r="C50" s="12" t="s">
        <v>147</v>
      </c>
      <c r="D50" s="26" t="n">
        <f aca="false">IFERROR(IF(INDEX(Rank_Changes!$P$2:$P$1090,MATCH($A50&amp;"|"&amp;"USA",Rank_Changes!$U$2:$U$1090,0))="","–",INDEX(Rank_Changes!$P$2:$P$1090,MATCH($A50&amp;"|"&amp;"USA",Rank_Changes!$U$2:$U$1090,0))),"–")</f>
        <v>4</v>
      </c>
      <c r="E50" s="26" t="n">
        <f aca="false">IFERROR(IF(INDEX(Rank_Changes!$P$2:$P$1090,MATCH($A50&amp;"|"&amp;"GBR",Rank_Changes!$U$2:$U$1090,0))="","–",INDEX(Rank_Changes!$P$2:$P$1090,MATCH($A50&amp;"|"&amp;"GBR",Rank_Changes!$U$2:$U$1090,0))),"–")</f>
        <v>2</v>
      </c>
      <c r="F50" s="26" t="n">
        <f aca="false">IFERROR(IF(INDEX(Rank_Changes!$P$2:$P$1090,MATCH($A50&amp;"|"&amp;"DEU",Rank_Changes!$U$2:$U$1090,0))="","–",INDEX(Rank_Changes!$P$2:$P$1090,MATCH($A50&amp;"|"&amp;"DEU",Rank_Changes!$U$2:$U$1090,0))),"–")</f>
        <v>0</v>
      </c>
      <c r="G50" s="26" t="n">
        <f aca="false">IFERROR(IF(INDEX(Rank_Changes!$P$2:$P$1090,MATCH($A50&amp;"|"&amp;"SWE",Rank_Changes!$U$2:$U$1090,0))="","–",INDEX(Rank_Changes!$P$2:$P$1090,MATCH($A50&amp;"|"&amp;"SWE",Rank_Changes!$U$2:$U$1090,0))),"–")</f>
        <v>-2</v>
      </c>
      <c r="H50" s="26" t="n">
        <f aca="false">IFERROR(IF(INDEX(Rank_Changes!$P$2:$P$1090,MATCH($A50&amp;"|"&amp;"FRA",Rank_Changes!$U$2:$U$1090,0))="","–",INDEX(Rank_Changes!$P$2:$P$1090,MATCH($A50&amp;"|"&amp;"FRA",Rank_Changes!$U$2:$U$1090,0))),"–")</f>
        <v>2</v>
      </c>
      <c r="I50" s="26" t="n">
        <f aca="false">IFERROR(IF(INDEX(Rank_Changes!$P$2:$P$1090,MATCH($A50&amp;"|"&amp;"NLD",Rank_Changes!$U$2:$U$1090,0))="","–",INDEX(Rank_Changes!$P$2:$P$1090,MATCH($A50&amp;"|"&amp;"NLD",Rank_Changes!$U$2:$U$1090,0))),"–")</f>
        <v>1</v>
      </c>
      <c r="J50" s="26" t="n">
        <f aca="false">IFERROR(IF(INDEX(Rank_Changes!$P$2:$P$1090,MATCH($A50&amp;"|"&amp;"CHE",Rank_Changes!$U$2:$U$1090,0))="","–",INDEX(Rank_Changes!$P$2:$P$1090,MATCH($A50&amp;"|"&amp;"CHE",Rank_Changes!$U$2:$U$1090,0))),"–")</f>
        <v>-2</v>
      </c>
      <c r="K50" s="26" t="n">
        <f aca="false">IFERROR(IF(INDEX(Rank_Changes!$P$2:$P$1090,MATCH($A50&amp;"|"&amp;"DNK",Rank_Changes!$U$2:$U$1090,0))="","–",INDEX(Rank_Changes!$P$2:$P$1090,MATCH($A50&amp;"|"&amp;"DNK",Rank_Changes!$U$2:$U$1090,0))),"–")</f>
        <v>-2</v>
      </c>
      <c r="L50" s="26" t="n">
        <f aca="false">IFERROR(IF(INDEX(Rank_Changes!$P$2:$P$1090,MATCH($A50&amp;"|"&amp;"CAN",Rank_Changes!$U$2:$U$1090,0))="","–",INDEX(Rank_Changes!$P$2:$P$1090,MATCH($A50&amp;"|"&amp;"CAN",Rank_Changes!$U$2:$U$1090,0))),"–")</f>
        <v>-4</v>
      </c>
      <c r="M50" s="26" t="n">
        <f aca="false">IFERROR(IF(INDEX(Rank_Changes!$P$2:$P$1090,MATCH($A50&amp;"|"&amp;"JPN",Rank_Changes!$U$2:$U$1090,0))="","–",INDEX(Rank_Changes!$P$2:$P$1090,MATCH($A50&amp;"|"&amp;"JPN",Rank_Changes!$U$2:$U$1090,0))),"–")</f>
        <v>0</v>
      </c>
      <c r="N50" s="26" t="n">
        <f aca="false">IFERROR(IF(INDEX(Rank_Changes!$P$2:$P$1090,MATCH($A50&amp;"|"&amp;"AUS",Rank_Changes!$U$2:$U$1090,0))="","–",INDEX(Rank_Changes!$P$2:$P$1090,MATCH($A50&amp;"|"&amp;"AUS",Rank_Changes!$U$2:$U$1090,0))),"–")</f>
        <v>1</v>
      </c>
    </row>
    <row r="51" customFormat="false" ht="15" hidden="false" customHeight="false" outlineLevel="0" collapsed="false">
      <c r="A51" s="12" t="s">
        <v>148</v>
      </c>
      <c r="B51" s="12" t="s">
        <v>321</v>
      </c>
      <c r="C51" s="12" t="s">
        <v>149</v>
      </c>
      <c r="D51" s="26" t="n">
        <f aca="false">IFERROR(IF(INDEX(Rank_Changes!$P$2:$P$1090,MATCH($A51&amp;"|"&amp;"USA",Rank_Changes!$U$2:$U$1090,0))="","–",INDEX(Rank_Changes!$P$2:$P$1090,MATCH($A51&amp;"|"&amp;"USA",Rank_Changes!$U$2:$U$1090,0))),"–")</f>
        <v>0</v>
      </c>
      <c r="E51" s="26" t="n">
        <f aca="false">IFERROR(IF(INDEX(Rank_Changes!$P$2:$P$1090,MATCH($A51&amp;"|"&amp;"GBR",Rank_Changes!$U$2:$U$1090,0))="","–",INDEX(Rank_Changes!$P$2:$P$1090,MATCH($A51&amp;"|"&amp;"GBR",Rank_Changes!$U$2:$U$1090,0))),"–")</f>
        <v>1</v>
      </c>
      <c r="F51" s="26" t="n">
        <f aca="false">IFERROR(IF(INDEX(Rank_Changes!$P$2:$P$1090,MATCH($A51&amp;"|"&amp;"DEU",Rank_Changes!$U$2:$U$1090,0))="","–",INDEX(Rank_Changes!$P$2:$P$1090,MATCH($A51&amp;"|"&amp;"DEU",Rank_Changes!$U$2:$U$1090,0))),"–")</f>
        <v>0</v>
      </c>
      <c r="G51" s="26" t="n">
        <f aca="false">IFERROR(IF(INDEX(Rank_Changes!$P$2:$P$1090,MATCH($A51&amp;"|"&amp;"SWE",Rank_Changes!$U$2:$U$1090,0))="","–",INDEX(Rank_Changes!$P$2:$P$1090,MATCH($A51&amp;"|"&amp;"SWE",Rank_Changes!$U$2:$U$1090,0))),"–")</f>
        <v>-2</v>
      </c>
      <c r="H51" s="26" t="str">
        <f aca="false">IFERROR(IF(INDEX(Rank_Changes!$P$2:$P$1090,MATCH($A51&amp;"|"&amp;"FRA",Rank_Changes!$U$2:$U$1090,0))="","–",INDEX(Rank_Changes!$P$2:$P$1090,MATCH($A51&amp;"|"&amp;"FRA",Rank_Changes!$U$2:$U$1090,0))),"–")</f>
        <v>–</v>
      </c>
      <c r="I51" s="26" t="n">
        <f aca="false">IFERROR(IF(INDEX(Rank_Changes!$P$2:$P$1090,MATCH($A51&amp;"|"&amp;"NLD",Rank_Changes!$U$2:$U$1090,0))="","–",INDEX(Rank_Changes!$P$2:$P$1090,MATCH($A51&amp;"|"&amp;"NLD",Rank_Changes!$U$2:$U$1090,0))),"–")</f>
        <v>0</v>
      </c>
      <c r="J51" s="26" t="n">
        <f aca="false">IFERROR(IF(INDEX(Rank_Changes!$P$2:$P$1090,MATCH($A51&amp;"|"&amp;"CHE",Rank_Changes!$U$2:$U$1090,0))="","–",INDEX(Rank_Changes!$P$2:$P$1090,MATCH($A51&amp;"|"&amp;"CHE",Rank_Changes!$U$2:$U$1090,0))),"–")</f>
        <v>0</v>
      </c>
      <c r="K51" s="26" t="n">
        <f aca="false">IFERROR(IF(INDEX(Rank_Changes!$P$2:$P$1090,MATCH($A51&amp;"|"&amp;"DNK",Rank_Changes!$U$2:$U$1090,0))="","–",INDEX(Rank_Changes!$P$2:$P$1090,MATCH($A51&amp;"|"&amp;"DNK",Rank_Changes!$U$2:$U$1090,0))),"–")</f>
        <v>0</v>
      </c>
      <c r="L51" s="26" t="n">
        <f aca="false">IFERROR(IF(INDEX(Rank_Changes!$P$2:$P$1090,MATCH($A51&amp;"|"&amp;"CAN",Rank_Changes!$U$2:$U$1090,0))="","–",INDEX(Rank_Changes!$P$2:$P$1090,MATCH($A51&amp;"|"&amp;"CAN",Rank_Changes!$U$2:$U$1090,0))),"–")</f>
        <v>0</v>
      </c>
      <c r="M51" s="26" t="n">
        <f aca="false">IFERROR(IF(INDEX(Rank_Changes!$P$2:$P$1090,MATCH($A51&amp;"|"&amp;"JPN",Rank_Changes!$U$2:$U$1090,0))="","–",INDEX(Rank_Changes!$P$2:$P$1090,MATCH($A51&amp;"|"&amp;"JPN",Rank_Changes!$U$2:$U$1090,0))),"–")</f>
        <v>-1</v>
      </c>
      <c r="N51" s="26" t="n">
        <f aca="false">IFERROR(IF(INDEX(Rank_Changes!$P$2:$P$1090,MATCH($A51&amp;"|"&amp;"AUS",Rank_Changes!$U$2:$U$1090,0))="","–",INDEX(Rank_Changes!$P$2:$P$1090,MATCH($A51&amp;"|"&amp;"AUS",Rank_Changes!$U$2:$U$1090,0))),"–")</f>
        <v>2</v>
      </c>
    </row>
    <row r="52" customFormat="false" ht="15" hidden="false" customHeight="false" outlineLevel="0" collapsed="false">
      <c r="A52" s="12" t="s">
        <v>150</v>
      </c>
      <c r="B52" s="12" t="s">
        <v>321</v>
      </c>
      <c r="C52" s="12" t="s">
        <v>151</v>
      </c>
      <c r="D52" s="26" t="n">
        <f aca="false">IFERROR(IF(INDEX(Rank_Changes!$P$2:$P$1090,MATCH($A52&amp;"|"&amp;"USA",Rank_Changes!$U$2:$U$1090,0))="","–",INDEX(Rank_Changes!$P$2:$P$1090,MATCH($A52&amp;"|"&amp;"USA",Rank_Changes!$U$2:$U$1090,0))),"–")</f>
        <v>0</v>
      </c>
      <c r="E52" s="26" t="n">
        <f aca="false">IFERROR(IF(INDEX(Rank_Changes!$P$2:$P$1090,MATCH($A52&amp;"|"&amp;"GBR",Rank_Changes!$U$2:$U$1090,0))="","–",INDEX(Rank_Changes!$P$2:$P$1090,MATCH($A52&amp;"|"&amp;"GBR",Rank_Changes!$U$2:$U$1090,0))),"–")</f>
        <v>0</v>
      </c>
      <c r="F52" s="26" t="n">
        <f aca="false">IFERROR(IF(INDEX(Rank_Changes!$P$2:$P$1090,MATCH($A52&amp;"|"&amp;"DEU",Rank_Changes!$U$2:$U$1090,0))="","–",INDEX(Rank_Changes!$P$2:$P$1090,MATCH($A52&amp;"|"&amp;"DEU",Rank_Changes!$U$2:$U$1090,0))),"–")</f>
        <v>3</v>
      </c>
      <c r="G52" s="26" t="n">
        <f aca="false">IFERROR(IF(INDEX(Rank_Changes!$P$2:$P$1090,MATCH($A52&amp;"|"&amp;"SWE",Rank_Changes!$U$2:$U$1090,0))="","–",INDEX(Rank_Changes!$P$2:$P$1090,MATCH($A52&amp;"|"&amp;"SWE",Rank_Changes!$U$2:$U$1090,0))),"–")</f>
        <v>-2</v>
      </c>
      <c r="H52" s="26" t="n">
        <f aca="false">IFERROR(IF(INDEX(Rank_Changes!$P$2:$P$1090,MATCH($A52&amp;"|"&amp;"FRA",Rank_Changes!$U$2:$U$1090,0))="","–",INDEX(Rank_Changes!$P$2:$P$1090,MATCH($A52&amp;"|"&amp;"FRA",Rank_Changes!$U$2:$U$1090,0))),"–")</f>
        <v>0</v>
      </c>
      <c r="I52" s="26" t="n">
        <f aca="false">IFERROR(IF(INDEX(Rank_Changes!$P$2:$P$1090,MATCH($A52&amp;"|"&amp;"NLD",Rank_Changes!$U$2:$U$1090,0))="","–",INDEX(Rank_Changes!$P$2:$P$1090,MATCH($A52&amp;"|"&amp;"NLD",Rank_Changes!$U$2:$U$1090,0))),"–")</f>
        <v>-1</v>
      </c>
      <c r="J52" s="26" t="n">
        <f aca="false">IFERROR(IF(INDEX(Rank_Changes!$P$2:$P$1090,MATCH($A52&amp;"|"&amp;"CHE",Rank_Changes!$U$2:$U$1090,0))="","–",INDEX(Rank_Changes!$P$2:$P$1090,MATCH($A52&amp;"|"&amp;"CHE",Rank_Changes!$U$2:$U$1090,0))),"–")</f>
        <v>2</v>
      </c>
      <c r="K52" s="26" t="n">
        <f aca="false">IFERROR(IF(INDEX(Rank_Changes!$P$2:$P$1090,MATCH($A52&amp;"|"&amp;"DNK",Rank_Changes!$U$2:$U$1090,0))="","–",INDEX(Rank_Changes!$P$2:$P$1090,MATCH($A52&amp;"|"&amp;"DNK",Rank_Changes!$U$2:$U$1090,0))),"–")</f>
        <v>-2</v>
      </c>
      <c r="L52" s="26" t="n">
        <f aca="false">IFERROR(IF(INDEX(Rank_Changes!$P$2:$P$1090,MATCH($A52&amp;"|"&amp;"CAN",Rank_Changes!$U$2:$U$1090,0))="","–",INDEX(Rank_Changes!$P$2:$P$1090,MATCH($A52&amp;"|"&amp;"CAN",Rank_Changes!$U$2:$U$1090,0))),"–")</f>
        <v>1</v>
      </c>
      <c r="M52" s="26" t="n">
        <f aca="false">IFERROR(IF(INDEX(Rank_Changes!$P$2:$P$1090,MATCH($A52&amp;"|"&amp;"JPN",Rank_Changes!$U$2:$U$1090,0))="","–",INDEX(Rank_Changes!$P$2:$P$1090,MATCH($A52&amp;"|"&amp;"JPN",Rank_Changes!$U$2:$U$1090,0))),"–")</f>
        <v>-4</v>
      </c>
      <c r="N52" s="26" t="n">
        <f aca="false">IFERROR(IF(INDEX(Rank_Changes!$P$2:$P$1090,MATCH($A52&amp;"|"&amp;"AUS",Rank_Changes!$U$2:$U$1090,0))="","–",INDEX(Rank_Changes!$P$2:$P$1090,MATCH($A52&amp;"|"&amp;"AUS",Rank_Changes!$U$2:$U$1090,0))),"–")</f>
        <v>3</v>
      </c>
    </row>
    <row r="53" customFormat="false" ht="15" hidden="false" customHeight="false" outlineLevel="0" collapsed="false">
      <c r="A53" s="12" t="s">
        <v>152</v>
      </c>
      <c r="B53" s="12" t="s">
        <v>321</v>
      </c>
      <c r="C53" s="12" t="s">
        <v>153</v>
      </c>
      <c r="D53" s="26" t="n">
        <f aca="false">IFERROR(IF(INDEX(Rank_Changes!$P$2:$P$1090,MATCH($A53&amp;"|"&amp;"USA",Rank_Changes!$U$2:$U$1090,0))="","–",INDEX(Rank_Changes!$P$2:$P$1090,MATCH($A53&amp;"|"&amp;"USA",Rank_Changes!$U$2:$U$1090,0))),"–")</f>
        <v>2</v>
      </c>
      <c r="E53" s="26" t="n">
        <f aca="false">IFERROR(IF(INDEX(Rank_Changes!$P$2:$P$1090,MATCH($A53&amp;"|"&amp;"GBR",Rank_Changes!$U$2:$U$1090,0))="","–",INDEX(Rank_Changes!$P$2:$P$1090,MATCH($A53&amp;"|"&amp;"GBR",Rank_Changes!$U$2:$U$1090,0))),"–")</f>
        <v>0</v>
      </c>
      <c r="F53" s="26" t="n">
        <f aca="false">IFERROR(IF(INDEX(Rank_Changes!$P$2:$P$1090,MATCH($A53&amp;"|"&amp;"DEU",Rank_Changes!$U$2:$U$1090,0))="","–",INDEX(Rank_Changes!$P$2:$P$1090,MATCH($A53&amp;"|"&amp;"DEU",Rank_Changes!$U$2:$U$1090,0))),"–")</f>
        <v>0</v>
      </c>
      <c r="G53" s="26" t="n">
        <f aca="false">IFERROR(IF(INDEX(Rank_Changes!$P$2:$P$1090,MATCH($A53&amp;"|"&amp;"SWE",Rank_Changes!$U$2:$U$1090,0))="","–",INDEX(Rank_Changes!$P$2:$P$1090,MATCH($A53&amp;"|"&amp;"SWE",Rank_Changes!$U$2:$U$1090,0))),"–")</f>
        <v>-3</v>
      </c>
      <c r="H53" s="26" t="n">
        <f aca="false">IFERROR(IF(INDEX(Rank_Changes!$P$2:$P$1090,MATCH($A53&amp;"|"&amp;"FRA",Rank_Changes!$U$2:$U$1090,0))="","–",INDEX(Rank_Changes!$P$2:$P$1090,MATCH($A53&amp;"|"&amp;"FRA",Rank_Changes!$U$2:$U$1090,0))),"–")</f>
        <v>1</v>
      </c>
      <c r="I53" s="26" t="n">
        <f aca="false">IFERROR(IF(INDEX(Rank_Changes!$P$2:$P$1090,MATCH($A53&amp;"|"&amp;"NLD",Rank_Changes!$U$2:$U$1090,0))="","–",INDEX(Rank_Changes!$P$2:$P$1090,MATCH($A53&amp;"|"&amp;"NLD",Rank_Changes!$U$2:$U$1090,0))),"–")</f>
        <v>1</v>
      </c>
      <c r="J53" s="26" t="n">
        <f aca="false">IFERROR(IF(INDEX(Rank_Changes!$P$2:$P$1090,MATCH($A53&amp;"|"&amp;"CHE",Rank_Changes!$U$2:$U$1090,0))="","–",INDEX(Rank_Changes!$P$2:$P$1090,MATCH($A53&amp;"|"&amp;"CHE",Rank_Changes!$U$2:$U$1090,0))),"–")</f>
        <v>1</v>
      </c>
      <c r="K53" s="26" t="n">
        <f aca="false">IFERROR(IF(INDEX(Rank_Changes!$P$2:$P$1090,MATCH($A53&amp;"|"&amp;"DNK",Rank_Changes!$U$2:$U$1090,0))="","–",INDEX(Rank_Changes!$P$2:$P$1090,MATCH($A53&amp;"|"&amp;"DNK",Rank_Changes!$U$2:$U$1090,0))),"–")</f>
        <v>-1</v>
      </c>
      <c r="L53" s="26" t="n">
        <f aca="false">IFERROR(IF(INDEX(Rank_Changes!$P$2:$P$1090,MATCH($A53&amp;"|"&amp;"CAN",Rank_Changes!$U$2:$U$1090,0))="","–",INDEX(Rank_Changes!$P$2:$P$1090,MATCH($A53&amp;"|"&amp;"CAN",Rank_Changes!$U$2:$U$1090,0))),"–")</f>
        <v>-1</v>
      </c>
      <c r="M53" s="26" t="n">
        <f aca="false">IFERROR(IF(INDEX(Rank_Changes!$P$2:$P$1090,MATCH($A53&amp;"|"&amp;"JPN",Rank_Changes!$U$2:$U$1090,0))="","–",INDEX(Rank_Changes!$P$2:$P$1090,MATCH($A53&amp;"|"&amp;"JPN",Rank_Changes!$U$2:$U$1090,0))),"–")</f>
        <v>0</v>
      </c>
      <c r="N53" s="26" t="n">
        <f aca="false">IFERROR(IF(INDEX(Rank_Changes!$P$2:$P$1090,MATCH($A53&amp;"|"&amp;"AUS",Rank_Changes!$U$2:$U$1090,0))="","–",INDEX(Rank_Changes!$P$2:$P$1090,MATCH($A53&amp;"|"&amp;"AUS",Rank_Changes!$U$2:$U$1090,0))),"–")</f>
        <v>0</v>
      </c>
    </row>
    <row r="54" customFormat="false" ht="15" hidden="false" customHeight="false" outlineLevel="0" collapsed="false">
      <c r="A54" s="12" t="s">
        <v>154</v>
      </c>
      <c r="B54" s="12" t="s">
        <v>321</v>
      </c>
      <c r="C54" s="12" t="s">
        <v>155</v>
      </c>
      <c r="D54" s="26" t="n">
        <f aca="false">IFERROR(IF(INDEX(Rank_Changes!$P$2:$P$1090,MATCH($A54&amp;"|"&amp;"USA",Rank_Changes!$U$2:$U$1090,0))="","–",INDEX(Rank_Changes!$P$2:$P$1090,MATCH($A54&amp;"|"&amp;"USA",Rank_Changes!$U$2:$U$1090,0))),"–")</f>
        <v>-2</v>
      </c>
      <c r="E54" s="26" t="n">
        <f aca="false">IFERROR(IF(INDEX(Rank_Changes!$P$2:$P$1090,MATCH($A54&amp;"|"&amp;"GBR",Rank_Changes!$U$2:$U$1090,0))="","–",INDEX(Rank_Changes!$P$2:$P$1090,MATCH($A54&amp;"|"&amp;"GBR",Rank_Changes!$U$2:$U$1090,0))),"–")</f>
        <v>1</v>
      </c>
      <c r="F54" s="26" t="n">
        <f aca="false">IFERROR(IF(INDEX(Rank_Changes!$P$2:$P$1090,MATCH($A54&amp;"|"&amp;"DEU",Rank_Changes!$U$2:$U$1090,0))="","–",INDEX(Rank_Changes!$P$2:$P$1090,MATCH($A54&amp;"|"&amp;"DEU",Rank_Changes!$U$2:$U$1090,0))),"–")</f>
        <v>0</v>
      </c>
      <c r="G54" s="26" t="str">
        <f aca="false">IFERROR(IF(INDEX(Rank_Changes!$P$2:$P$1090,MATCH($A54&amp;"|"&amp;"SWE",Rank_Changes!$U$2:$U$1090,0))="","–",INDEX(Rank_Changes!$P$2:$P$1090,MATCH($A54&amp;"|"&amp;"SWE",Rank_Changes!$U$2:$U$1090,0))),"–")</f>
        <v>–</v>
      </c>
      <c r="H54" s="26" t="n">
        <f aca="false">IFERROR(IF(INDEX(Rank_Changes!$P$2:$P$1090,MATCH($A54&amp;"|"&amp;"FRA",Rank_Changes!$U$2:$U$1090,0))="","–",INDEX(Rank_Changes!$P$2:$P$1090,MATCH($A54&amp;"|"&amp;"FRA",Rank_Changes!$U$2:$U$1090,0))),"–")</f>
        <v>2</v>
      </c>
      <c r="I54" s="26" t="n">
        <f aca="false">IFERROR(IF(INDEX(Rank_Changes!$P$2:$P$1090,MATCH($A54&amp;"|"&amp;"NLD",Rank_Changes!$U$2:$U$1090,0))="","–",INDEX(Rank_Changes!$P$2:$P$1090,MATCH($A54&amp;"|"&amp;"NLD",Rank_Changes!$U$2:$U$1090,0))),"–")</f>
        <v>1</v>
      </c>
      <c r="J54" s="26" t="n">
        <f aca="false">IFERROR(IF(INDEX(Rank_Changes!$P$2:$P$1090,MATCH($A54&amp;"|"&amp;"CHE",Rank_Changes!$U$2:$U$1090,0))="","–",INDEX(Rank_Changes!$P$2:$P$1090,MATCH($A54&amp;"|"&amp;"CHE",Rank_Changes!$U$2:$U$1090,0))),"–")</f>
        <v>1</v>
      </c>
      <c r="K54" s="26" t="n">
        <f aca="false">IFERROR(IF(INDEX(Rank_Changes!$P$2:$P$1090,MATCH($A54&amp;"|"&amp;"DNK",Rank_Changes!$U$2:$U$1090,0))="","–",INDEX(Rank_Changes!$P$2:$P$1090,MATCH($A54&amp;"|"&amp;"DNK",Rank_Changes!$U$2:$U$1090,0))),"–")</f>
        <v>-1</v>
      </c>
      <c r="L54" s="26" t="n">
        <f aca="false">IFERROR(IF(INDEX(Rank_Changes!$P$2:$P$1090,MATCH($A54&amp;"|"&amp;"CAN",Rank_Changes!$U$2:$U$1090,0))="","–",INDEX(Rank_Changes!$P$2:$P$1090,MATCH($A54&amp;"|"&amp;"CAN",Rank_Changes!$U$2:$U$1090,0))),"–")</f>
        <v>-2</v>
      </c>
      <c r="M54" s="26" t="n">
        <f aca="false">IFERROR(IF(INDEX(Rank_Changes!$P$2:$P$1090,MATCH($A54&amp;"|"&amp;"JPN",Rank_Changes!$U$2:$U$1090,0))="","–",INDEX(Rank_Changes!$P$2:$P$1090,MATCH($A54&amp;"|"&amp;"JPN",Rank_Changes!$U$2:$U$1090,0))),"–")</f>
        <v>0</v>
      </c>
      <c r="N54" s="26" t="n">
        <f aca="false">IFERROR(IF(INDEX(Rank_Changes!$P$2:$P$1090,MATCH($A54&amp;"|"&amp;"AUS",Rank_Changes!$U$2:$U$1090,0))="","–",INDEX(Rank_Changes!$P$2:$P$1090,MATCH($A54&amp;"|"&amp;"AUS",Rank_Changes!$U$2:$U$1090,0))),"–")</f>
        <v>0</v>
      </c>
    </row>
    <row r="55" customFormat="false" ht="15" hidden="false" customHeight="false" outlineLevel="0" collapsed="false">
      <c r="A55" s="12" t="s">
        <v>156</v>
      </c>
      <c r="B55" s="12" t="s">
        <v>321</v>
      </c>
      <c r="C55" s="12" t="s">
        <v>157</v>
      </c>
      <c r="D55" s="26" t="n">
        <f aca="false">IFERROR(IF(INDEX(Rank_Changes!$P$2:$P$1090,MATCH($A55&amp;"|"&amp;"USA",Rank_Changes!$U$2:$U$1090,0))="","–",INDEX(Rank_Changes!$P$2:$P$1090,MATCH($A55&amp;"|"&amp;"USA",Rank_Changes!$U$2:$U$1090,0))),"–")</f>
        <v>0</v>
      </c>
      <c r="E55" s="26" t="n">
        <f aca="false">IFERROR(IF(INDEX(Rank_Changes!$P$2:$P$1090,MATCH($A55&amp;"|"&amp;"GBR",Rank_Changes!$U$2:$U$1090,0))="","–",INDEX(Rank_Changes!$P$2:$P$1090,MATCH($A55&amp;"|"&amp;"GBR",Rank_Changes!$U$2:$U$1090,0))),"–")</f>
        <v>0</v>
      </c>
      <c r="F55" s="26" t="n">
        <f aca="false">IFERROR(IF(INDEX(Rank_Changes!$P$2:$P$1090,MATCH($A55&amp;"|"&amp;"DEU",Rank_Changes!$U$2:$U$1090,0))="","–",INDEX(Rank_Changes!$P$2:$P$1090,MATCH($A55&amp;"|"&amp;"DEU",Rank_Changes!$U$2:$U$1090,0))),"–")</f>
        <v>0</v>
      </c>
      <c r="G55" s="26" t="str">
        <f aca="false">IFERROR(IF(INDEX(Rank_Changes!$P$2:$P$1090,MATCH($A55&amp;"|"&amp;"SWE",Rank_Changes!$U$2:$U$1090,0))="","–",INDEX(Rank_Changes!$P$2:$P$1090,MATCH($A55&amp;"|"&amp;"SWE",Rank_Changes!$U$2:$U$1090,0))),"–")</f>
        <v>–</v>
      </c>
      <c r="H55" s="26" t="n">
        <f aca="false">IFERROR(IF(INDEX(Rank_Changes!$P$2:$P$1090,MATCH($A55&amp;"|"&amp;"FRA",Rank_Changes!$U$2:$U$1090,0))="","–",INDEX(Rank_Changes!$P$2:$P$1090,MATCH($A55&amp;"|"&amp;"FRA",Rank_Changes!$U$2:$U$1090,0))),"–")</f>
        <v>1</v>
      </c>
      <c r="I55" s="26" t="n">
        <f aca="false">IFERROR(IF(INDEX(Rank_Changes!$P$2:$P$1090,MATCH($A55&amp;"|"&amp;"NLD",Rank_Changes!$U$2:$U$1090,0))="","–",INDEX(Rank_Changes!$P$2:$P$1090,MATCH($A55&amp;"|"&amp;"NLD",Rank_Changes!$U$2:$U$1090,0))),"–")</f>
        <v>0</v>
      </c>
      <c r="J55" s="26" t="n">
        <f aca="false">IFERROR(IF(INDEX(Rank_Changes!$P$2:$P$1090,MATCH($A55&amp;"|"&amp;"CHE",Rank_Changes!$U$2:$U$1090,0))="","–",INDEX(Rank_Changes!$P$2:$P$1090,MATCH($A55&amp;"|"&amp;"CHE",Rank_Changes!$U$2:$U$1090,0))),"–")</f>
        <v>0</v>
      </c>
      <c r="K55" s="26" t="n">
        <f aca="false">IFERROR(IF(INDEX(Rank_Changes!$P$2:$P$1090,MATCH($A55&amp;"|"&amp;"DNK",Rank_Changes!$U$2:$U$1090,0))="","–",INDEX(Rank_Changes!$P$2:$P$1090,MATCH($A55&amp;"|"&amp;"DNK",Rank_Changes!$U$2:$U$1090,0))),"–")</f>
        <v>0</v>
      </c>
      <c r="L55" s="26" t="n">
        <f aca="false">IFERROR(IF(INDEX(Rank_Changes!$P$2:$P$1090,MATCH($A55&amp;"|"&amp;"CAN",Rank_Changes!$U$2:$U$1090,0))="","–",INDEX(Rank_Changes!$P$2:$P$1090,MATCH($A55&amp;"|"&amp;"CAN",Rank_Changes!$U$2:$U$1090,0))),"–")</f>
        <v>-2</v>
      </c>
      <c r="M55" s="26" t="n">
        <f aca="false">IFERROR(IF(INDEX(Rank_Changes!$P$2:$P$1090,MATCH($A55&amp;"|"&amp;"JPN",Rank_Changes!$U$2:$U$1090,0))="","–",INDEX(Rank_Changes!$P$2:$P$1090,MATCH($A55&amp;"|"&amp;"JPN",Rank_Changes!$U$2:$U$1090,0))),"–")</f>
        <v>-1</v>
      </c>
      <c r="N55" s="26" t="n">
        <f aca="false">IFERROR(IF(INDEX(Rank_Changes!$P$2:$P$1090,MATCH($A55&amp;"|"&amp;"AUS",Rank_Changes!$U$2:$U$1090,0))="","–",INDEX(Rank_Changes!$P$2:$P$1090,MATCH($A55&amp;"|"&amp;"AUS",Rank_Changes!$U$2:$U$1090,0))),"–")</f>
        <v>2</v>
      </c>
    </row>
    <row r="56" customFormat="false" ht="15" hidden="false" customHeight="false" outlineLevel="0" collapsed="false">
      <c r="A56" s="12" t="s">
        <v>158</v>
      </c>
      <c r="B56" s="12" t="s">
        <v>321</v>
      </c>
      <c r="C56" s="12" t="s">
        <v>159</v>
      </c>
      <c r="D56" s="26" t="n">
        <f aca="false">IFERROR(IF(INDEX(Rank_Changes!$P$2:$P$1090,MATCH($A56&amp;"|"&amp;"USA",Rank_Changes!$U$2:$U$1090,0))="","–",INDEX(Rank_Changes!$P$2:$P$1090,MATCH($A56&amp;"|"&amp;"USA",Rank_Changes!$U$2:$U$1090,0))),"–")</f>
        <v>-2</v>
      </c>
      <c r="E56" s="26" t="n">
        <f aca="false">IFERROR(IF(INDEX(Rank_Changes!$P$2:$P$1090,MATCH($A56&amp;"|"&amp;"GBR",Rank_Changes!$U$2:$U$1090,0))="","–",INDEX(Rank_Changes!$P$2:$P$1090,MATCH($A56&amp;"|"&amp;"GBR",Rank_Changes!$U$2:$U$1090,0))),"–")</f>
        <v>1</v>
      </c>
      <c r="F56" s="26" t="n">
        <f aca="false">IFERROR(IF(INDEX(Rank_Changes!$P$2:$P$1090,MATCH($A56&amp;"|"&amp;"DEU",Rank_Changes!$U$2:$U$1090,0))="","–",INDEX(Rank_Changes!$P$2:$P$1090,MATCH($A56&amp;"|"&amp;"DEU",Rank_Changes!$U$2:$U$1090,0))),"–")</f>
        <v>1</v>
      </c>
      <c r="G56" s="26" t="n">
        <f aca="false">IFERROR(IF(INDEX(Rank_Changes!$P$2:$P$1090,MATCH($A56&amp;"|"&amp;"SWE",Rank_Changes!$U$2:$U$1090,0))="","–",INDEX(Rank_Changes!$P$2:$P$1090,MATCH($A56&amp;"|"&amp;"SWE",Rank_Changes!$U$2:$U$1090,0))),"–")</f>
        <v>1</v>
      </c>
      <c r="H56" s="26" t="n">
        <f aca="false">IFERROR(IF(INDEX(Rank_Changes!$P$2:$P$1090,MATCH($A56&amp;"|"&amp;"FRA",Rank_Changes!$U$2:$U$1090,0))="","–",INDEX(Rank_Changes!$P$2:$P$1090,MATCH($A56&amp;"|"&amp;"FRA",Rank_Changes!$U$2:$U$1090,0))),"–")</f>
        <v>-1</v>
      </c>
      <c r="I56" s="26" t="n">
        <f aca="false">IFERROR(IF(INDEX(Rank_Changes!$P$2:$P$1090,MATCH($A56&amp;"|"&amp;"NLD",Rank_Changes!$U$2:$U$1090,0))="","–",INDEX(Rank_Changes!$P$2:$P$1090,MATCH($A56&amp;"|"&amp;"NLD",Rank_Changes!$U$2:$U$1090,0))),"–")</f>
        <v>0</v>
      </c>
      <c r="J56" s="26" t="n">
        <f aca="false">IFERROR(IF(INDEX(Rank_Changes!$P$2:$P$1090,MATCH($A56&amp;"|"&amp;"CHE",Rank_Changes!$U$2:$U$1090,0))="","–",INDEX(Rank_Changes!$P$2:$P$1090,MATCH($A56&amp;"|"&amp;"CHE",Rank_Changes!$U$2:$U$1090,0))),"–")</f>
        <v>-1</v>
      </c>
      <c r="K56" s="26" t="n">
        <f aca="false">IFERROR(IF(INDEX(Rank_Changes!$P$2:$P$1090,MATCH($A56&amp;"|"&amp;"DNK",Rank_Changes!$U$2:$U$1090,0))="","–",INDEX(Rank_Changes!$P$2:$P$1090,MATCH($A56&amp;"|"&amp;"DNK",Rank_Changes!$U$2:$U$1090,0))),"–")</f>
        <v>0</v>
      </c>
      <c r="L56" s="26" t="n">
        <f aca="false">IFERROR(IF(INDEX(Rank_Changes!$P$2:$P$1090,MATCH($A56&amp;"|"&amp;"CAN",Rank_Changes!$U$2:$U$1090,0))="","–",INDEX(Rank_Changes!$P$2:$P$1090,MATCH($A56&amp;"|"&amp;"CAN",Rank_Changes!$U$2:$U$1090,0))),"–")</f>
        <v>0</v>
      </c>
      <c r="M56" s="26" t="str">
        <f aca="false">IFERROR(IF(INDEX(Rank_Changes!$P$2:$P$1090,MATCH($A56&amp;"|"&amp;"JPN",Rank_Changes!$U$2:$U$1090,0))="","–",INDEX(Rank_Changes!$P$2:$P$1090,MATCH($A56&amp;"|"&amp;"JPN",Rank_Changes!$U$2:$U$1090,0))),"–")</f>
        <v>–</v>
      </c>
      <c r="N56" s="26" t="n">
        <f aca="false">IFERROR(IF(INDEX(Rank_Changes!$P$2:$P$1090,MATCH($A56&amp;"|"&amp;"AUS",Rank_Changes!$U$2:$U$1090,0))="","–",INDEX(Rank_Changes!$P$2:$P$1090,MATCH($A56&amp;"|"&amp;"AUS",Rank_Changes!$U$2:$U$1090,0))),"–")</f>
        <v>1</v>
      </c>
    </row>
    <row r="57" customFormat="false" ht="15" hidden="false" customHeight="false" outlineLevel="0" collapsed="false">
      <c r="A57" s="12" t="s">
        <v>160</v>
      </c>
      <c r="B57" s="12" t="s">
        <v>321</v>
      </c>
      <c r="C57" s="12" t="s">
        <v>161</v>
      </c>
      <c r="D57" s="26" t="n">
        <f aca="false">IFERROR(IF(INDEX(Rank_Changes!$P$2:$P$1090,MATCH($A57&amp;"|"&amp;"USA",Rank_Changes!$U$2:$U$1090,0))="","–",INDEX(Rank_Changes!$P$2:$P$1090,MATCH($A57&amp;"|"&amp;"USA",Rank_Changes!$U$2:$U$1090,0))),"–")</f>
        <v>-5</v>
      </c>
      <c r="E57" s="26" t="n">
        <f aca="false">IFERROR(IF(INDEX(Rank_Changes!$P$2:$P$1090,MATCH($A57&amp;"|"&amp;"GBR",Rank_Changes!$U$2:$U$1090,0))="","–",INDEX(Rank_Changes!$P$2:$P$1090,MATCH($A57&amp;"|"&amp;"GBR",Rank_Changes!$U$2:$U$1090,0))),"–")</f>
        <v>-1</v>
      </c>
      <c r="F57" s="26" t="n">
        <f aca="false">IFERROR(IF(INDEX(Rank_Changes!$P$2:$P$1090,MATCH($A57&amp;"|"&amp;"DEU",Rank_Changes!$U$2:$U$1090,0))="","–",INDEX(Rank_Changes!$P$2:$P$1090,MATCH($A57&amp;"|"&amp;"DEU",Rank_Changes!$U$2:$U$1090,0))),"–")</f>
        <v>0</v>
      </c>
      <c r="G57" s="26" t="n">
        <f aca="false">IFERROR(IF(INDEX(Rank_Changes!$P$2:$P$1090,MATCH($A57&amp;"|"&amp;"SWE",Rank_Changes!$U$2:$U$1090,0))="","–",INDEX(Rank_Changes!$P$2:$P$1090,MATCH($A57&amp;"|"&amp;"SWE",Rank_Changes!$U$2:$U$1090,0))),"–")</f>
        <v>1</v>
      </c>
      <c r="H57" s="26" t="n">
        <f aca="false">IFERROR(IF(INDEX(Rank_Changes!$P$2:$P$1090,MATCH($A57&amp;"|"&amp;"FRA",Rank_Changes!$U$2:$U$1090,0))="","–",INDEX(Rank_Changes!$P$2:$P$1090,MATCH($A57&amp;"|"&amp;"FRA",Rank_Changes!$U$2:$U$1090,0))),"–")</f>
        <v>0</v>
      </c>
      <c r="I57" s="26" t="n">
        <f aca="false">IFERROR(IF(INDEX(Rank_Changes!$P$2:$P$1090,MATCH($A57&amp;"|"&amp;"NLD",Rank_Changes!$U$2:$U$1090,0))="","–",INDEX(Rank_Changes!$P$2:$P$1090,MATCH($A57&amp;"|"&amp;"NLD",Rank_Changes!$U$2:$U$1090,0))),"–")</f>
        <v>0</v>
      </c>
      <c r="J57" s="26" t="n">
        <f aca="false">IFERROR(IF(INDEX(Rank_Changes!$P$2:$P$1090,MATCH($A57&amp;"|"&amp;"CHE",Rank_Changes!$U$2:$U$1090,0))="","–",INDEX(Rank_Changes!$P$2:$P$1090,MATCH($A57&amp;"|"&amp;"CHE",Rank_Changes!$U$2:$U$1090,0))),"–")</f>
        <v>3</v>
      </c>
      <c r="K57" s="26" t="n">
        <f aca="false">IFERROR(IF(INDEX(Rank_Changes!$P$2:$P$1090,MATCH($A57&amp;"|"&amp;"DNK",Rank_Changes!$U$2:$U$1090,0))="","–",INDEX(Rank_Changes!$P$2:$P$1090,MATCH($A57&amp;"|"&amp;"DNK",Rank_Changes!$U$2:$U$1090,0))),"–")</f>
        <v>2</v>
      </c>
      <c r="L57" s="26" t="n">
        <f aca="false">IFERROR(IF(INDEX(Rank_Changes!$P$2:$P$1090,MATCH($A57&amp;"|"&amp;"CAN",Rank_Changes!$U$2:$U$1090,0))="","–",INDEX(Rank_Changes!$P$2:$P$1090,MATCH($A57&amp;"|"&amp;"CAN",Rank_Changes!$U$2:$U$1090,0))),"–")</f>
        <v>1</v>
      </c>
      <c r="M57" s="26" t="str">
        <f aca="false">IFERROR(IF(INDEX(Rank_Changes!$P$2:$P$1090,MATCH($A57&amp;"|"&amp;"JPN",Rank_Changes!$U$2:$U$1090,0))="","–",INDEX(Rank_Changes!$P$2:$P$1090,MATCH($A57&amp;"|"&amp;"JPN",Rank_Changes!$U$2:$U$1090,0))),"–")</f>
        <v>–</v>
      </c>
      <c r="N57" s="26" t="n">
        <f aca="false">IFERROR(IF(INDEX(Rank_Changes!$P$2:$P$1090,MATCH($A57&amp;"|"&amp;"AUS",Rank_Changes!$U$2:$U$1090,0))="","–",INDEX(Rank_Changes!$P$2:$P$1090,MATCH($A57&amp;"|"&amp;"AUS",Rank_Changes!$U$2:$U$1090,0))),"–")</f>
        <v>-1</v>
      </c>
    </row>
    <row r="58" customFormat="false" ht="15" hidden="false" customHeight="false" outlineLevel="0" collapsed="false">
      <c r="A58" s="12" t="s">
        <v>162</v>
      </c>
      <c r="B58" s="12" t="s">
        <v>321</v>
      </c>
      <c r="C58" s="12" t="s">
        <v>163</v>
      </c>
      <c r="D58" s="26" t="str">
        <f aca="false">IFERROR(IF(INDEX(Rank_Changes!$P$2:$P$1090,MATCH($A58&amp;"|"&amp;"USA",Rank_Changes!$U$2:$U$1090,0))="","–",INDEX(Rank_Changes!$P$2:$P$1090,MATCH($A58&amp;"|"&amp;"USA",Rank_Changes!$U$2:$U$1090,0))),"–")</f>
        <v>–</v>
      </c>
      <c r="E58" s="26" t="n">
        <f aca="false">IFERROR(IF(INDEX(Rank_Changes!$P$2:$P$1090,MATCH($A58&amp;"|"&amp;"GBR",Rank_Changes!$U$2:$U$1090,0))="","–",INDEX(Rank_Changes!$P$2:$P$1090,MATCH($A58&amp;"|"&amp;"GBR",Rank_Changes!$U$2:$U$1090,0))),"–")</f>
        <v>3</v>
      </c>
      <c r="F58" s="26" t="n">
        <f aca="false">IFERROR(IF(INDEX(Rank_Changes!$P$2:$P$1090,MATCH($A58&amp;"|"&amp;"DEU",Rank_Changes!$U$2:$U$1090,0))="","–",INDEX(Rank_Changes!$P$2:$P$1090,MATCH($A58&amp;"|"&amp;"DEU",Rank_Changes!$U$2:$U$1090,0))),"–")</f>
        <v>-2</v>
      </c>
      <c r="G58" s="26" t="n">
        <f aca="false">IFERROR(IF(INDEX(Rank_Changes!$P$2:$P$1090,MATCH($A58&amp;"|"&amp;"SWE",Rank_Changes!$U$2:$U$1090,0))="","–",INDEX(Rank_Changes!$P$2:$P$1090,MATCH($A58&amp;"|"&amp;"SWE",Rank_Changes!$U$2:$U$1090,0))),"–")</f>
        <v>-1</v>
      </c>
      <c r="H58" s="26" t="n">
        <f aca="false">IFERROR(IF(INDEX(Rank_Changes!$P$2:$P$1090,MATCH($A58&amp;"|"&amp;"FRA",Rank_Changes!$U$2:$U$1090,0))="","–",INDEX(Rank_Changes!$P$2:$P$1090,MATCH($A58&amp;"|"&amp;"FRA",Rank_Changes!$U$2:$U$1090,0))),"–")</f>
        <v>2</v>
      </c>
      <c r="I58" s="26" t="n">
        <f aca="false">IFERROR(IF(INDEX(Rank_Changes!$P$2:$P$1090,MATCH($A58&amp;"|"&amp;"NLD",Rank_Changes!$U$2:$U$1090,0))="","–",INDEX(Rank_Changes!$P$2:$P$1090,MATCH($A58&amp;"|"&amp;"NLD",Rank_Changes!$U$2:$U$1090,0))),"–")</f>
        <v>-1</v>
      </c>
      <c r="J58" s="26" t="n">
        <f aca="false">IFERROR(IF(INDEX(Rank_Changes!$P$2:$P$1090,MATCH($A58&amp;"|"&amp;"CHE",Rank_Changes!$U$2:$U$1090,0))="","–",INDEX(Rank_Changes!$P$2:$P$1090,MATCH($A58&amp;"|"&amp;"CHE",Rank_Changes!$U$2:$U$1090,0))),"–")</f>
        <v>1</v>
      </c>
      <c r="K58" s="26" t="n">
        <f aca="false">IFERROR(IF(INDEX(Rank_Changes!$P$2:$P$1090,MATCH($A58&amp;"|"&amp;"DNK",Rank_Changes!$U$2:$U$1090,0))="","–",INDEX(Rank_Changes!$P$2:$P$1090,MATCH($A58&amp;"|"&amp;"DNK",Rank_Changes!$U$2:$U$1090,0))),"–")</f>
        <v>-3</v>
      </c>
      <c r="L58" s="26" t="n">
        <f aca="false">IFERROR(IF(INDEX(Rank_Changes!$P$2:$P$1090,MATCH($A58&amp;"|"&amp;"CAN",Rank_Changes!$U$2:$U$1090,0))="","–",INDEX(Rank_Changes!$P$2:$P$1090,MATCH($A58&amp;"|"&amp;"CAN",Rank_Changes!$U$2:$U$1090,0))),"–")</f>
        <v>0</v>
      </c>
      <c r="M58" s="26" t="str">
        <f aca="false">IFERROR(IF(INDEX(Rank_Changes!$P$2:$P$1090,MATCH($A58&amp;"|"&amp;"JPN",Rank_Changes!$U$2:$U$1090,0))="","–",INDEX(Rank_Changes!$P$2:$P$1090,MATCH($A58&amp;"|"&amp;"JPN",Rank_Changes!$U$2:$U$1090,0))),"–")</f>
        <v>–</v>
      </c>
      <c r="N58" s="26" t="n">
        <f aca="false">IFERROR(IF(INDEX(Rank_Changes!$P$2:$P$1090,MATCH($A58&amp;"|"&amp;"AUS",Rank_Changes!$U$2:$U$1090,0))="","–",INDEX(Rank_Changes!$P$2:$P$1090,MATCH($A58&amp;"|"&amp;"AUS",Rank_Changes!$U$2:$U$1090,0))),"–")</f>
        <v>1</v>
      </c>
    </row>
    <row r="59" customFormat="false" ht="15" hidden="false" customHeight="false" outlineLevel="0" collapsed="false">
      <c r="A59" s="12" t="s">
        <v>164</v>
      </c>
      <c r="B59" s="12" t="s">
        <v>321</v>
      </c>
      <c r="C59" s="12" t="s">
        <v>165</v>
      </c>
      <c r="D59" s="26" t="n">
        <f aca="false">IFERROR(IF(INDEX(Rank_Changes!$P$2:$P$1090,MATCH($A59&amp;"|"&amp;"USA",Rank_Changes!$U$2:$U$1090,0))="","–",INDEX(Rank_Changes!$P$2:$P$1090,MATCH($A59&amp;"|"&amp;"USA",Rank_Changes!$U$2:$U$1090,0))),"–")</f>
        <v>-4</v>
      </c>
      <c r="E59" s="26" t="n">
        <f aca="false">IFERROR(IF(INDEX(Rank_Changes!$P$2:$P$1090,MATCH($A59&amp;"|"&amp;"GBR",Rank_Changes!$U$2:$U$1090,0))="","–",INDEX(Rank_Changes!$P$2:$P$1090,MATCH($A59&amp;"|"&amp;"GBR",Rank_Changes!$U$2:$U$1090,0))),"–")</f>
        <v>4</v>
      </c>
      <c r="F59" s="26" t="n">
        <f aca="false">IFERROR(IF(INDEX(Rank_Changes!$P$2:$P$1090,MATCH($A59&amp;"|"&amp;"DEU",Rank_Changes!$U$2:$U$1090,0))="","–",INDEX(Rank_Changes!$P$2:$P$1090,MATCH($A59&amp;"|"&amp;"DEU",Rank_Changes!$U$2:$U$1090,0))),"–")</f>
        <v>-2</v>
      </c>
      <c r="G59" s="26" t="n">
        <f aca="false">IFERROR(IF(INDEX(Rank_Changes!$P$2:$P$1090,MATCH($A59&amp;"|"&amp;"SWE",Rank_Changes!$U$2:$U$1090,0))="","–",INDEX(Rank_Changes!$P$2:$P$1090,MATCH($A59&amp;"|"&amp;"SWE",Rank_Changes!$U$2:$U$1090,0))),"–")</f>
        <v>0</v>
      </c>
      <c r="H59" s="26" t="n">
        <f aca="false">IFERROR(IF(INDEX(Rank_Changes!$P$2:$P$1090,MATCH($A59&amp;"|"&amp;"FRA",Rank_Changes!$U$2:$U$1090,0))="","–",INDEX(Rank_Changes!$P$2:$P$1090,MATCH($A59&amp;"|"&amp;"FRA",Rank_Changes!$U$2:$U$1090,0))),"–")</f>
        <v>0</v>
      </c>
      <c r="I59" s="26" t="n">
        <f aca="false">IFERROR(IF(INDEX(Rank_Changes!$P$2:$P$1090,MATCH($A59&amp;"|"&amp;"NLD",Rank_Changes!$U$2:$U$1090,0))="","–",INDEX(Rank_Changes!$P$2:$P$1090,MATCH($A59&amp;"|"&amp;"NLD",Rank_Changes!$U$2:$U$1090,0))),"–")</f>
        <v>0</v>
      </c>
      <c r="J59" s="26" t="n">
        <f aca="false">IFERROR(IF(INDEX(Rank_Changes!$P$2:$P$1090,MATCH($A59&amp;"|"&amp;"CHE",Rank_Changes!$U$2:$U$1090,0))="","–",INDEX(Rank_Changes!$P$2:$P$1090,MATCH($A59&amp;"|"&amp;"CHE",Rank_Changes!$U$2:$U$1090,0))),"–")</f>
        <v>-2</v>
      </c>
      <c r="K59" s="26" t="n">
        <f aca="false">IFERROR(IF(INDEX(Rank_Changes!$P$2:$P$1090,MATCH($A59&amp;"|"&amp;"DNK",Rank_Changes!$U$2:$U$1090,0))="","–",INDEX(Rank_Changes!$P$2:$P$1090,MATCH($A59&amp;"|"&amp;"DNK",Rank_Changes!$U$2:$U$1090,0))),"–")</f>
        <v>-1</v>
      </c>
      <c r="L59" s="26" t="n">
        <f aca="false">IFERROR(IF(INDEX(Rank_Changes!$P$2:$P$1090,MATCH($A59&amp;"|"&amp;"CAN",Rank_Changes!$U$2:$U$1090,0))="","–",INDEX(Rank_Changes!$P$2:$P$1090,MATCH($A59&amp;"|"&amp;"CAN",Rank_Changes!$U$2:$U$1090,0))),"–")</f>
        <v>1</v>
      </c>
      <c r="M59" s="26" t="str">
        <f aca="false">IFERROR(IF(INDEX(Rank_Changes!$P$2:$P$1090,MATCH($A59&amp;"|"&amp;"JPN",Rank_Changes!$U$2:$U$1090,0))="","–",INDEX(Rank_Changes!$P$2:$P$1090,MATCH($A59&amp;"|"&amp;"JPN",Rank_Changes!$U$2:$U$1090,0))),"–")</f>
        <v>–</v>
      </c>
      <c r="N59" s="26" t="n">
        <f aca="false">IFERROR(IF(INDEX(Rank_Changes!$P$2:$P$1090,MATCH($A59&amp;"|"&amp;"AUS",Rank_Changes!$U$2:$U$1090,0))="","–",INDEX(Rank_Changes!$P$2:$P$1090,MATCH($A59&amp;"|"&amp;"AUS",Rank_Changes!$U$2:$U$1090,0))),"–")</f>
        <v>2</v>
      </c>
    </row>
    <row r="60" customFormat="false" ht="15" hidden="false" customHeight="false" outlineLevel="0" collapsed="false">
      <c r="A60" s="12" t="s">
        <v>166</v>
      </c>
      <c r="B60" s="12" t="s">
        <v>321</v>
      </c>
      <c r="C60" s="12" t="s">
        <v>167</v>
      </c>
      <c r="D60" s="26" t="str">
        <f aca="false">IFERROR(IF(INDEX(Rank_Changes!$P$2:$P$1090,MATCH($A60&amp;"|"&amp;"USA",Rank_Changes!$U$2:$U$1090,0))="","–",INDEX(Rank_Changes!$P$2:$P$1090,MATCH($A60&amp;"|"&amp;"USA",Rank_Changes!$U$2:$U$1090,0))),"–")</f>
        <v>–</v>
      </c>
      <c r="E60" s="26" t="n">
        <f aca="false">IFERROR(IF(INDEX(Rank_Changes!$P$2:$P$1090,MATCH($A60&amp;"|"&amp;"GBR",Rank_Changes!$U$2:$U$1090,0))="","–",INDEX(Rank_Changes!$P$2:$P$1090,MATCH($A60&amp;"|"&amp;"GBR",Rank_Changes!$U$2:$U$1090,0))),"–")</f>
        <v>1</v>
      </c>
      <c r="F60" s="26" t="n">
        <f aca="false">IFERROR(IF(INDEX(Rank_Changes!$P$2:$P$1090,MATCH($A60&amp;"|"&amp;"DEU",Rank_Changes!$U$2:$U$1090,0))="","–",INDEX(Rank_Changes!$P$2:$P$1090,MATCH($A60&amp;"|"&amp;"DEU",Rank_Changes!$U$2:$U$1090,0))),"–")</f>
        <v>1</v>
      </c>
      <c r="G60" s="26" t="n">
        <f aca="false">IFERROR(IF(INDEX(Rank_Changes!$P$2:$P$1090,MATCH($A60&amp;"|"&amp;"SWE",Rank_Changes!$U$2:$U$1090,0))="","–",INDEX(Rank_Changes!$P$2:$P$1090,MATCH($A60&amp;"|"&amp;"SWE",Rank_Changes!$U$2:$U$1090,0))),"–")</f>
        <v>-1</v>
      </c>
      <c r="H60" s="26" t="n">
        <f aca="false">IFERROR(IF(INDEX(Rank_Changes!$P$2:$P$1090,MATCH($A60&amp;"|"&amp;"FRA",Rank_Changes!$U$2:$U$1090,0))="","–",INDEX(Rank_Changes!$P$2:$P$1090,MATCH($A60&amp;"|"&amp;"FRA",Rank_Changes!$U$2:$U$1090,0))),"–")</f>
        <v>0</v>
      </c>
      <c r="I60" s="26" t="n">
        <f aca="false">IFERROR(IF(INDEX(Rank_Changes!$P$2:$P$1090,MATCH($A60&amp;"|"&amp;"NLD",Rank_Changes!$U$2:$U$1090,0))="","–",INDEX(Rank_Changes!$P$2:$P$1090,MATCH($A60&amp;"|"&amp;"NLD",Rank_Changes!$U$2:$U$1090,0))),"–")</f>
        <v>4</v>
      </c>
      <c r="J60" s="26" t="n">
        <f aca="false">IFERROR(IF(INDEX(Rank_Changes!$P$2:$P$1090,MATCH($A60&amp;"|"&amp;"CHE",Rank_Changes!$U$2:$U$1090,0))="","–",INDEX(Rank_Changes!$P$2:$P$1090,MATCH($A60&amp;"|"&amp;"CHE",Rank_Changes!$U$2:$U$1090,0))),"–")</f>
        <v>0</v>
      </c>
      <c r="K60" s="26" t="n">
        <f aca="false">IFERROR(IF(INDEX(Rank_Changes!$P$2:$P$1090,MATCH($A60&amp;"|"&amp;"DNK",Rank_Changes!$U$2:$U$1090,0))="","–",INDEX(Rank_Changes!$P$2:$P$1090,MATCH($A60&amp;"|"&amp;"DNK",Rank_Changes!$U$2:$U$1090,0))),"–")</f>
        <v>2</v>
      </c>
      <c r="L60" s="26" t="n">
        <f aca="false">IFERROR(IF(INDEX(Rank_Changes!$P$2:$P$1090,MATCH($A60&amp;"|"&amp;"CAN",Rank_Changes!$U$2:$U$1090,0))="","–",INDEX(Rank_Changes!$P$2:$P$1090,MATCH($A60&amp;"|"&amp;"CAN",Rank_Changes!$U$2:$U$1090,0))),"–")</f>
        <v>-6</v>
      </c>
      <c r="M60" s="26" t="str">
        <f aca="false">IFERROR(IF(INDEX(Rank_Changes!$P$2:$P$1090,MATCH($A60&amp;"|"&amp;"JPN",Rank_Changes!$U$2:$U$1090,0))="","–",INDEX(Rank_Changes!$P$2:$P$1090,MATCH($A60&amp;"|"&amp;"JPN",Rank_Changes!$U$2:$U$1090,0))),"–")</f>
        <v>–</v>
      </c>
      <c r="N60" s="26" t="n">
        <f aca="false">IFERROR(IF(INDEX(Rank_Changes!$P$2:$P$1090,MATCH($A60&amp;"|"&amp;"AUS",Rank_Changes!$U$2:$U$1090,0))="","–",INDEX(Rank_Changes!$P$2:$P$1090,MATCH($A60&amp;"|"&amp;"AUS",Rank_Changes!$U$2:$U$1090,0))),"–")</f>
        <v>-2</v>
      </c>
    </row>
    <row r="61" customFormat="false" ht="15" hidden="false" customHeight="false" outlineLevel="0" collapsed="false">
      <c r="A61" s="12" t="s">
        <v>168</v>
      </c>
      <c r="B61" s="12" t="s">
        <v>321</v>
      </c>
      <c r="C61" s="12" t="s">
        <v>169</v>
      </c>
      <c r="D61" s="26" t="n">
        <f aca="false">IFERROR(IF(INDEX(Rank_Changes!$P$2:$P$1090,MATCH($A61&amp;"|"&amp;"USA",Rank_Changes!$U$2:$U$1090,0))="","–",INDEX(Rank_Changes!$P$2:$P$1090,MATCH($A61&amp;"|"&amp;"USA",Rank_Changes!$U$2:$U$1090,0))),"–")</f>
        <v>0</v>
      </c>
      <c r="E61" s="26" t="n">
        <f aca="false">IFERROR(IF(INDEX(Rank_Changes!$P$2:$P$1090,MATCH($A61&amp;"|"&amp;"GBR",Rank_Changes!$U$2:$U$1090,0))="","–",INDEX(Rank_Changes!$P$2:$P$1090,MATCH($A61&amp;"|"&amp;"GBR",Rank_Changes!$U$2:$U$1090,0))),"–")</f>
        <v>0</v>
      </c>
      <c r="F61" s="26" t="n">
        <f aca="false">IFERROR(IF(INDEX(Rank_Changes!$P$2:$P$1090,MATCH($A61&amp;"|"&amp;"DEU",Rank_Changes!$U$2:$U$1090,0))="","–",INDEX(Rank_Changes!$P$2:$P$1090,MATCH($A61&amp;"|"&amp;"DEU",Rank_Changes!$U$2:$U$1090,0))),"–")</f>
        <v>1</v>
      </c>
      <c r="G61" s="26" t="n">
        <f aca="false">IFERROR(IF(INDEX(Rank_Changes!$P$2:$P$1090,MATCH($A61&amp;"|"&amp;"SWE",Rank_Changes!$U$2:$U$1090,0))="","–",INDEX(Rank_Changes!$P$2:$P$1090,MATCH($A61&amp;"|"&amp;"SWE",Rank_Changes!$U$2:$U$1090,0))),"–")</f>
        <v>0</v>
      </c>
      <c r="H61" s="26" t="n">
        <f aca="false">IFERROR(IF(INDEX(Rank_Changes!$P$2:$P$1090,MATCH($A61&amp;"|"&amp;"FRA",Rank_Changes!$U$2:$U$1090,0))="","–",INDEX(Rank_Changes!$P$2:$P$1090,MATCH($A61&amp;"|"&amp;"FRA",Rank_Changes!$U$2:$U$1090,0))),"–")</f>
        <v>2</v>
      </c>
      <c r="I61" s="26" t="n">
        <f aca="false">IFERROR(IF(INDEX(Rank_Changes!$P$2:$P$1090,MATCH($A61&amp;"|"&amp;"NLD",Rank_Changes!$U$2:$U$1090,0))="","–",INDEX(Rank_Changes!$P$2:$P$1090,MATCH($A61&amp;"|"&amp;"NLD",Rank_Changes!$U$2:$U$1090,0))),"–")</f>
        <v>-2</v>
      </c>
      <c r="J61" s="26" t="str">
        <f aca="false">IFERROR(IF(INDEX(Rank_Changes!$P$2:$P$1090,MATCH($A61&amp;"|"&amp;"CHE",Rank_Changes!$U$2:$U$1090,0))="","–",INDEX(Rank_Changes!$P$2:$P$1090,MATCH($A61&amp;"|"&amp;"CHE",Rank_Changes!$U$2:$U$1090,0))),"–")</f>
        <v>–</v>
      </c>
      <c r="K61" s="26" t="n">
        <f aca="false">IFERROR(IF(INDEX(Rank_Changes!$P$2:$P$1090,MATCH($A61&amp;"|"&amp;"DNK",Rank_Changes!$U$2:$U$1090,0))="","–",INDEX(Rank_Changes!$P$2:$P$1090,MATCH($A61&amp;"|"&amp;"DNK",Rank_Changes!$U$2:$U$1090,0))),"–")</f>
        <v>-5</v>
      </c>
      <c r="L61" s="26" t="n">
        <f aca="false">IFERROR(IF(INDEX(Rank_Changes!$P$2:$P$1090,MATCH($A61&amp;"|"&amp;"CAN",Rank_Changes!$U$2:$U$1090,0))="","–",INDEX(Rank_Changes!$P$2:$P$1090,MATCH($A61&amp;"|"&amp;"CAN",Rank_Changes!$U$2:$U$1090,0))),"–")</f>
        <v>3</v>
      </c>
      <c r="M61" s="26" t="str">
        <f aca="false">IFERROR(IF(INDEX(Rank_Changes!$P$2:$P$1090,MATCH($A61&amp;"|"&amp;"JPN",Rank_Changes!$U$2:$U$1090,0))="","–",INDEX(Rank_Changes!$P$2:$P$1090,MATCH($A61&amp;"|"&amp;"JPN",Rank_Changes!$U$2:$U$1090,0))),"–")</f>
        <v>–</v>
      </c>
      <c r="N61" s="26" t="n">
        <f aca="false">IFERROR(IF(INDEX(Rank_Changes!$P$2:$P$1090,MATCH($A61&amp;"|"&amp;"AUS",Rank_Changes!$U$2:$U$1090,0))="","–",INDEX(Rank_Changes!$P$2:$P$1090,MATCH($A61&amp;"|"&amp;"AUS",Rank_Changes!$U$2:$U$1090,0))),"–")</f>
        <v>3</v>
      </c>
    </row>
    <row r="62" customFormat="false" ht="15" hidden="false" customHeight="false" outlineLevel="0" collapsed="false">
      <c r="A62" s="12" t="s">
        <v>170</v>
      </c>
      <c r="B62" s="12" t="s">
        <v>321</v>
      </c>
      <c r="C62" s="12" t="s">
        <v>171</v>
      </c>
      <c r="D62" s="26" t="str">
        <f aca="false">IFERROR(IF(INDEX(Rank_Changes!$P$2:$P$1090,MATCH($A62&amp;"|"&amp;"USA",Rank_Changes!$U$2:$U$1090,0))="","–",INDEX(Rank_Changes!$P$2:$P$1090,MATCH($A62&amp;"|"&amp;"USA",Rank_Changes!$U$2:$U$1090,0))),"–")</f>
        <v>–</v>
      </c>
      <c r="E62" s="26" t="n">
        <f aca="false">IFERROR(IF(INDEX(Rank_Changes!$P$2:$P$1090,MATCH($A62&amp;"|"&amp;"GBR",Rank_Changes!$U$2:$U$1090,0))="","–",INDEX(Rank_Changes!$P$2:$P$1090,MATCH($A62&amp;"|"&amp;"GBR",Rank_Changes!$U$2:$U$1090,0))),"–")</f>
        <v>0</v>
      </c>
      <c r="F62" s="26" t="n">
        <f aca="false">IFERROR(IF(INDEX(Rank_Changes!$P$2:$P$1090,MATCH($A62&amp;"|"&amp;"DEU",Rank_Changes!$U$2:$U$1090,0))="","–",INDEX(Rank_Changes!$P$2:$P$1090,MATCH($A62&amp;"|"&amp;"DEU",Rank_Changes!$U$2:$U$1090,0))),"–")</f>
        <v>0</v>
      </c>
      <c r="G62" s="26" t="n">
        <f aca="false">IFERROR(IF(INDEX(Rank_Changes!$P$2:$P$1090,MATCH($A62&amp;"|"&amp;"SWE",Rank_Changes!$U$2:$U$1090,0))="","–",INDEX(Rank_Changes!$P$2:$P$1090,MATCH($A62&amp;"|"&amp;"SWE",Rank_Changes!$U$2:$U$1090,0))),"–")</f>
        <v>-1</v>
      </c>
      <c r="H62" s="26" t="n">
        <f aca="false">IFERROR(IF(INDEX(Rank_Changes!$P$2:$P$1090,MATCH($A62&amp;"|"&amp;"FRA",Rank_Changes!$U$2:$U$1090,0))="","–",INDEX(Rank_Changes!$P$2:$P$1090,MATCH($A62&amp;"|"&amp;"FRA",Rank_Changes!$U$2:$U$1090,0))),"–")</f>
        <v>1</v>
      </c>
      <c r="I62" s="26" t="n">
        <f aca="false">IFERROR(IF(INDEX(Rank_Changes!$P$2:$P$1090,MATCH($A62&amp;"|"&amp;"NLD",Rank_Changes!$U$2:$U$1090,0))="","–",INDEX(Rank_Changes!$P$2:$P$1090,MATCH($A62&amp;"|"&amp;"NLD",Rank_Changes!$U$2:$U$1090,0))),"–")</f>
        <v>-1</v>
      </c>
      <c r="J62" s="26" t="str">
        <f aca="false">IFERROR(IF(INDEX(Rank_Changes!$P$2:$P$1090,MATCH($A62&amp;"|"&amp;"CHE",Rank_Changes!$U$2:$U$1090,0))="","–",INDEX(Rank_Changes!$P$2:$P$1090,MATCH($A62&amp;"|"&amp;"CHE",Rank_Changes!$U$2:$U$1090,0))),"–")</f>
        <v>–</v>
      </c>
      <c r="K62" s="26" t="n">
        <f aca="false">IFERROR(IF(INDEX(Rank_Changes!$P$2:$P$1090,MATCH($A62&amp;"|"&amp;"DNK",Rank_Changes!$U$2:$U$1090,0))="","–",INDEX(Rank_Changes!$P$2:$P$1090,MATCH($A62&amp;"|"&amp;"DNK",Rank_Changes!$U$2:$U$1090,0))),"–")</f>
        <v>-1</v>
      </c>
      <c r="L62" s="26" t="n">
        <f aca="false">IFERROR(IF(INDEX(Rank_Changes!$P$2:$P$1090,MATCH($A62&amp;"|"&amp;"CAN",Rank_Changes!$U$2:$U$1090,0))="","–",INDEX(Rank_Changes!$P$2:$P$1090,MATCH($A62&amp;"|"&amp;"CAN",Rank_Changes!$U$2:$U$1090,0))),"–")</f>
        <v>0</v>
      </c>
      <c r="M62" s="26" t="str">
        <f aca="false">IFERROR(IF(INDEX(Rank_Changes!$P$2:$P$1090,MATCH($A62&amp;"|"&amp;"JPN",Rank_Changes!$U$2:$U$1090,0))="","–",INDEX(Rank_Changes!$P$2:$P$1090,MATCH($A62&amp;"|"&amp;"JPN",Rank_Changes!$U$2:$U$1090,0))),"–")</f>
        <v>–</v>
      </c>
      <c r="N62" s="26" t="n">
        <f aca="false">IFERROR(IF(INDEX(Rank_Changes!$P$2:$P$1090,MATCH($A62&amp;"|"&amp;"AUS",Rank_Changes!$U$2:$U$1090,0))="","–",INDEX(Rank_Changes!$P$2:$P$1090,MATCH($A62&amp;"|"&amp;"AUS",Rank_Changes!$U$2:$U$1090,0))),"–")</f>
        <v>2</v>
      </c>
    </row>
    <row r="63" customFormat="false" ht="15" hidden="false" customHeight="false" outlineLevel="0" collapsed="false">
      <c r="A63" s="12" t="s">
        <v>172</v>
      </c>
      <c r="B63" s="12" t="s">
        <v>321</v>
      </c>
      <c r="C63" s="12" t="s">
        <v>173</v>
      </c>
      <c r="D63" s="26" t="n">
        <f aca="false">IFERROR(IF(INDEX(Rank_Changes!$P$2:$P$1090,MATCH($A63&amp;"|"&amp;"USA",Rank_Changes!$U$2:$U$1090,0))="","–",INDEX(Rank_Changes!$P$2:$P$1090,MATCH($A63&amp;"|"&amp;"USA",Rank_Changes!$U$2:$U$1090,0))),"–")</f>
        <v>0</v>
      </c>
      <c r="E63" s="26" t="n">
        <f aca="false">IFERROR(IF(INDEX(Rank_Changes!$P$2:$P$1090,MATCH($A63&amp;"|"&amp;"GBR",Rank_Changes!$U$2:$U$1090,0))="","–",INDEX(Rank_Changes!$P$2:$P$1090,MATCH($A63&amp;"|"&amp;"GBR",Rank_Changes!$U$2:$U$1090,0))),"–")</f>
        <v>1</v>
      </c>
      <c r="F63" s="26" t="n">
        <f aca="false">IFERROR(IF(INDEX(Rank_Changes!$P$2:$P$1090,MATCH($A63&amp;"|"&amp;"DEU",Rank_Changes!$U$2:$U$1090,0))="","–",INDEX(Rank_Changes!$P$2:$P$1090,MATCH($A63&amp;"|"&amp;"DEU",Rank_Changes!$U$2:$U$1090,0))),"–")</f>
        <v>1</v>
      </c>
      <c r="G63" s="26" t="n">
        <f aca="false">IFERROR(IF(INDEX(Rank_Changes!$P$2:$P$1090,MATCH($A63&amp;"|"&amp;"SWE",Rank_Changes!$U$2:$U$1090,0))="","–",INDEX(Rank_Changes!$P$2:$P$1090,MATCH($A63&amp;"|"&amp;"SWE",Rank_Changes!$U$2:$U$1090,0))),"–")</f>
        <v>1</v>
      </c>
      <c r="H63" s="26" t="n">
        <f aca="false">IFERROR(IF(INDEX(Rank_Changes!$P$2:$P$1090,MATCH($A63&amp;"|"&amp;"FRA",Rank_Changes!$U$2:$U$1090,0))="","–",INDEX(Rank_Changes!$P$2:$P$1090,MATCH($A63&amp;"|"&amp;"FRA",Rank_Changes!$U$2:$U$1090,0))),"–")</f>
        <v>0</v>
      </c>
      <c r="I63" s="26" t="n">
        <f aca="false">IFERROR(IF(INDEX(Rank_Changes!$P$2:$P$1090,MATCH($A63&amp;"|"&amp;"NLD",Rank_Changes!$U$2:$U$1090,0))="","–",INDEX(Rank_Changes!$P$2:$P$1090,MATCH($A63&amp;"|"&amp;"NLD",Rank_Changes!$U$2:$U$1090,0))),"–")</f>
        <v>0</v>
      </c>
      <c r="J63" s="26" t="n">
        <f aca="false">IFERROR(IF(INDEX(Rank_Changes!$P$2:$P$1090,MATCH($A63&amp;"|"&amp;"CHE",Rank_Changes!$U$2:$U$1090,0))="","–",INDEX(Rank_Changes!$P$2:$P$1090,MATCH($A63&amp;"|"&amp;"CHE",Rank_Changes!$U$2:$U$1090,0))),"–")</f>
        <v>-1</v>
      </c>
      <c r="K63" s="26" t="n">
        <f aca="false">IFERROR(IF(INDEX(Rank_Changes!$P$2:$P$1090,MATCH($A63&amp;"|"&amp;"DNK",Rank_Changes!$U$2:$U$1090,0))="","–",INDEX(Rank_Changes!$P$2:$P$1090,MATCH($A63&amp;"|"&amp;"DNK",Rank_Changes!$U$2:$U$1090,0))),"–")</f>
        <v>-2</v>
      </c>
      <c r="L63" s="26" t="n">
        <f aca="false">IFERROR(IF(INDEX(Rank_Changes!$P$2:$P$1090,MATCH($A63&amp;"|"&amp;"CAN",Rank_Changes!$U$2:$U$1090,0))="","–",INDEX(Rank_Changes!$P$2:$P$1090,MATCH($A63&amp;"|"&amp;"CAN",Rank_Changes!$U$2:$U$1090,0))),"–")</f>
        <v>0</v>
      </c>
      <c r="M63" s="26" t="str">
        <f aca="false">IFERROR(IF(INDEX(Rank_Changes!$P$2:$P$1090,MATCH($A63&amp;"|"&amp;"JPN",Rank_Changes!$U$2:$U$1090,0))="","–",INDEX(Rank_Changes!$P$2:$P$1090,MATCH($A63&amp;"|"&amp;"JPN",Rank_Changes!$U$2:$U$1090,0))),"–")</f>
        <v>–</v>
      </c>
      <c r="N63" s="26" t="n">
        <f aca="false">IFERROR(IF(INDEX(Rank_Changes!$P$2:$P$1090,MATCH($A63&amp;"|"&amp;"AUS",Rank_Changes!$U$2:$U$1090,0))="","–",INDEX(Rank_Changes!$P$2:$P$1090,MATCH($A63&amp;"|"&amp;"AUS",Rank_Changes!$U$2:$U$1090,0))),"–")</f>
        <v>0</v>
      </c>
    </row>
    <row r="64" customFormat="false" ht="15" hidden="false" customHeight="false" outlineLevel="0" collapsed="false">
      <c r="A64" s="12" t="s">
        <v>174</v>
      </c>
      <c r="B64" s="12" t="s">
        <v>321</v>
      </c>
      <c r="C64" s="12" t="s">
        <v>147</v>
      </c>
      <c r="D64" s="26" t="n">
        <f aca="false">IFERROR(IF(INDEX(Rank_Changes!$P$2:$P$1090,MATCH($A64&amp;"|"&amp;"USA",Rank_Changes!$U$2:$U$1090,0))="","–",INDEX(Rank_Changes!$P$2:$P$1090,MATCH($A64&amp;"|"&amp;"USA",Rank_Changes!$U$2:$U$1090,0))),"–")</f>
        <v>3</v>
      </c>
      <c r="E64" s="26" t="n">
        <f aca="false">IFERROR(IF(INDEX(Rank_Changes!$P$2:$P$1090,MATCH($A64&amp;"|"&amp;"GBR",Rank_Changes!$U$2:$U$1090,0))="","–",INDEX(Rank_Changes!$P$2:$P$1090,MATCH($A64&amp;"|"&amp;"GBR",Rank_Changes!$U$2:$U$1090,0))),"–")</f>
        <v>1</v>
      </c>
      <c r="F64" s="26" t="n">
        <f aca="false">IFERROR(IF(INDEX(Rank_Changes!$P$2:$P$1090,MATCH($A64&amp;"|"&amp;"DEU",Rank_Changes!$U$2:$U$1090,0))="","–",INDEX(Rank_Changes!$P$2:$P$1090,MATCH($A64&amp;"|"&amp;"DEU",Rank_Changes!$U$2:$U$1090,0))),"–")</f>
        <v>0</v>
      </c>
      <c r="G64" s="26" t="n">
        <f aca="false">IFERROR(IF(INDEX(Rank_Changes!$P$2:$P$1090,MATCH($A64&amp;"|"&amp;"SWE",Rank_Changes!$U$2:$U$1090,0))="","–",INDEX(Rank_Changes!$P$2:$P$1090,MATCH($A64&amp;"|"&amp;"SWE",Rank_Changes!$U$2:$U$1090,0))),"–")</f>
        <v>-1</v>
      </c>
      <c r="H64" s="26" t="n">
        <f aca="false">IFERROR(IF(INDEX(Rank_Changes!$P$2:$P$1090,MATCH($A64&amp;"|"&amp;"FRA",Rank_Changes!$U$2:$U$1090,0))="","–",INDEX(Rank_Changes!$P$2:$P$1090,MATCH($A64&amp;"|"&amp;"FRA",Rank_Changes!$U$2:$U$1090,0))),"–")</f>
        <v>-2</v>
      </c>
      <c r="I64" s="26" t="n">
        <f aca="false">IFERROR(IF(INDEX(Rank_Changes!$P$2:$P$1090,MATCH($A64&amp;"|"&amp;"NLD",Rank_Changes!$U$2:$U$1090,0))="","–",INDEX(Rank_Changes!$P$2:$P$1090,MATCH($A64&amp;"|"&amp;"NLD",Rank_Changes!$U$2:$U$1090,0))),"–")</f>
        <v>-3</v>
      </c>
      <c r="J64" s="26" t="n">
        <f aca="false">IFERROR(IF(INDEX(Rank_Changes!$P$2:$P$1090,MATCH($A64&amp;"|"&amp;"CHE",Rank_Changes!$U$2:$U$1090,0))="","–",INDEX(Rank_Changes!$P$2:$P$1090,MATCH($A64&amp;"|"&amp;"CHE",Rank_Changes!$U$2:$U$1090,0))),"–")</f>
        <v>-1</v>
      </c>
      <c r="K64" s="26" t="n">
        <f aca="false">IFERROR(IF(INDEX(Rank_Changes!$P$2:$P$1090,MATCH($A64&amp;"|"&amp;"DNK",Rank_Changes!$U$2:$U$1090,0))="","–",INDEX(Rank_Changes!$P$2:$P$1090,MATCH($A64&amp;"|"&amp;"DNK",Rank_Changes!$U$2:$U$1090,0))),"–")</f>
        <v>2</v>
      </c>
      <c r="L64" s="26" t="n">
        <f aca="false">IFERROR(IF(INDEX(Rank_Changes!$P$2:$P$1090,MATCH($A64&amp;"|"&amp;"CAN",Rank_Changes!$U$2:$U$1090,0))="","–",INDEX(Rank_Changes!$P$2:$P$1090,MATCH($A64&amp;"|"&amp;"CAN",Rank_Changes!$U$2:$U$1090,0))),"–")</f>
        <v>1</v>
      </c>
      <c r="M64" s="26" t="str">
        <f aca="false">IFERROR(IF(INDEX(Rank_Changes!$P$2:$P$1090,MATCH($A64&amp;"|"&amp;"JPN",Rank_Changes!$U$2:$U$1090,0))="","–",INDEX(Rank_Changes!$P$2:$P$1090,MATCH($A64&amp;"|"&amp;"JPN",Rank_Changes!$U$2:$U$1090,0))),"–")</f>
        <v>–</v>
      </c>
      <c r="N64" s="26" t="n">
        <f aca="false">IFERROR(IF(INDEX(Rank_Changes!$P$2:$P$1090,MATCH($A64&amp;"|"&amp;"AUS",Rank_Changes!$U$2:$U$1090,0))="","–",INDEX(Rank_Changes!$P$2:$P$1090,MATCH($A64&amp;"|"&amp;"AUS",Rank_Changes!$U$2:$U$1090,0))),"–")</f>
        <v>0</v>
      </c>
    </row>
    <row r="65" customFormat="false" ht="15" hidden="false" customHeight="false" outlineLevel="0" collapsed="false">
      <c r="A65" s="12" t="s">
        <v>175</v>
      </c>
      <c r="B65" s="12" t="s">
        <v>43</v>
      </c>
      <c r="C65" s="12" t="s">
        <v>176</v>
      </c>
      <c r="D65" s="26" t="str">
        <f aca="false">IFERROR(IF(INDEX(Rank_Changes!$P$2:$P$1090,MATCH($A65&amp;"|"&amp;"USA",Rank_Changes!$U$2:$U$1090,0))="","–",INDEX(Rank_Changes!$P$2:$P$1090,MATCH($A65&amp;"|"&amp;"USA",Rank_Changes!$U$2:$U$1090,0))),"–")</f>
        <v>–</v>
      </c>
      <c r="E65" s="26" t="str">
        <f aca="false">IFERROR(IF(INDEX(Rank_Changes!$P$2:$P$1090,MATCH($A65&amp;"|"&amp;"GBR",Rank_Changes!$U$2:$U$1090,0))="","–",INDEX(Rank_Changes!$P$2:$P$1090,MATCH($A65&amp;"|"&amp;"GBR",Rank_Changes!$U$2:$U$1090,0))),"–")</f>
        <v>–</v>
      </c>
      <c r="F65" s="26" t="str">
        <f aca="false">IFERROR(IF(INDEX(Rank_Changes!$P$2:$P$1090,MATCH($A65&amp;"|"&amp;"DEU",Rank_Changes!$U$2:$U$1090,0))="","–",INDEX(Rank_Changes!$P$2:$P$1090,MATCH($A65&amp;"|"&amp;"DEU",Rank_Changes!$U$2:$U$1090,0))),"–")</f>
        <v>–</v>
      </c>
      <c r="G65" s="26" t="str">
        <f aca="false">IFERROR(IF(INDEX(Rank_Changes!$P$2:$P$1090,MATCH($A65&amp;"|"&amp;"SWE",Rank_Changes!$U$2:$U$1090,0))="","–",INDEX(Rank_Changes!$P$2:$P$1090,MATCH($A65&amp;"|"&amp;"SWE",Rank_Changes!$U$2:$U$1090,0))),"–")</f>
        <v>–</v>
      </c>
      <c r="H65" s="26" t="str">
        <f aca="false">IFERROR(IF(INDEX(Rank_Changes!$P$2:$P$1090,MATCH($A65&amp;"|"&amp;"FRA",Rank_Changes!$U$2:$U$1090,0))="","–",INDEX(Rank_Changes!$P$2:$P$1090,MATCH($A65&amp;"|"&amp;"FRA",Rank_Changes!$U$2:$U$1090,0))),"–")</f>
        <v>–</v>
      </c>
      <c r="I65" s="26" t="str">
        <f aca="false">IFERROR(IF(INDEX(Rank_Changes!$P$2:$P$1090,MATCH($A65&amp;"|"&amp;"NLD",Rank_Changes!$U$2:$U$1090,0))="","–",INDEX(Rank_Changes!$P$2:$P$1090,MATCH($A65&amp;"|"&amp;"NLD",Rank_Changes!$U$2:$U$1090,0))),"–")</f>
        <v>–</v>
      </c>
      <c r="J65" s="26" t="str">
        <f aca="false">IFERROR(IF(INDEX(Rank_Changes!$P$2:$P$1090,MATCH($A65&amp;"|"&amp;"CHE",Rank_Changes!$U$2:$U$1090,0))="","–",INDEX(Rank_Changes!$P$2:$P$1090,MATCH($A65&amp;"|"&amp;"CHE",Rank_Changes!$U$2:$U$1090,0))),"–")</f>
        <v>–</v>
      </c>
      <c r="K65" s="26" t="str">
        <f aca="false">IFERROR(IF(INDEX(Rank_Changes!$P$2:$P$1090,MATCH($A65&amp;"|"&amp;"DNK",Rank_Changes!$U$2:$U$1090,0))="","–",INDEX(Rank_Changes!$P$2:$P$1090,MATCH($A65&amp;"|"&amp;"DNK",Rank_Changes!$U$2:$U$1090,0))),"–")</f>
        <v>–</v>
      </c>
      <c r="L65" s="26" t="str">
        <f aca="false">IFERROR(IF(INDEX(Rank_Changes!$P$2:$P$1090,MATCH($A65&amp;"|"&amp;"CAN",Rank_Changes!$U$2:$U$1090,0))="","–",INDEX(Rank_Changes!$P$2:$P$1090,MATCH($A65&amp;"|"&amp;"CAN",Rank_Changes!$U$2:$U$1090,0))),"–")</f>
        <v>–</v>
      </c>
      <c r="M65" s="26" t="str">
        <f aca="false">IFERROR(IF(INDEX(Rank_Changes!$P$2:$P$1090,MATCH($A65&amp;"|"&amp;"JPN",Rank_Changes!$U$2:$U$1090,0))="","–",INDEX(Rank_Changes!$P$2:$P$1090,MATCH($A65&amp;"|"&amp;"JPN",Rank_Changes!$U$2:$U$1090,0))),"–")</f>
        <v>–</v>
      </c>
      <c r="N65" s="26" t="str">
        <f aca="false">IFERROR(IF(INDEX(Rank_Changes!$P$2:$P$1090,MATCH($A65&amp;"|"&amp;"AUS",Rank_Changes!$U$2:$U$1090,0))="","–",INDEX(Rank_Changes!$P$2:$P$1090,MATCH($A65&amp;"|"&amp;"AUS",Rank_Changes!$U$2:$U$1090,0))),"–")</f>
        <v>–</v>
      </c>
    </row>
    <row r="66" customFormat="false" ht="15" hidden="false" customHeight="false" outlineLevel="0" collapsed="false">
      <c r="A66" s="12" t="s">
        <v>177</v>
      </c>
      <c r="B66" s="12" t="s">
        <v>43</v>
      </c>
      <c r="C66" s="12" t="s">
        <v>178</v>
      </c>
      <c r="D66" s="26" t="n">
        <f aca="false">IFERROR(IF(INDEX(Rank_Changes!$P$2:$P$1090,MATCH($A66&amp;"|"&amp;"USA",Rank_Changes!$U$2:$U$1090,0))="","–",INDEX(Rank_Changes!$P$2:$P$1090,MATCH($A66&amp;"|"&amp;"USA",Rank_Changes!$U$2:$U$1090,0))),"–")</f>
        <v>0</v>
      </c>
      <c r="E66" s="26" t="n">
        <f aca="false">IFERROR(IF(INDEX(Rank_Changes!$P$2:$P$1090,MATCH($A66&amp;"|"&amp;"GBR",Rank_Changes!$U$2:$U$1090,0))="","–",INDEX(Rank_Changes!$P$2:$P$1090,MATCH($A66&amp;"|"&amp;"GBR",Rank_Changes!$U$2:$U$1090,0))),"–")</f>
        <v>0</v>
      </c>
      <c r="F66" s="26" t="n">
        <f aca="false">IFERROR(IF(INDEX(Rank_Changes!$P$2:$P$1090,MATCH($A66&amp;"|"&amp;"DEU",Rank_Changes!$U$2:$U$1090,0))="","–",INDEX(Rank_Changes!$P$2:$P$1090,MATCH($A66&amp;"|"&amp;"DEU",Rank_Changes!$U$2:$U$1090,0))),"–")</f>
        <v>5</v>
      </c>
      <c r="G66" s="26" t="n">
        <f aca="false">IFERROR(IF(INDEX(Rank_Changes!$P$2:$P$1090,MATCH($A66&amp;"|"&amp;"SWE",Rank_Changes!$U$2:$U$1090,0))="","–",INDEX(Rank_Changes!$P$2:$P$1090,MATCH($A66&amp;"|"&amp;"SWE",Rank_Changes!$U$2:$U$1090,0))),"–")</f>
        <v>-2</v>
      </c>
      <c r="H66" s="26" t="n">
        <f aca="false">IFERROR(IF(INDEX(Rank_Changes!$P$2:$P$1090,MATCH($A66&amp;"|"&amp;"FRA",Rank_Changes!$U$2:$U$1090,0))="","–",INDEX(Rank_Changes!$P$2:$P$1090,MATCH($A66&amp;"|"&amp;"FRA",Rank_Changes!$U$2:$U$1090,0))),"–")</f>
        <v>-2</v>
      </c>
      <c r="I66" s="26" t="n">
        <f aca="false">IFERROR(IF(INDEX(Rank_Changes!$P$2:$P$1090,MATCH($A66&amp;"|"&amp;"NLD",Rank_Changes!$U$2:$U$1090,0))="","–",INDEX(Rank_Changes!$P$2:$P$1090,MATCH($A66&amp;"|"&amp;"NLD",Rank_Changes!$U$2:$U$1090,0))),"–")</f>
        <v>1</v>
      </c>
      <c r="J66" s="26" t="n">
        <f aca="false">IFERROR(IF(INDEX(Rank_Changes!$P$2:$P$1090,MATCH($A66&amp;"|"&amp;"CHE",Rank_Changes!$U$2:$U$1090,0))="","–",INDEX(Rank_Changes!$P$2:$P$1090,MATCH($A66&amp;"|"&amp;"CHE",Rank_Changes!$U$2:$U$1090,0))),"–")</f>
        <v>-1</v>
      </c>
      <c r="K66" s="26" t="n">
        <f aca="false">IFERROR(IF(INDEX(Rank_Changes!$P$2:$P$1090,MATCH($A66&amp;"|"&amp;"DNK",Rank_Changes!$U$2:$U$1090,0))="","–",INDEX(Rank_Changes!$P$2:$P$1090,MATCH($A66&amp;"|"&amp;"DNK",Rank_Changes!$U$2:$U$1090,0))),"–")</f>
        <v>-7</v>
      </c>
      <c r="L66" s="26" t="n">
        <f aca="false">IFERROR(IF(INDEX(Rank_Changes!$P$2:$P$1090,MATCH($A66&amp;"|"&amp;"CAN",Rank_Changes!$U$2:$U$1090,0))="","–",INDEX(Rank_Changes!$P$2:$P$1090,MATCH($A66&amp;"|"&amp;"CAN",Rank_Changes!$U$2:$U$1090,0))),"–")</f>
        <v>-1</v>
      </c>
      <c r="M66" s="26" t="n">
        <f aca="false">IFERROR(IF(INDEX(Rank_Changes!$P$2:$P$1090,MATCH($A66&amp;"|"&amp;"JPN",Rank_Changes!$U$2:$U$1090,0))="","–",INDEX(Rank_Changes!$P$2:$P$1090,MATCH($A66&amp;"|"&amp;"JPN",Rank_Changes!$U$2:$U$1090,0))),"–")</f>
        <v>3</v>
      </c>
      <c r="N66" s="26" t="n">
        <f aca="false">IFERROR(IF(INDEX(Rank_Changes!$P$2:$P$1090,MATCH($A66&amp;"|"&amp;"AUS",Rank_Changes!$U$2:$U$1090,0))="","–",INDEX(Rank_Changes!$P$2:$P$1090,MATCH($A66&amp;"|"&amp;"AUS",Rank_Changes!$U$2:$U$1090,0))),"–")</f>
        <v>4</v>
      </c>
    </row>
    <row r="67" customFormat="false" ht="15" hidden="false" customHeight="false" outlineLevel="0" collapsed="false">
      <c r="A67" s="12" t="s">
        <v>179</v>
      </c>
      <c r="B67" s="12" t="s">
        <v>43</v>
      </c>
      <c r="C67" s="12" t="s">
        <v>180</v>
      </c>
      <c r="D67" s="26" t="str">
        <f aca="false">IFERROR(IF(INDEX(Rank_Changes!$P$2:$P$1090,MATCH($A67&amp;"|"&amp;"USA",Rank_Changes!$U$2:$U$1090,0))="","–",INDEX(Rank_Changes!$P$2:$P$1090,MATCH($A67&amp;"|"&amp;"USA",Rank_Changes!$U$2:$U$1090,0))),"–")</f>
        <v>–</v>
      </c>
      <c r="E67" s="26" t="str">
        <f aca="false">IFERROR(IF(INDEX(Rank_Changes!$P$2:$P$1090,MATCH($A67&amp;"|"&amp;"GBR",Rank_Changes!$U$2:$U$1090,0))="","–",INDEX(Rank_Changes!$P$2:$P$1090,MATCH($A67&amp;"|"&amp;"GBR",Rank_Changes!$U$2:$U$1090,0))),"–")</f>
        <v>–</v>
      </c>
      <c r="F67" s="26" t="str">
        <f aca="false">IFERROR(IF(INDEX(Rank_Changes!$P$2:$P$1090,MATCH($A67&amp;"|"&amp;"DEU",Rank_Changes!$U$2:$U$1090,0))="","–",INDEX(Rank_Changes!$P$2:$P$1090,MATCH($A67&amp;"|"&amp;"DEU",Rank_Changes!$U$2:$U$1090,0))),"–")</f>
        <v>–</v>
      </c>
      <c r="G67" s="26" t="str">
        <f aca="false">IFERROR(IF(INDEX(Rank_Changes!$P$2:$P$1090,MATCH($A67&amp;"|"&amp;"SWE",Rank_Changes!$U$2:$U$1090,0))="","–",INDEX(Rank_Changes!$P$2:$P$1090,MATCH($A67&amp;"|"&amp;"SWE",Rank_Changes!$U$2:$U$1090,0))),"–")</f>
        <v>–</v>
      </c>
      <c r="H67" s="26" t="str">
        <f aca="false">IFERROR(IF(INDEX(Rank_Changes!$P$2:$P$1090,MATCH($A67&amp;"|"&amp;"FRA",Rank_Changes!$U$2:$U$1090,0))="","–",INDEX(Rank_Changes!$P$2:$P$1090,MATCH($A67&amp;"|"&amp;"FRA",Rank_Changes!$U$2:$U$1090,0))),"–")</f>
        <v>–</v>
      </c>
      <c r="I67" s="26" t="str">
        <f aca="false">IFERROR(IF(INDEX(Rank_Changes!$P$2:$P$1090,MATCH($A67&amp;"|"&amp;"NLD",Rank_Changes!$U$2:$U$1090,0))="","–",INDEX(Rank_Changes!$P$2:$P$1090,MATCH($A67&amp;"|"&amp;"NLD",Rank_Changes!$U$2:$U$1090,0))),"–")</f>
        <v>–</v>
      </c>
      <c r="J67" s="26" t="str">
        <f aca="false">IFERROR(IF(INDEX(Rank_Changes!$P$2:$P$1090,MATCH($A67&amp;"|"&amp;"CHE",Rank_Changes!$U$2:$U$1090,0))="","–",INDEX(Rank_Changes!$P$2:$P$1090,MATCH($A67&amp;"|"&amp;"CHE",Rank_Changes!$U$2:$U$1090,0))),"–")</f>
        <v>–</v>
      </c>
      <c r="K67" s="26" t="str">
        <f aca="false">IFERROR(IF(INDEX(Rank_Changes!$P$2:$P$1090,MATCH($A67&amp;"|"&amp;"DNK",Rank_Changes!$U$2:$U$1090,0))="","–",INDEX(Rank_Changes!$P$2:$P$1090,MATCH($A67&amp;"|"&amp;"DNK",Rank_Changes!$U$2:$U$1090,0))),"–")</f>
        <v>–</v>
      </c>
      <c r="L67" s="26" t="str">
        <f aca="false">IFERROR(IF(INDEX(Rank_Changes!$P$2:$P$1090,MATCH($A67&amp;"|"&amp;"CAN",Rank_Changes!$U$2:$U$1090,0))="","–",INDEX(Rank_Changes!$P$2:$P$1090,MATCH($A67&amp;"|"&amp;"CAN",Rank_Changes!$U$2:$U$1090,0))),"–")</f>
        <v>–</v>
      </c>
      <c r="M67" s="26" t="str">
        <f aca="false">IFERROR(IF(INDEX(Rank_Changes!$P$2:$P$1090,MATCH($A67&amp;"|"&amp;"JPN",Rank_Changes!$U$2:$U$1090,0))="","–",INDEX(Rank_Changes!$P$2:$P$1090,MATCH($A67&amp;"|"&amp;"JPN",Rank_Changes!$U$2:$U$1090,0))),"–")</f>
        <v>–</v>
      </c>
      <c r="N67" s="26" t="str">
        <f aca="false">IFERROR(IF(INDEX(Rank_Changes!$P$2:$P$1090,MATCH($A67&amp;"|"&amp;"AUS",Rank_Changes!$U$2:$U$1090,0))="","–",INDEX(Rank_Changes!$P$2:$P$1090,MATCH($A67&amp;"|"&amp;"AUS",Rank_Changes!$U$2:$U$1090,0))),"–")</f>
        <v>–</v>
      </c>
    </row>
    <row r="68" customFormat="false" ht="15" hidden="false" customHeight="false" outlineLevel="0" collapsed="false">
      <c r="A68" s="12" t="s">
        <v>181</v>
      </c>
      <c r="B68" s="12" t="s">
        <v>43</v>
      </c>
      <c r="C68" s="12" t="s">
        <v>182</v>
      </c>
      <c r="D68" s="26" t="str">
        <f aca="false">IFERROR(IF(INDEX(Rank_Changes!$P$2:$P$1090,MATCH($A68&amp;"|"&amp;"USA",Rank_Changes!$U$2:$U$1090,0))="","–",INDEX(Rank_Changes!$P$2:$P$1090,MATCH($A68&amp;"|"&amp;"USA",Rank_Changes!$U$2:$U$1090,0))),"–")</f>
        <v>–</v>
      </c>
      <c r="E68" s="26" t="str">
        <f aca="false">IFERROR(IF(INDEX(Rank_Changes!$P$2:$P$1090,MATCH($A68&amp;"|"&amp;"GBR",Rank_Changes!$U$2:$U$1090,0))="","–",INDEX(Rank_Changes!$P$2:$P$1090,MATCH($A68&amp;"|"&amp;"GBR",Rank_Changes!$U$2:$U$1090,0))),"–")</f>
        <v>–</v>
      </c>
      <c r="F68" s="26" t="str">
        <f aca="false">IFERROR(IF(INDEX(Rank_Changes!$P$2:$P$1090,MATCH($A68&amp;"|"&amp;"DEU",Rank_Changes!$U$2:$U$1090,0))="","–",INDEX(Rank_Changes!$P$2:$P$1090,MATCH($A68&amp;"|"&amp;"DEU",Rank_Changes!$U$2:$U$1090,0))),"–")</f>
        <v>–</v>
      </c>
      <c r="G68" s="26" t="str">
        <f aca="false">IFERROR(IF(INDEX(Rank_Changes!$P$2:$P$1090,MATCH($A68&amp;"|"&amp;"SWE",Rank_Changes!$U$2:$U$1090,0))="","–",INDEX(Rank_Changes!$P$2:$P$1090,MATCH($A68&amp;"|"&amp;"SWE",Rank_Changes!$U$2:$U$1090,0))),"–")</f>
        <v>–</v>
      </c>
      <c r="H68" s="26" t="str">
        <f aca="false">IFERROR(IF(INDEX(Rank_Changes!$P$2:$P$1090,MATCH($A68&amp;"|"&amp;"FRA",Rank_Changes!$U$2:$U$1090,0))="","–",INDEX(Rank_Changes!$P$2:$P$1090,MATCH($A68&amp;"|"&amp;"FRA",Rank_Changes!$U$2:$U$1090,0))),"–")</f>
        <v>–</v>
      </c>
      <c r="I68" s="26" t="str">
        <f aca="false">IFERROR(IF(INDEX(Rank_Changes!$P$2:$P$1090,MATCH($A68&amp;"|"&amp;"NLD",Rank_Changes!$U$2:$U$1090,0))="","–",INDEX(Rank_Changes!$P$2:$P$1090,MATCH($A68&amp;"|"&amp;"NLD",Rank_Changes!$U$2:$U$1090,0))),"–")</f>
        <v>–</v>
      </c>
      <c r="J68" s="26" t="str">
        <f aca="false">IFERROR(IF(INDEX(Rank_Changes!$P$2:$P$1090,MATCH($A68&amp;"|"&amp;"CHE",Rank_Changes!$U$2:$U$1090,0))="","–",INDEX(Rank_Changes!$P$2:$P$1090,MATCH($A68&amp;"|"&amp;"CHE",Rank_Changes!$U$2:$U$1090,0))),"–")</f>
        <v>–</v>
      </c>
      <c r="K68" s="26" t="str">
        <f aca="false">IFERROR(IF(INDEX(Rank_Changes!$P$2:$P$1090,MATCH($A68&amp;"|"&amp;"DNK",Rank_Changes!$U$2:$U$1090,0))="","–",INDEX(Rank_Changes!$P$2:$P$1090,MATCH($A68&amp;"|"&amp;"DNK",Rank_Changes!$U$2:$U$1090,0))),"–")</f>
        <v>–</v>
      </c>
      <c r="L68" s="26" t="str">
        <f aca="false">IFERROR(IF(INDEX(Rank_Changes!$P$2:$P$1090,MATCH($A68&amp;"|"&amp;"CAN",Rank_Changes!$U$2:$U$1090,0))="","–",INDEX(Rank_Changes!$P$2:$P$1090,MATCH($A68&amp;"|"&amp;"CAN",Rank_Changes!$U$2:$U$1090,0))),"–")</f>
        <v>–</v>
      </c>
      <c r="M68" s="26" t="str">
        <f aca="false">IFERROR(IF(INDEX(Rank_Changes!$P$2:$P$1090,MATCH($A68&amp;"|"&amp;"JPN",Rank_Changes!$U$2:$U$1090,0))="","–",INDEX(Rank_Changes!$P$2:$P$1090,MATCH($A68&amp;"|"&amp;"JPN",Rank_Changes!$U$2:$U$1090,0))),"–")</f>
        <v>–</v>
      </c>
      <c r="N68" s="26" t="str">
        <f aca="false">IFERROR(IF(INDEX(Rank_Changes!$P$2:$P$1090,MATCH($A68&amp;"|"&amp;"AUS",Rank_Changes!$U$2:$U$1090,0))="","–",INDEX(Rank_Changes!$P$2:$P$1090,MATCH($A68&amp;"|"&amp;"AUS",Rank_Changes!$U$2:$U$1090,0))),"–")</f>
        <v>–</v>
      </c>
    </row>
    <row r="69" customFormat="false" ht="15" hidden="false" customHeight="false" outlineLevel="0" collapsed="false">
      <c r="A69" s="12" t="s">
        <v>183</v>
      </c>
      <c r="B69" s="12" t="s">
        <v>43</v>
      </c>
      <c r="C69" s="12" t="s">
        <v>184</v>
      </c>
      <c r="D69" s="26" t="str">
        <f aca="false">IFERROR(IF(INDEX(Rank_Changes!$P$2:$P$1090,MATCH($A69&amp;"|"&amp;"USA",Rank_Changes!$U$2:$U$1090,0))="","–",INDEX(Rank_Changes!$P$2:$P$1090,MATCH($A69&amp;"|"&amp;"USA",Rank_Changes!$U$2:$U$1090,0))),"–")</f>
        <v>–</v>
      </c>
      <c r="E69" s="26" t="str">
        <f aca="false">IFERROR(IF(INDEX(Rank_Changes!$P$2:$P$1090,MATCH($A69&amp;"|"&amp;"GBR",Rank_Changes!$U$2:$U$1090,0))="","–",INDEX(Rank_Changes!$P$2:$P$1090,MATCH($A69&amp;"|"&amp;"GBR",Rank_Changes!$U$2:$U$1090,0))),"–")</f>
        <v>–</v>
      </c>
      <c r="F69" s="26" t="str">
        <f aca="false">IFERROR(IF(INDEX(Rank_Changes!$P$2:$P$1090,MATCH($A69&amp;"|"&amp;"DEU",Rank_Changes!$U$2:$U$1090,0))="","–",INDEX(Rank_Changes!$P$2:$P$1090,MATCH($A69&amp;"|"&amp;"DEU",Rank_Changes!$U$2:$U$1090,0))),"–")</f>
        <v>–</v>
      </c>
      <c r="G69" s="26" t="str">
        <f aca="false">IFERROR(IF(INDEX(Rank_Changes!$P$2:$P$1090,MATCH($A69&amp;"|"&amp;"SWE",Rank_Changes!$U$2:$U$1090,0))="","–",INDEX(Rank_Changes!$P$2:$P$1090,MATCH($A69&amp;"|"&amp;"SWE",Rank_Changes!$U$2:$U$1090,0))),"–")</f>
        <v>–</v>
      </c>
      <c r="H69" s="26" t="str">
        <f aca="false">IFERROR(IF(INDEX(Rank_Changes!$P$2:$P$1090,MATCH($A69&amp;"|"&amp;"FRA",Rank_Changes!$U$2:$U$1090,0))="","–",INDEX(Rank_Changes!$P$2:$P$1090,MATCH($A69&amp;"|"&amp;"FRA",Rank_Changes!$U$2:$U$1090,0))),"–")</f>
        <v>–</v>
      </c>
      <c r="I69" s="26" t="str">
        <f aca="false">IFERROR(IF(INDEX(Rank_Changes!$P$2:$P$1090,MATCH($A69&amp;"|"&amp;"NLD",Rank_Changes!$U$2:$U$1090,0))="","–",INDEX(Rank_Changes!$P$2:$P$1090,MATCH($A69&amp;"|"&amp;"NLD",Rank_Changes!$U$2:$U$1090,0))),"–")</f>
        <v>–</v>
      </c>
      <c r="J69" s="26" t="str">
        <f aca="false">IFERROR(IF(INDEX(Rank_Changes!$P$2:$P$1090,MATCH($A69&amp;"|"&amp;"CHE",Rank_Changes!$U$2:$U$1090,0))="","–",INDEX(Rank_Changes!$P$2:$P$1090,MATCH($A69&amp;"|"&amp;"CHE",Rank_Changes!$U$2:$U$1090,0))),"–")</f>
        <v>–</v>
      </c>
      <c r="K69" s="26" t="str">
        <f aca="false">IFERROR(IF(INDEX(Rank_Changes!$P$2:$P$1090,MATCH($A69&amp;"|"&amp;"DNK",Rank_Changes!$U$2:$U$1090,0))="","–",INDEX(Rank_Changes!$P$2:$P$1090,MATCH($A69&amp;"|"&amp;"DNK",Rank_Changes!$U$2:$U$1090,0))),"–")</f>
        <v>–</v>
      </c>
      <c r="L69" s="26" t="str">
        <f aca="false">IFERROR(IF(INDEX(Rank_Changes!$P$2:$P$1090,MATCH($A69&amp;"|"&amp;"CAN",Rank_Changes!$U$2:$U$1090,0))="","–",INDEX(Rank_Changes!$P$2:$P$1090,MATCH($A69&amp;"|"&amp;"CAN",Rank_Changes!$U$2:$U$1090,0))),"–")</f>
        <v>–</v>
      </c>
      <c r="M69" s="26" t="str">
        <f aca="false">IFERROR(IF(INDEX(Rank_Changes!$P$2:$P$1090,MATCH($A69&amp;"|"&amp;"JPN",Rank_Changes!$U$2:$U$1090,0))="","–",INDEX(Rank_Changes!$P$2:$P$1090,MATCH($A69&amp;"|"&amp;"JPN",Rank_Changes!$U$2:$U$1090,0))),"–")</f>
        <v>–</v>
      </c>
      <c r="N69" s="26" t="str">
        <f aca="false">IFERROR(IF(INDEX(Rank_Changes!$P$2:$P$1090,MATCH($A69&amp;"|"&amp;"AUS",Rank_Changes!$U$2:$U$1090,0))="","–",INDEX(Rank_Changes!$P$2:$P$1090,MATCH($A69&amp;"|"&amp;"AUS",Rank_Changes!$U$2:$U$1090,0))),"–")</f>
        <v>–</v>
      </c>
    </row>
    <row r="70" customFormat="false" ht="15" hidden="false" customHeight="false" outlineLevel="0" collapsed="false">
      <c r="A70" s="12" t="s">
        <v>185</v>
      </c>
      <c r="B70" s="12" t="s">
        <v>43</v>
      </c>
      <c r="C70" s="12" t="s">
        <v>186</v>
      </c>
      <c r="D70" s="26" t="str">
        <f aca="false">IFERROR(IF(INDEX(Rank_Changes!$P$2:$P$1090,MATCH($A70&amp;"|"&amp;"USA",Rank_Changes!$U$2:$U$1090,0))="","–",INDEX(Rank_Changes!$P$2:$P$1090,MATCH($A70&amp;"|"&amp;"USA",Rank_Changes!$U$2:$U$1090,0))),"–")</f>
        <v>–</v>
      </c>
      <c r="E70" s="26" t="str">
        <f aca="false">IFERROR(IF(INDEX(Rank_Changes!$P$2:$P$1090,MATCH($A70&amp;"|"&amp;"GBR",Rank_Changes!$U$2:$U$1090,0))="","–",INDEX(Rank_Changes!$P$2:$P$1090,MATCH($A70&amp;"|"&amp;"GBR",Rank_Changes!$U$2:$U$1090,0))),"–")</f>
        <v>–</v>
      </c>
      <c r="F70" s="26" t="str">
        <f aca="false">IFERROR(IF(INDEX(Rank_Changes!$P$2:$P$1090,MATCH($A70&amp;"|"&amp;"DEU",Rank_Changes!$U$2:$U$1090,0))="","–",INDEX(Rank_Changes!$P$2:$P$1090,MATCH($A70&amp;"|"&amp;"DEU",Rank_Changes!$U$2:$U$1090,0))),"–")</f>
        <v>–</v>
      </c>
      <c r="G70" s="26" t="str">
        <f aca="false">IFERROR(IF(INDEX(Rank_Changes!$P$2:$P$1090,MATCH($A70&amp;"|"&amp;"SWE",Rank_Changes!$U$2:$U$1090,0))="","–",INDEX(Rank_Changes!$P$2:$P$1090,MATCH($A70&amp;"|"&amp;"SWE",Rank_Changes!$U$2:$U$1090,0))),"–")</f>
        <v>–</v>
      </c>
      <c r="H70" s="26" t="str">
        <f aca="false">IFERROR(IF(INDEX(Rank_Changes!$P$2:$P$1090,MATCH($A70&amp;"|"&amp;"FRA",Rank_Changes!$U$2:$U$1090,0))="","–",INDEX(Rank_Changes!$P$2:$P$1090,MATCH($A70&amp;"|"&amp;"FRA",Rank_Changes!$U$2:$U$1090,0))),"–")</f>
        <v>–</v>
      </c>
      <c r="I70" s="26" t="str">
        <f aca="false">IFERROR(IF(INDEX(Rank_Changes!$P$2:$P$1090,MATCH($A70&amp;"|"&amp;"NLD",Rank_Changes!$U$2:$U$1090,0))="","–",INDEX(Rank_Changes!$P$2:$P$1090,MATCH($A70&amp;"|"&amp;"NLD",Rank_Changes!$U$2:$U$1090,0))),"–")</f>
        <v>–</v>
      </c>
      <c r="J70" s="26" t="str">
        <f aca="false">IFERROR(IF(INDEX(Rank_Changes!$P$2:$P$1090,MATCH($A70&amp;"|"&amp;"CHE",Rank_Changes!$U$2:$U$1090,0))="","–",INDEX(Rank_Changes!$P$2:$P$1090,MATCH($A70&amp;"|"&amp;"CHE",Rank_Changes!$U$2:$U$1090,0))),"–")</f>
        <v>–</v>
      </c>
      <c r="K70" s="26" t="str">
        <f aca="false">IFERROR(IF(INDEX(Rank_Changes!$P$2:$P$1090,MATCH($A70&amp;"|"&amp;"DNK",Rank_Changes!$U$2:$U$1090,0))="","–",INDEX(Rank_Changes!$P$2:$P$1090,MATCH($A70&amp;"|"&amp;"DNK",Rank_Changes!$U$2:$U$1090,0))),"–")</f>
        <v>–</v>
      </c>
      <c r="L70" s="26" t="str">
        <f aca="false">IFERROR(IF(INDEX(Rank_Changes!$P$2:$P$1090,MATCH($A70&amp;"|"&amp;"CAN",Rank_Changes!$U$2:$U$1090,0))="","–",INDEX(Rank_Changes!$P$2:$P$1090,MATCH($A70&amp;"|"&amp;"CAN",Rank_Changes!$U$2:$U$1090,0))),"–")</f>
        <v>–</v>
      </c>
      <c r="M70" s="26" t="str">
        <f aca="false">IFERROR(IF(INDEX(Rank_Changes!$P$2:$P$1090,MATCH($A70&amp;"|"&amp;"JPN",Rank_Changes!$U$2:$U$1090,0))="","–",INDEX(Rank_Changes!$P$2:$P$1090,MATCH($A70&amp;"|"&amp;"JPN",Rank_Changes!$U$2:$U$1090,0))),"–")</f>
        <v>–</v>
      </c>
      <c r="N70" s="26" t="str">
        <f aca="false">IFERROR(IF(INDEX(Rank_Changes!$P$2:$P$1090,MATCH($A70&amp;"|"&amp;"AUS",Rank_Changes!$U$2:$U$1090,0))="","–",INDEX(Rank_Changes!$P$2:$P$1090,MATCH($A70&amp;"|"&amp;"AUS",Rank_Changes!$U$2:$U$1090,0))),"–")</f>
        <v>–</v>
      </c>
    </row>
    <row r="71" customFormat="false" ht="15" hidden="false" customHeight="false" outlineLevel="0" collapsed="false">
      <c r="A71" s="12" t="s">
        <v>187</v>
      </c>
      <c r="B71" s="12" t="s">
        <v>43</v>
      </c>
      <c r="C71" s="12" t="s">
        <v>188</v>
      </c>
      <c r="D71" s="26" t="str">
        <f aca="false">IFERROR(IF(INDEX(Rank_Changes!$P$2:$P$1090,MATCH($A71&amp;"|"&amp;"USA",Rank_Changes!$U$2:$U$1090,0))="","–",INDEX(Rank_Changes!$P$2:$P$1090,MATCH($A71&amp;"|"&amp;"USA",Rank_Changes!$U$2:$U$1090,0))),"–")</f>
        <v>–</v>
      </c>
      <c r="E71" s="26" t="str">
        <f aca="false">IFERROR(IF(INDEX(Rank_Changes!$P$2:$P$1090,MATCH($A71&amp;"|"&amp;"GBR",Rank_Changes!$U$2:$U$1090,0))="","–",INDEX(Rank_Changes!$P$2:$P$1090,MATCH($A71&amp;"|"&amp;"GBR",Rank_Changes!$U$2:$U$1090,0))),"–")</f>
        <v>–</v>
      </c>
      <c r="F71" s="26" t="str">
        <f aca="false">IFERROR(IF(INDEX(Rank_Changes!$P$2:$P$1090,MATCH($A71&amp;"|"&amp;"DEU",Rank_Changes!$U$2:$U$1090,0))="","–",INDEX(Rank_Changes!$P$2:$P$1090,MATCH($A71&amp;"|"&amp;"DEU",Rank_Changes!$U$2:$U$1090,0))),"–")</f>
        <v>–</v>
      </c>
      <c r="G71" s="26" t="str">
        <f aca="false">IFERROR(IF(INDEX(Rank_Changes!$P$2:$P$1090,MATCH($A71&amp;"|"&amp;"SWE",Rank_Changes!$U$2:$U$1090,0))="","–",INDEX(Rank_Changes!$P$2:$P$1090,MATCH($A71&amp;"|"&amp;"SWE",Rank_Changes!$U$2:$U$1090,0))),"–")</f>
        <v>–</v>
      </c>
      <c r="H71" s="26" t="str">
        <f aca="false">IFERROR(IF(INDEX(Rank_Changes!$P$2:$P$1090,MATCH($A71&amp;"|"&amp;"FRA",Rank_Changes!$U$2:$U$1090,0))="","–",INDEX(Rank_Changes!$P$2:$P$1090,MATCH($A71&amp;"|"&amp;"FRA",Rank_Changes!$U$2:$U$1090,0))),"–")</f>
        <v>–</v>
      </c>
      <c r="I71" s="26" t="str">
        <f aca="false">IFERROR(IF(INDEX(Rank_Changes!$P$2:$P$1090,MATCH($A71&amp;"|"&amp;"NLD",Rank_Changes!$U$2:$U$1090,0))="","–",INDEX(Rank_Changes!$P$2:$P$1090,MATCH($A71&amp;"|"&amp;"NLD",Rank_Changes!$U$2:$U$1090,0))),"–")</f>
        <v>–</v>
      </c>
      <c r="J71" s="26" t="str">
        <f aca="false">IFERROR(IF(INDEX(Rank_Changes!$P$2:$P$1090,MATCH($A71&amp;"|"&amp;"CHE",Rank_Changes!$U$2:$U$1090,0))="","–",INDEX(Rank_Changes!$P$2:$P$1090,MATCH($A71&amp;"|"&amp;"CHE",Rank_Changes!$U$2:$U$1090,0))),"–")</f>
        <v>–</v>
      </c>
      <c r="K71" s="26" t="str">
        <f aca="false">IFERROR(IF(INDEX(Rank_Changes!$P$2:$P$1090,MATCH($A71&amp;"|"&amp;"DNK",Rank_Changes!$U$2:$U$1090,0))="","–",INDEX(Rank_Changes!$P$2:$P$1090,MATCH($A71&amp;"|"&amp;"DNK",Rank_Changes!$U$2:$U$1090,0))),"–")</f>
        <v>–</v>
      </c>
      <c r="L71" s="26" t="str">
        <f aca="false">IFERROR(IF(INDEX(Rank_Changes!$P$2:$P$1090,MATCH($A71&amp;"|"&amp;"CAN",Rank_Changes!$U$2:$U$1090,0))="","–",INDEX(Rank_Changes!$P$2:$P$1090,MATCH($A71&amp;"|"&amp;"CAN",Rank_Changes!$U$2:$U$1090,0))),"–")</f>
        <v>–</v>
      </c>
      <c r="M71" s="26" t="str">
        <f aca="false">IFERROR(IF(INDEX(Rank_Changes!$P$2:$P$1090,MATCH($A71&amp;"|"&amp;"JPN",Rank_Changes!$U$2:$U$1090,0))="","–",INDEX(Rank_Changes!$P$2:$P$1090,MATCH($A71&amp;"|"&amp;"JPN",Rank_Changes!$U$2:$U$1090,0))),"–")</f>
        <v>–</v>
      </c>
      <c r="N71" s="26" t="str">
        <f aca="false">IFERROR(IF(INDEX(Rank_Changes!$P$2:$P$1090,MATCH($A71&amp;"|"&amp;"AUS",Rank_Changes!$U$2:$U$1090,0))="","–",INDEX(Rank_Changes!$P$2:$P$1090,MATCH($A71&amp;"|"&amp;"AUS",Rank_Changes!$U$2:$U$1090,0))),"–")</f>
        <v>–</v>
      </c>
    </row>
    <row r="72" customFormat="false" ht="15" hidden="false" customHeight="false" outlineLevel="0" collapsed="false">
      <c r="A72" s="12" t="s">
        <v>189</v>
      </c>
      <c r="B72" s="12" t="s">
        <v>43</v>
      </c>
      <c r="C72" s="12" t="s">
        <v>190</v>
      </c>
      <c r="D72" s="26" t="str">
        <f aca="false">IFERROR(IF(INDEX(Rank_Changes!$P$2:$P$1090,MATCH($A72&amp;"|"&amp;"USA",Rank_Changes!$U$2:$U$1090,0))="","–",INDEX(Rank_Changes!$P$2:$P$1090,MATCH($A72&amp;"|"&amp;"USA",Rank_Changes!$U$2:$U$1090,0))),"–")</f>
        <v>–</v>
      </c>
      <c r="E72" s="26" t="n">
        <f aca="false">IFERROR(IF(INDEX(Rank_Changes!$P$2:$P$1090,MATCH($A72&amp;"|"&amp;"GBR",Rank_Changes!$U$2:$U$1090,0))="","–",INDEX(Rank_Changes!$P$2:$P$1090,MATCH($A72&amp;"|"&amp;"GBR",Rank_Changes!$U$2:$U$1090,0))),"–")</f>
        <v>-1</v>
      </c>
      <c r="F72" s="26" t="n">
        <f aca="false">IFERROR(IF(INDEX(Rank_Changes!$P$2:$P$1090,MATCH($A72&amp;"|"&amp;"DEU",Rank_Changes!$U$2:$U$1090,0))="","–",INDEX(Rank_Changes!$P$2:$P$1090,MATCH($A72&amp;"|"&amp;"DEU",Rank_Changes!$U$2:$U$1090,0))),"–")</f>
        <v>1</v>
      </c>
      <c r="G72" s="26" t="n">
        <f aca="false">IFERROR(IF(INDEX(Rank_Changes!$P$2:$P$1090,MATCH($A72&amp;"|"&amp;"SWE",Rank_Changes!$U$2:$U$1090,0))="","–",INDEX(Rank_Changes!$P$2:$P$1090,MATCH($A72&amp;"|"&amp;"SWE",Rank_Changes!$U$2:$U$1090,0))),"–")</f>
        <v>-1</v>
      </c>
      <c r="H72" s="26" t="n">
        <f aca="false">IFERROR(IF(INDEX(Rank_Changes!$P$2:$P$1090,MATCH($A72&amp;"|"&amp;"FRA",Rank_Changes!$U$2:$U$1090,0))="","–",INDEX(Rank_Changes!$P$2:$P$1090,MATCH($A72&amp;"|"&amp;"FRA",Rank_Changes!$U$2:$U$1090,0))),"–")</f>
        <v>-1</v>
      </c>
      <c r="I72" s="26" t="n">
        <f aca="false">IFERROR(IF(INDEX(Rank_Changes!$P$2:$P$1090,MATCH($A72&amp;"|"&amp;"NLD",Rank_Changes!$U$2:$U$1090,0))="","–",INDEX(Rank_Changes!$P$2:$P$1090,MATCH($A72&amp;"|"&amp;"NLD",Rank_Changes!$U$2:$U$1090,0))),"–")</f>
        <v>-1</v>
      </c>
      <c r="J72" s="26" t="n">
        <f aca="false">IFERROR(IF(INDEX(Rank_Changes!$P$2:$P$1090,MATCH($A72&amp;"|"&amp;"CHE",Rank_Changes!$U$2:$U$1090,0))="","–",INDEX(Rank_Changes!$P$2:$P$1090,MATCH($A72&amp;"|"&amp;"CHE",Rank_Changes!$U$2:$U$1090,0))),"–")</f>
        <v>5</v>
      </c>
      <c r="K72" s="26" t="n">
        <f aca="false">IFERROR(IF(INDEX(Rank_Changes!$P$2:$P$1090,MATCH($A72&amp;"|"&amp;"DNK",Rank_Changes!$U$2:$U$1090,0))="","–",INDEX(Rank_Changes!$P$2:$P$1090,MATCH($A72&amp;"|"&amp;"DNK",Rank_Changes!$U$2:$U$1090,0))),"–")</f>
        <v>-1</v>
      </c>
      <c r="L72" s="26" t="n">
        <f aca="false">IFERROR(IF(INDEX(Rank_Changes!$P$2:$P$1090,MATCH($A72&amp;"|"&amp;"CAN",Rank_Changes!$U$2:$U$1090,0))="","–",INDEX(Rank_Changes!$P$2:$P$1090,MATCH($A72&amp;"|"&amp;"CAN",Rank_Changes!$U$2:$U$1090,0))),"–")</f>
        <v>0</v>
      </c>
      <c r="M72" s="26" t="n">
        <f aca="false">IFERROR(IF(INDEX(Rank_Changes!$P$2:$P$1090,MATCH($A72&amp;"|"&amp;"JPN",Rank_Changes!$U$2:$U$1090,0))="","–",INDEX(Rank_Changes!$P$2:$P$1090,MATCH($A72&amp;"|"&amp;"JPN",Rank_Changes!$U$2:$U$1090,0))),"–")</f>
        <v>-1</v>
      </c>
      <c r="N72" s="26" t="n">
        <f aca="false">IFERROR(IF(INDEX(Rank_Changes!$P$2:$P$1090,MATCH($A72&amp;"|"&amp;"AUS",Rank_Changes!$U$2:$U$1090,0))="","–",INDEX(Rank_Changes!$P$2:$P$1090,MATCH($A72&amp;"|"&amp;"AUS",Rank_Changes!$U$2:$U$1090,0))),"–")</f>
        <v>-1</v>
      </c>
    </row>
    <row r="73" customFormat="false" ht="15" hidden="false" customHeight="false" outlineLevel="0" collapsed="false">
      <c r="A73" s="12" t="s">
        <v>191</v>
      </c>
      <c r="B73" s="12" t="s">
        <v>43</v>
      </c>
      <c r="C73" s="12" t="s">
        <v>192</v>
      </c>
      <c r="D73" s="26" t="str">
        <f aca="false">IFERROR(IF(INDEX(Rank_Changes!$P$2:$P$1090,MATCH($A73&amp;"|"&amp;"USA",Rank_Changes!$U$2:$U$1090,0))="","–",INDEX(Rank_Changes!$P$2:$P$1090,MATCH($A73&amp;"|"&amp;"USA",Rank_Changes!$U$2:$U$1090,0))),"–")</f>
        <v>–</v>
      </c>
      <c r="E73" s="26" t="n">
        <f aca="false">IFERROR(IF(INDEX(Rank_Changes!$P$2:$P$1090,MATCH($A73&amp;"|"&amp;"GBR",Rank_Changes!$U$2:$U$1090,0))="","–",INDEX(Rank_Changes!$P$2:$P$1090,MATCH($A73&amp;"|"&amp;"GBR",Rank_Changes!$U$2:$U$1090,0))),"–")</f>
        <v>-1</v>
      </c>
      <c r="F73" s="26" t="n">
        <f aca="false">IFERROR(IF(INDEX(Rank_Changes!$P$2:$P$1090,MATCH($A73&amp;"|"&amp;"DEU",Rank_Changes!$U$2:$U$1090,0))="","–",INDEX(Rank_Changes!$P$2:$P$1090,MATCH($A73&amp;"|"&amp;"DEU",Rank_Changes!$U$2:$U$1090,0))),"–")</f>
        <v>-4</v>
      </c>
      <c r="G73" s="26" t="n">
        <f aca="false">IFERROR(IF(INDEX(Rank_Changes!$P$2:$P$1090,MATCH($A73&amp;"|"&amp;"SWE",Rank_Changes!$U$2:$U$1090,0))="","–",INDEX(Rank_Changes!$P$2:$P$1090,MATCH($A73&amp;"|"&amp;"SWE",Rank_Changes!$U$2:$U$1090,0))),"–")</f>
        <v>-1</v>
      </c>
      <c r="H73" s="26" t="n">
        <f aca="false">IFERROR(IF(INDEX(Rank_Changes!$P$2:$P$1090,MATCH($A73&amp;"|"&amp;"FRA",Rank_Changes!$U$2:$U$1090,0))="","–",INDEX(Rank_Changes!$P$2:$P$1090,MATCH($A73&amp;"|"&amp;"FRA",Rank_Changes!$U$2:$U$1090,0))),"–")</f>
        <v>3</v>
      </c>
      <c r="I73" s="26" t="n">
        <f aca="false">IFERROR(IF(INDEX(Rank_Changes!$P$2:$P$1090,MATCH($A73&amp;"|"&amp;"NLD",Rank_Changes!$U$2:$U$1090,0))="","–",INDEX(Rank_Changes!$P$2:$P$1090,MATCH($A73&amp;"|"&amp;"NLD",Rank_Changes!$U$2:$U$1090,0))),"–")</f>
        <v>-1</v>
      </c>
      <c r="J73" s="26" t="n">
        <f aca="false">IFERROR(IF(INDEX(Rank_Changes!$P$2:$P$1090,MATCH($A73&amp;"|"&amp;"CHE",Rank_Changes!$U$2:$U$1090,0))="","–",INDEX(Rank_Changes!$P$2:$P$1090,MATCH($A73&amp;"|"&amp;"CHE",Rank_Changes!$U$2:$U$1090,0))),"–")</f>
        <v>-2</v>
      </c>
      <c r="K73" s="26" t="n">
        <f aca="false">IFERROR(IF(INDEX(Rank_Changes!$P$2:$P$1090,MATCH($A73&amp;"|"&amp;"DNK",Rank_Changes!$U$2:$U$1090,0))="","–",INDEX(Rank_Changes!$P$2:$P$1090,MATCH($A73&amp;"|"&amp;"DNK",Rank_Changes!$U$2:$U$1090,0))),"–")</f>
        <v>0</v>
      </c>
      <c r="L73" s="26" t="n">
        <f aca="false">IFERROR(IF(INDEX(Rank_Changes!$P$2:$P$1090,MATCH($A73&amp;"|"&amp;"CAN",Rank_Changes!$U$2:$U$1090,0))="","–",INDEX(Rank_Changes!$P$2:$P$1090,MATCH($A73&amp;"|"&amp;"CAN",Rank_Changes!$U$2:$U$1090,0))),"–")</f>
        <v>0</v>
      </c>
      <c r="M73" s="26" t="n">
        <f aca="false">IFERROR(IF(INDEX(Rank_Changes!$P$2:$P$1090,MATCH($A73&amp;"|"&amp;"JPN",Rank_Changes!$U$2:$U$1090,0))="","–",INDEX(Rank_Changes!$P$2:$P$1090,MATCH($A73&amp;"|"&amp;"JPN",Rank_Changes!$U$2:$U$1090,0))),"–")</f>
        <v>1</v>
      </c>
      <c r="N73" s="26" t="n">
        <f aca="false">IFERROR(IF(INDEX(Rank_Changes!$P$2:$P$1090,MATCH($A73&amp;"|"&amp;"AUS",Rank_Changes!$U$2:$U$1090,0))="","–",INDEX(Rank_Changes!$P$2:$P$1090,MATCH($A73&amp;"|"&amp;"AUS",Rank_Changes!$U$2:$U$1090,0))),"–")</f>
        <v>1</v>
      </c>
    </row>
    <row r="74" customFormat="false" ht="15" hidden="false" customHeight="false" outlineLevel="0" collapsed="false">
      <c r="A74" s="12" t="s">
        <v>193</v>
      </c>
      <c r="B74" s="12" t="s">
        <v>43</v>
      </c>
      <c r="C74" s="12" t="s">
        <v>194</v>
      </c>
      <c r="D74" s="26" t="n">
        <f aca="false">IFERROR(IF(INDEX(Rank_Changes!$P$2:$P$1090,MATCH($A74&amp;"|"&amp;"USA",Rank_Changes!$U$2:$U$1090,0))="","–",INDEX(Rank_Changes!$P$2:$P$1090,MATCH($A74&amp;"|"&amp;"USA",Rank_Changes!$U$2:$U$1090,0))),"–")</f>
        <v>2</v>
      </c>
      <c r="E74" s="26" t="n">
        <f aca="false">IFERROR(IF(INDEX(Rank_Changes!$P$2:$P$1090,MATCH($A74&amp;"|"&amp;"GBR",Rank_Changes!$U$2:$U$1090,0))="","–",INDEX(Rank_Changes!$P$2:$P$1090,MATCH($A74&amp;"|"&amp;"GBR",Rank_Changes!$U$2:$U$1090,0))),"–")</f>
        <v>-2</v>
      </c>
      <c r="F74" s="26" t="n">
        <f aca="false">IFERROR(IF(INDEX(Rank_Changes!$P$2:$P$1090,MATCH($A74&amp;"|"&amp;"DEU",Rank_Changes!$U$2:$U$1090,0))="","–",INDEX(Rank_Changes!$P$2:$P$1090,MATCH($A74&amp;"|"&amp;"DEU",Rank_Changes!$U$2:$U$1090,0))),"–")</f>
        <v>1</v>
      </c>
      <c r="G74" s="26" t="n">
        <f aca="false">IFERROR(IF(INDEX(Rank_Changes!$P$2:$P$1090,MATCH($A74&amp;"|"&amp;"SWE",Rank_Changes!$U$2:$U$1090,0))="","–",INDEX(Rank_Changes!$P$2:$P$1090,MATCH($A74&amp;"|"&amp;"SWE",Rank_Changes!$U$2:$U$1090,0))),"–")</f>
        <v>1</v>
      </c>
      <c r="H74" s="26" t="n">
        <f aca="false">IFERROR(IF(INDEX(Rank_Changes!$P$2:$P$1090,MATCH($A74&amp;"|"&amp;"FRA",Rank_Changes!$U$2:$U$1090,0))="","–",INDEX(Rank_Changes!$P$2:$P$1090,MATCH($A74&amp;"|"&amp;"FRA",Rank_Changes!$U$2:$U$1090,0))),"–")</f>
        <v>-1</v>
      </c>
      <c r="I74" s="26" t="n">
        <f aca="false">IFERROR(IF(INDEX(Rank_Changes!$P$2:$P$1090,MATCH($A74&amp;"|"&amp;"NLD",Rank_Changes!$U$2:$U$1090,0))="","–",INDEX(Rank_Changes!$P$2:$P$1090,MATCH($A74&amp;"|"&amp;"NLD",Rank_Changes!$U$2:$U$1090,0))),"–")</f>
        <v>3</v>
      </c>
      <c r="J74" s="26" t="n">
        <f aca="false">IFERROR(IF(INDEX(Rank_Changes!$P$2:$P$1090,MATCH($A74&amp;"|"&amp;"CHE",Rank_Changes!$U$2:$U$1090,0))="","–",INDEX(Rank_Changes!$P$2:$P$1090,MATCH($A74&amp;"|"&amp;"CHE",Rank_Changes!$U$2:$U$1090,0))),"–")</f>
        <v>-8</v>
      </c>
      <c r="K74" s="26" t="n">
        <f aca="false">IFERROR(IF(INDEX(Rank_Changes!$P$2:$P$1090,MATCH($A74&amp;"|"&amp;"DNK",Rank_Changes!$U$2:$U$1090,0))="","–",INDEX(Rank_Changes!$P$2:$P$1090,MATCH($A74&amp;"|"&amp;"DNK",Rank_Changes!$U$2:$U$1090,0))),"–")</f>
        <v>0</v>
      </c>
      <c r="L74" s="26" t="n">
        <f aca="false">IFERROR(IF(INDEX(Rank_Changes!$P$2:$P$1090,MATCH($A74&amp;"|"&amp;"CAN",Rank_Changes!$U$2:$U$1090,0))="","–",INDEX(Rank_Changes!$P$2:$P$1090,MATCH($A74&amp;"|"&amp;"CAN",Rank_Changes!$U$2:$U$1090,0))),"–")</f>
        <v>1</v>
      </c>
      <c r="M74" s="26" t="n">
        <f aca="false">IFERROR(IF(INDEX(Rank_Changes!$P$2:$P$1090,MATCH($A74&amp;"|"&amp;"JPN",Rank_Changes!$U$2:$U$1090,0))="","–",INDEX(Rank_Changes!$P$2:$P$1090,MATCH($A74&amp;"|"&amp;"JPN",Rank_Changes!$U$2:$U$1090,0))),"–")</f>
        <v>1</v>
      </c>
      <c r="N74" s="26" t="n">
        <f aca="false">IFERROR(IF(INDEX(Rank_Changes!$P$2:$P$1090,MATCH($A74&amp;"|"&amp;"AUS",Rank_Changes!$U$2:$U$1090,0))="","–",INDEX(Rank_Changes!$P$2:$P$1090,MATCH($A74&amp;"|"&amp;"AUS",Rank_Changes!$U$2:$U$1090,0))),"–")</f>
        <v>1</v>
      </c>
    </row>
    <row r="75" customFormat="false" ht="15" hidden="false" customHeight="false" outlineLevel="0" collapsed="false">
      <c r="A75" s="12" t="s">
        <v>195</v>
      </c>
      <c r="B75" s="12" t="s">
        <v>43</v>
      </c>
      <c r="C75" s="12" t="s">
        <v>196</v>
      </c>
      <c r="D75" s="26" t="str">
        <f aca="false">IFERROR(IF(INDEX(Rank_Changes!$P$2:$P$1090,MATCH($A75&amp;"|"&amp;"USA",Rank_Changes!$U$2:$U$1090,0))="","–",INDEX(Rank_Changes!$P$2:$P$1090,MATCH($A75&amp;"|"&amp;"USA",Rank_Changes!$U$2:$U$1090,0))),"–")</f>
        <v>–</v>
      </c>
      <c r="E75" s="26" t="n">
        <f aca="false">IFERROR(IF(INDEX(Rank_Changes!$P$2:$P$1090,MATCH($A75&amp;"|"&amp;"GBR",Rank_Changes!$U$2:$U$1090,0))="","–",INDEX(Rank_Changes!$P$2:$P$1090,MATCH($A75&amp;"|"&amp;"GBR",Rank_Changes!$U$2:$U$1090,0))),"–")</f>
        <v>-3</v>
      </c>
      <c r="F75" s="26" t="n">
        <f aca="false">IFERROR(IF(INDEX(Rank_Changes!$P$2:$P$1090,MATCH($A75&amp;"|"&amp;"DEU",Rank_Changes!$U$2:$U$1090,0))="","–",INDEX(Rank_Changes!$P$2:$P$1090,MATCH($A75&amp;"|"&amp;"DEU",Rank_Changes!$U$2:$U$1090,0))),"–")</f>
        <v>1</v>
      </c>
      <c r="G75" s="26" t="n">
        <f aca="false">IFERROR(IF(INDEX(Rank_Changes!$P$2:$P$1090,MATCH($A75&amp;"|"&amp;"SWE",Rank_Changes!$U$2:$U$1090,0))="","–",INDEX(Rank_Changes!$P$2:$P$1090,MATCH($A75&amp;"|"&amp;"SWE",Rank_Changes!$U$2:$U$1090,0))),"–")</f>
        <v>-1</v>
      </c>
      <c r="H75" s="26" t="n">
        <f aca="false">IFERROR(IF(INDEX(Rank_Changes!$P$2:$P$1090,MATCH($A75&amp;"|"&amp;"FRA",Rank_Changes!$U$2:$U$1090,0))="","–",INDEX(Rank_Changes!$P$2:$P$1090,MATCH($A75&amp;"|"&amp;"FRA",Rank_Changes!$U$2:$U$1090,0))),"–")</f>
        <v>-5</v>
      </c>
      <c r="I75" s="26" t="n">
        <f aca="false">IFERROR(IF(INDEX(Rank_Changes!$P$2:$P$1090,MATCH($A75&amp;"|"&amp;"NLD",Rank_Changes!$U$2:$U$1090,0))="","–",INDEX(Rank_Changes!$P$2:$P$1090,MATCH($A75&amp;"|"&amp;"NLD",Rank_Changes!$U$2:$U$1090,0))),"–")</f>
        <v>7</v>
      </c>
      <c r="J75" s="26" t="n">
        <f aca="false">IFERROR(IF(INDEX(Rank_Changes!$P$2:$P$1090,MATCH($A75&amp;"|"&amp;"CHE",Rank_Changes!$U$2:$U$1090,0))="","–",INDEX(Rank_Changes!$P$2:$P$1090,MATCH($A75&amp;"|"&amp;"CHE",Rank_Changes!$U$2:$U$1090,0))),"–")</f>
        <v>-4</v>
      </c>
      <c r="K75" s="26" t="n">
        <f aca="false">IFERROR(IF(INDEX(Rank_Changes!$P$2:$P$1090,MATCH($A75&amp;"|"&amp;"DNK",Rank_Changes!$U$2:$U$1090,0))="","–",INDEX(Rank_Changes!$P$2:$P$1090,MATCH($A75&amp;"|"&amp;"DNK",Rank_Changes!$U$2:$U$1090,0))),"–")</f>
        <v>0</v>
      </c>
      <c r="L75" s="26" t="n">
        <f aca="false">IFERROR(IF(INDEX(Rank_Changes!$P$2:$P$1090,MATCH($A75&amp;"|"&amp;"CAN",Rank_Changes!$U$2:$U$1090,0))="","–",INDEX(Rank_Changes!$P$2:$P$1090,MATCH($A75&amp;"|"&amp;"CAN",Rank_Changes!$U$2:$U$1090,0))),"–")</f>
        <v>1</v>
      </c>
      <c r="M75" s="26" t="n">
        <f aca="false">IFERROR(IF(INDEX(Rank_Changes!$P$2:$P$1090,MATCH($A75&amp;"|"&amp;"JPN",Rank_Changes!$U$2:$U$1090,0))="","–",INDEX(Rank_Changes!$P$2:$P$1090,MATCH($A75&amp;"|"&amp;"JPN",Rank_Changes!$U$2:$U$1090,0))),"–")</f>
        <v>-2</v>
      </c>
      <c r="N75" s="26" t="n">
        <f aca="false">IFERROR(IF(INDEX(Rank_Changes!$P$2:$P$1090,MATCH($A75&amp;"|"&amp;"AUS",Rank_Changes!$U$2:$U$1090,0))="","–",INDEX(Rank_Changes!$P$2:$P$1090,MATCH($A75&amp;"|"&amp;"AUS",Rank_Changes!$U$2:$U$1090,0))),"–")</f>
        <v>4</v>
      </c>
    </row>
    <row r="76" customFormat="false" ht="15" hidden="false" customHeight="false" outlineLevel="0" collapsed="false">
      <c r="A76" s="12" t="s">
        <v>197</v>
      </c>
      <c r="B76" s="12" t="s">
        <v>43</v>
      </c>
      <c r="C76" s="12" t="s">
        <v>198</v>
      </c>
      <c r="D76" s="26" t="str">
        <f aca="false">IFERROR(IF(INDEX(Rank_Changes!$P$2:$P$1090,MATCH($A76&amp;"|"&amp;"USA",Rank_Changes!$U$2:$U$1090,0))="","–",INDEX(Rank_Changes!$P$2:$P$1090,MATCH($A76&amp;"|"&amp;"USA",Rank_Changes!$U$2:$U$1090,0))),"–")</f>
        <v>–</v>
      </c>
      <c r="E76" s="26" t="n">
        <f aca="false">IFERROR(IF(INDEX(Rank_Changes!$P$2:$P$1090,MATCH($A76&amp;"|"&amp;"GBR",Rank_Changes!$U$2:$U$1090,0))="","–",INDEX(Rank_Changes!$P$2:$P$1090,MATCH($A76&amp;"|"&amp;"GBR",Rank_Changes!$U$2:$U$1090,0))),"–")</f>
        <v>-1</v>
      </c>
      <c r="F76" s="26" t="n">
        <f aca="false">IFERROR(IF(INDEX(Rank_Changes!$P$2:$P$1090,MATCH($A76&amp;"|"&amp;"DEU",Rank_Changes!$U$2:$U$1090,0))="","–",INDEX(Rank_Changes!$P$2:$P$1090,MATCH($A76&amp;"|"&amp;"DEU",Rank_Changes!$U$2:$U$1090,0))),"–")</f>
        <v>0</v>
      </c>
      <c r="G76" s="26" t="n">
        <f aca="false">IFERROR(IF(INDEX(Rank_Changes!$P$2:$P$1090,MATCH($A76&amp;"|"&amp;"SWE",Rank_Changes!$U$2:$U$1090,0))="","–",INDEX(Rank_Changes!$P$2:$P$1090,MATCH($A76&amp;"|"&amp;"SWE",Rank_Changes!$U$2:$U$1090,0))),"–")</f>
        <v>-1</v>
      </c>
      <c r="H76" s="26" t="n">
        <f aca="false">IFERROR(IF(INDEX(Rank_Changes!$P$2:$P$1090,MATCH($A76&amp;"|"&amp;"FRA",Rank_Changes!$U$2:$U$1090,0))="","–",INDEX(Rank_Changes!$P$2:$P$1090,MATCH($A76&amp;"|"&amp;"FRA",Rank_Changes!$U$2:$U$1090,0))),"–")</f>
        <v>-2</v>
      </c>
      <c r="I76" s="26" t="n">
        <f aca="false">IFERROR(IF(INDEX(Rank_Changes!$P$2:$P$1090,MATCH($A76&amp;"|"&amp;"NLD",Rank_Changes!$U$2:$U$1090,0))="","–",INDEX(Rank_Changes!$P$2:$P$1090,MATCH($A76&amp;"|"&amp;"NLD",Rank_Changes!$U$2:$U$1090,0))),"–")</f>
        <v>3</v>
      </c>
      <c r="J76" s="26" t="n">
        <f aca="false">IFERROR(IF(INDEX(Rank_Changes!$P$2:$P$1090,MATCH($A76&amp;"|"&amp;"CHE",Rank_Changes!$U$2:$U$1090,0))="","–",INDEX(Rank_Changes!$P$2:$P$1090,MATCH($A76&amp;"|"&amp;"CHE",Rank_Changes!$U$2:$U$1090,0))),"–")</f>
        <v>3</v>
      </c>
      <c r="K76" s="26" t="n">
        <f aca="false">IFERROR(IF(INDEX(Rank_Changes!$P$2:$P$1090,MATCH($A76&amp;"|"&amp;"DNK",Rank_Changes!$U$2:$U$1090,0))="","–",INDEX(Rank_Changes!$P$2:$P$1090,MATCH($A76&amp;"|"&amp;"DNK",Rank_Changes!$U$2:$U$1090,0))),"–")</f>
        <v>5</v>
      </c>
      <c r="L76" s="26" t="n">
        <f aca="false">IFERROR(IF(INDEX(Rank_Changes!$P$2:$P$1090,MATCH($A76&amp;"|"&amp;"CAN",Rank_Changes!$U$2:$U$1090,0))="","–",INDEX(Rank_Changes!$P$2:$P$1090,MATCH($A76&amp;"|"&amp;"CAN",Rank_Changes!$U$2:$U$1090,0))),"–")</f>
        <v>-1</v>
      </c>
      <c r="M76" s="26" t="n">
        <f aca="false">IFERROR(IF(INDEX(Rank_Changes!$P$2:$P$1090,MATCH($A76&amp;"|"&amp;"JPN",Rank_Changes!$U$2:$U$1090,0))="","–",INDEX(Rank_Changes!$P$2:$P$1090,MATCH($A76&amp;"|"&amp;"JPN",Rank_Changes!$U$2:$U$1090,0))),"–")</f>
        <v>-7</v>
      </c>
      <c r="N76" s="26" t="n">
        <f aca="false">IFERROR(IF(INDEX(Rank_Changes!$P$2:$P$1090,MATCH($A76&amp;"|"&amp;"AUS",Rank_Changes!$U$2:$U$1090,0))="","–",INDEX(Rank_Changes!$P$2:$P$1090,MATCH($A76&amp;"|"&amp;"AUS",Rank_Changes!$U$2:$U$1090,0))),"–")</f>
        <v>-3</v>
      </c>
    </row>
    <row r="77" customFormat="false" ht="15" hidden="false" customHeight="false" outlineLevel="0" collapsed="false">
      <c r="A77" s="12" t="s">
        <v>199</v>
      </c>
      <c r="B77" s="12" t="s">
        <v>43</v>
      </c>
      <c r="C77" s="12" t="s">
        <v>200</v>
      </c>
      <c r="D77" s="26" t="str">
        <f aca="false">IFERROR(IF(INDEX(Rank_Changes!$P$2:$P$1090,MATCH($A77&amp;"|"&amp;"USA",Rank_Changes!$U$2:$U$1090,0))="","–",INDEX(Rank_Changes!$P$2:$P$1090,MATCH($A77&amp;"|"&amp;"USA",Rank_Changes!$U$2:$U$1090,0))),"–")</f>
        <v>–</v>
      </c>
      <c r="E77" s="26" t="n">
        <f aca="false">IFERROR(IF(INDEX(Rank_Changes!$P$2:$P$1090,MATCH($A77&amp;"|"&amp;"GBR",Rank_Changes!$U$2:$U$1090,0))="","–",INDEX(Rank_Changes!$P$2:$P$1090,MATCH($A77&amp;"|"&amp;"GBR",Rank_Changes!$U$2:$U$1090,0))),"–")</f>
        <v>1</v>
      </c>
      <c r="F77" s="26" t="n">
        <f aca="false">IFERROR(IF(INDEX(Rank_Changes!$P$2:$P$1090,MATCH($A77&amp;"|"&amp;"DEU",Rank_Changes!$U$2:$U$1090,0))="","–",INDEX(Rank_Changes!$P$2:$P$1090,MATCH($A77&amp;"|"&amp;"DEU",Rank_Changes!$U$2:$U$1090,0))),"–")</f>
        <v>1</v>
      </c>
      <c r="G77" s="26" t="n">
        <f aca="false">IFERROR(IF(INDEX(Rank_Changes!$P$2:$P$1090,MATCH($A77&amp;"|"&amp;"SWE",Rank_Changes!$U$2:$U$1090,0))="","–",INDEX(Rank_Changes!$P$2:$P$1090,MATCH($A77&amp;"|"&amp;"SWE",Rank_Changes!$U$2:$U$1090,0))),"–")</f>
        <v>0</v>
      </c>
      <c r="H77" s="26" t="n">
        <f aca="false">IFERROR(IF(INDEX(Rank_Changes!$P$2:$P$1090,MATCH($A77&amp;"|"&amp;"FRA",Rank_Changes!$U$2:$U$1090,0))="","–",INDEX(Rank_Changes!$P$2:$P$1090,MATCH($A77&amp;"|"&amp;"FRA",Rank_Changes!$U$2:$U$1090,0))),"–")</f>
        <v>0</v>
      </c>
      <c r="I77" s="26" t="n">
        <f aca="false">IFERROR(IF(INDEX(Rank_Changes!$P$2:$P$1090,MATCH($A77&amp;"|"&amp;"NLD",Rank_Changes!$U$2:$U$1090,0))="","–",INDEX(Rank_Changes!$P$2:$P$1090,MATCH($A77&amp;"|"&amp;"NLD",Rank_Changes!$U$2:$U$1090,0))),"–")</f>
        <v>0</v>
      </c>
      <c r="J77" s="26" t="str">
        <f aca="false">IFERROR(IF(INDEX(Rank_Changes!$P$2:$P$1090,MATCH($A77&amp;"|"&amp;"CHE",Rank_Changes!$U$2:$U$1090,0))="","–",INDEX(Rank_Changes!$P$2:$P$1090,MATCH($A77&amp;"|"&amp;"CHE",Rank_Changes!$U$2:$U$1090,0))),"–")</f>
        <v>–</v>
      </c>
      <c r="K77" s="26" t="n">
        <f aca="false">IFERROR(IF(INDEX(Rank_Changes!$P$2:$P$1090,MATCH($A77&amp;"|"&amp;"DNK",Rank_Changes!$U$2:$U$1090,0))="","–",INDEX(Rank_Changes!$P$2:$P$1090,MATCH($A77&amp;"|"&amp;"DNK",Rank_Changes!$U$2:$U$1090,0))),"–")</f>
        <v>1</v>
      </c>
      <c r="L77" s="26" t="n">
        <f aca="false">IFERROR(IF(INDEX(Rank_Changes!$P$2:$P$1090,MATCH($A77&amp;"|"&amp;"CAN",Rank_Changes!$U$2:$U$1090,0))="","–",INDEX(Rank_Changes!$P$2:$P$1090,MATCH($A77&amp;"|"&amp;"CAN",Rank_Changes!$U$2:$U$1090,0))),"–")</f>
        <v>-3</v>
      </c>
      <c r="M77" s="26" t="str">
        <f aca="false">IFERROR(IF(INDEX(Rank_Changes!$P$2:$P$1090,MATCH($A77&amp;"|"&amp;"JPN",Rank_Changes!$U$2:$U$1090,0))="","–",INDEX(Rank_Changes!$P$2:$P$1090,MATCH($A77&amp;"|"&amp;"JPN",Rank_Changes!$U$2:$U$1090,0))),"–")</f>
        <v>–</v>
      </c>
      <c r="N77" s="26" t="n">
        <f aca="false">IFERROR(IF(INDEX(Rank_Changes!$P$2:$P$1090,MATCH($A77&amp;"|"&amp;"AUS",Rank_Changes!$U$2:$U$1090,0))="","–",INDEX(Rank_Changes!$P$2:$P$1090,MATCH($A77&amp;"|"&amp;"AUS",Rank_Changes!$U$2:$U$1090,0))),"–")</f>
        <v>0</v>
      </c>
    </row>
    <row r="78" customFormat="false" ht="15" hidden="false" customHeight="false" outlineLevel="0" collapsed="false">
      <c r="A78" s="12" t="s">
        <v>202</v>
      </c>
      <c r="B78" s="12" t="s">
        <v>40</v>
      </c>
      <c r="C78" s="12" t="s">
        <v>203</v>
      </c>
      <c r="D78" s="26" t="n">
        <f aca="false">IFERROR(IF(INDEX(Rank_Changes!$P$2:$P$1090,MATCH($A78&amp;"|"&amp;"USA",Rank_Changes!$U$2:$U$1090,0))="","–",INDEX(Rank_Changes!$P$2:$P$1090,MATCH($A78&amp;"|"&amp;"USA",Rank_Changes!$U$2:$U$1090,0))),"–")</f>
        <v>1</v>
      </c>
      <c r="E78" s="26" t="n">
        <f aca="false">IFERROR(IF(INDEX(Rank_Changes!$P$2:$P$1090,MATCH($A78&amp;"|"&amp;"GBR",Rank_Changes!$U$2:$U$1090,0))="","–",INDEX(Rank_Changes!$P$2:$P$1090,MATCH($A78&amp;"|"&amp;"GBR",Rank_Changes!$U$2:$U$1090,0))),"–")</f>
        <v>0</v>
      </c>
      <c r="F78" s="26" t="n">
        <f aca="false">IFERROR(IF(INDEX(Rank_Changes!$P$2:$P$1090,MATCH($A78&amp;"|"&amp;"DEU",Rank_Changes!$U$2:$U$1090,0))="","–",INDEX(Rank_Changes!$P$2:$P$1090,MATCH($A78&amp;"|"&amp;"DEU",Rank_Changes!$U$2:$U$1090,0))),"–")</f>
        <v>3</v>
      </c>
      <c r="G78" s="26" t="n">
        <f aca="false">IFERROR(IF(INDEX(Rank_Changes!$P$2:$P$1090,MATCH($A78&amp;"|"&amp;"SWE",Rank_Changes!$U$2:$U$1090,0))="","–",INDEX(Rank_Changes!$P$2:$P$1090,MATCH($A78&amp;"|"&amp;"SWE",Rank_Changes!$U$2:$U$1090,0))),"–")</f>
        <v>0</v>
      </c>
      <c r="H78" s="26" t="n">
        <f aca="false">IFERROR(IF(INDEX(Rank_Changes!$P$2:$P$1090,MATCH($A78&amp;"|"&amp;"FRA",Rank_Changes!$U$2:$U$1090,0))="","–",INDEX(Rank_Changes!$P$2:$P$1090,MATCH($A78&amp;"|"&amp;"FRA",Rank_Changes!$U$2:$U$1090,0))),"–")</f>
        <v>-2</v>
      </c>
      <c r="I78" s="26" t="n">
        <f aca="false">IFERROR(IF(INDEX(Rank_Changes!$P$2:$P$1090,MATCH($A78&amp;"|"&amp;"NLD",Rank_Changes!$U$2:$U$1090,0))="","–",INDEX(Rank_Changes!$P$2:$P$1090,MATCH($A78&amp;"|"&amp;"NLD",Rank_Changes!$U$2:$U$1090,0))),"–")</f>
        <v>0</v>
      </c>
      <c r="J78" s="26" t="str">
        <f aca="false">IFERROR(IF(INDEX(Rank_Changes!$P$2:$P$1090,MATCH($A78&amp;"|"&amp;"CHE",Rank_Changes!$U$2:$U$1090,0))="","–",INDEX(Rank_Changes!$P$2:$P$1090,MATCH($A78&amp;"|"&amp;"CHE",Rank_Changes!$U$2:$U$1090,0))),"–")</f>
        <v>–</v>
      </c>
      <c r="K78" s="26" t="str">
        <f aca="false">IFERROR(IF(INDEX(Rank_Changes!$P$2:$P$1090,MATCH($A78&amp;"|"&amp;"DNK",Rank_Changes!$U$2:$U$1090,0))="","–",INDEX(Rank_Changes!$P$2:$P$1090,MATCH($A78&amp;"|"&amp;"DNK",Rank_Changes!$U$2:$U$1090,0))),"–")</f>
        <v>–</v>
      </c>
      <c r="L78" s="26" t="n">
        <f aca="false">IFERROR(IF(INDEX(Rank_Changes!$P$2:$P$1090,MATCH($A78&amp;"|"&amp;"CAN",Rank_Changes!$U$2:$U$1090,0))="","–",INDEX(Rank_Changes!$P$2:$P$1090,MATCH($A78&amp;"|"&amp;"CAN",Rank_Changes!$U$2:$U$1090,0))),"–")</f>
        <v>0</v>
      </c>
      <c r="M78" s="26" t="str">
        <f aca="false">IFERROR(IF(INDEX(Rank_Changes!$P$2:$P$1090,MATCH($A78&amp;"|"&amp;"JPN",Rank_Changes!$U$2:$U$1090,0))="","–",INDEX(Rank_Changes!$P$2:$P$1090,MATCH($A78&amp;"|"&amp;"JPN",Rank_Changes!$U$2:$U$1090,0))),"–")</f>
        <v>–</v>
      </c>
      <c r="N78" s="26" t="n">
        <f aca="false">IFERROR(IF(INDEX(Rank_Changes!$P$2:$P$1090,MATCH($A78&amp;"|"&amp;"AUS",Rank_Changes!$U$2:$U$1090,0))="","–",INDEX(Rank_Changes!$P$2:$P$1090,MATCH($A78&amp;"|"&amp;"AUS",Rank_Changes!$U$2:$U$1090,0))),"–")</f>
        <v>-2</v>
      </c>
    </row>
    <row r="79" customFormat="false" ht="15" hidden="false" customHeight="false" outlineLevel="0" collapsed="false">
      <c r="A79" s="12" t="s">
        <v>205</v>
      </c>
      <c r="B79" s="12" t="s">
        <v>40</v>
      </c>
      <c r="C79" s="12" t="s">
        <v>206</v>
      </c>
      <c r="D79" s="26" t="n">
        <f aca="false">IFERROR(IF(INDEX(Rank_Changes!$P$2:$P$1090,MATCH($A79&amp;"|"&amp;"USA",Rank_Changes!$U$2:$U$1090,0))="","–",INDEX(Rank_Changes!$P$2:$P$1090,MATCH($A79&amp;"|"&amp;"USA",Rank_Changes!$U$2:$U$1090,0))),"–")</f>
        <v>0</v>
      </c>
      <c r="E79" s="26" t="n">
        <f aca="false">IFERROR(IF(INDEX(Rank_Changes!$P$2:$P$1090,MATCH($A79&amp;"|"&amp;"GBR",Rank_Changes!$U$2:$U$1090,0))="","–",INDEX(Rank_Changes!$P$2:$P$1090,MATCH($A79&amp;"|"&amp;"GBR",Rank_Changes!$U$2:$U$1090,0))),"–")</f>
        <v>-1</v>
      </c>
      <c r="F79" s="26" t="n">
        <f aca="false">IFERROR(IF(INDEX(Rank_Changes!$P$2:$P$1090,MATCH($A79&amp;"|"&amp;"DEU",Rank_Changes!$U$2:$U$1090,0))="","–",INDEX(Rank_Changes!$P$2:$P$1090,MATCH($A79&amp;"|"&amp;"DEU",Rank_Changes!$U$2:$U$1090,0))),"–")</f>
        <v>3</v>
      </c>
      <c r="G79" s="26" t="n">
        <f aca="false">IFERROR(IF(INDEX(Rank_Changes!$P$2:$P$1090,MATCH($A79&amp;"|"&amp;"SWE",Rank_Changes!$U$2:$U$1090,0))="","–",INDEX(Rank_Changes!$P$2:$P$1090,MATCH($A79&amp;"|"&amp;"SWE",Rank_Changes!$U$2:$U$1090,0))),"–")</f>
        <v>-2</v>
      </c>
      <c r="H79" s="26" t="n">
        <f aca="false">IFERROR(IF(INDEX(Rank_Changes!$P$2:$P$1090,MATCH($A79&amp;"|"&amp;"FRA",Rank_Changes!$U$2:$U$1090,0))="","–",INDEX(Rank_Changes!$P$2:$P$1090,MATCH($A79&amp;"|"&amp;"FRA",Rank_Changes!$U$2:$U$1090,0))),"–")</f>
        <v>6</v>
      </c>
      <c r="I79" s="26" t="n">
        <f aca="false">IFERROR(IF(INDEX(Rank_Changes!$P$2:$P$1090,MATCH($A79&amp;"|"&amp;"NLD",Rank_Changes!$U$2:$U$1090,0))="","–",INDEX(Rank_Changes!$P$2:$P$1090,MATCH($A79&amp;"|"&amp;"NLD",Rank_Changes!$U$2:$U$1090,0))),"–")</f>
        <v>-2</v>
      </c>
      <c r="J79" s="26" t="n">
        <f aca="false">IFERROR(IF(INDEX(Rank_Changes!$P$2:$P$1090,MATCH($A79&amp;"|"&amp;"CHE",Rank_Changes!$U$2:$U$1090,0))="","–",INDEX(Rank_Changes!$P$2:$P$1090,MATCH($A79&amp;"|"&amp;"CHE",Rank_Changes!$U$2:$U$1090,0))),"–")</f>
        <v>-4</v>
      </c>
      <c r="K79" s="26" t="str">
        <f aca="false">IFERROR(IF(INDEX(Rank_Changes!$P$2:$P$1090,MATCH($A79&amp;"|"&amp;"DNK",Rank_Changes!$U$2:$U$1090,0))="","–",INDEX(Rank_Changes!$P$2:$P$1090,MATCH($A79&amp;"|"&amp;"DNK",Rank_Changes!$U$2:$U$1090,0))),"–")</f>
        <v>–</v>
      </c>
      <c r="L79" s="26" t="n">
        <f aca="false">IFERROR(IF(INDEX(Rank_Changes!$P$2:$P$1090,MATCH($A79&amp;"|"&amp;"CAN",Rank_Changes!$U$2:$U$1090,0))="","–",INDEX(Rank_Changes!$P$2:$P$1090,MATCH($A79&amp;"|"&amp;"CAN",Rank_Changes!$U$2:$U$1090,0))),"–")</f>
        <v>0</v>
      </c>
      <c r="M79" s="26" t="str">
        <f aca="false">IFERROR(IF(INDEX(Rank_Changes!$P$2:$P$1090,MATCH($A79&amp;"|"&amp;"JPN",Rank_Changes!$U$2:$U$1090,0))="","–",INDEX(Rank_Changes!$P$2:$P$1090,MATCH($A79&amp;"|"&amp;"JPN",Rank_Changes!$U$2:$U$1090,0))),"–")</f>
        <v>–</v>
      </c>
      <c r="N79" s="26" t="n">
        <f aca="false">IFERROR(IF(INDEX(Rank_Changes!$P$2:$P$1090,MATCH($A79&amp;"|"&amp;"AUS",Rank_Changes!$U$2:$U$1090,0))="","–",INDEX(Rank_Changes!$P$2:$P$1090,MATCH($A79&amp;"|"&amp;"AUS",Rank_Changes!$U$2:$U$1090,0))),"–")</f>
        <v>-1</v>
      </c>
    </row>
    <row r="80" customFormat="false" ht="15" hidden="false" customHeight="false" outlineLevel="0" collapsed="false">
      <c r="A80" s="12" t="s">
        <v>208</v>
      </c>
      <c r="B80" s="12" t="s">
        <v>40</v>
      </c>
      <c r="C80" s="12" t="s">
        <v>209</v>
      </c>
      <c r="D80" s="26" t="n">
        <f aca="false">IFERROR(IF(INDEX(Rank_Changes!$P$2:$P$1090,MATCH($A80&amp;"|"&amp;"USA",Rank_Changes!$U$2:$U$1090,0))="","–",INDEX(Rank_Changes!$P$2:$P$1090,MATCH($A80&amp;"|"&amp;"USA",Rank_Changes!$U$2:$U$1090,0))),"–")</f>
        <v>1</v>
      </c>
      <c r="E80" s="26" t="n">
        <f aca="false">IFERROR(IF(INDEX(Rank_Changes!$P$2:$P$1090,MATCH($A80&amp;"|"&amp;"GBR",Rank_Changes!$U$2:$U$1090,0))="","–",INDEX(Rank_Changes!$P$2:$P$1090,MATCH($A80&amp;"|"&amp;"GBR",Rank_Changes!$U$2:$U$1090,0))),"–")</f>
        <v>-4</v>
      </c>
      <c r="F80" s="26" t="n">
        <f aca="false">IFERROR(IF(INDEX(Rank_Changes!$P$2:$P$1090,MATCH($A80&amp;"|"&amp;"DEU",Rank_Changes!$U$2:$U$1090,0))="","–",INDEX(Rank_Changes!$P$2:$P$1090,MATCH($A80&amp;"|"&amp;"DEU",Rank_Changes!$U$2:$U$1090,0))),"–")</f>
        <v>-2</v>
      </c>
      <c r="G80" s="26" t="n">
        <f aca="false">IFERROR(IF(INDEX(Rank_Changes!$P$2:$P$1090,MATCH($A80&amp;"|"&amp;"SWE",Rank_Changes!$U$2:$U$1090,0))="","–",INDEX(Rank_Changes!$P$2:$P$1090,MATCH($A80&amp;"|"&amp;"SWE",Rank_Changes!$U$2:$U$1090,0))),"–")</f>
        <v>1</v>
      </c>
      <c r="H80" s="26" t="str">
        <f aca="false">IFERROR(IF(INDEX(Rank_Changes!$P$2:$P$1090,MATCH($A80&amp;"|"&amp;"FRA",Rank_Changes!$U$2:$U$1090,0))="","–",INDEX(Rank_Changes!$P$2:$P$1090,MATCH($A80&amp;"|"&amp;"FRA",Rank_Changes!$U$2:$U$1090,0))),"–")</f>
        <v>–</v>
      </c>
      <c r="I80" s="26" t="n">
        <f aca="false">IFERROR(IF(INDEX(Rank_Changes!$P$2:$P$1090,MATCH($A80&amp;"|"&amp;"NLD",Rank_Changes!$U$2:$U$1090,0))="","–",INDEX(Rank_Changes!$P$2:$P$1090,MATCH($A80&amp;"|"&amp;"NLD",Rank_Changes!$U$2:$U$1090,0))),"–")</f>
        <v>2</v>
      </c>
      <c r="J80" s="26" t="n">
        <f aca="false">IFERROR(IF(INDEX(Rank_Changes!$P$2:$P$1090,MATCH($A80&amp;"|"&amp;"CHE",Rank_Changes!$U$2:$U$1090,0))="","–",INDEX(Rank_Changes!$P$2:$P$1090,MATCH($A80&amp;"|"&amp;"CHE",Rank_Changes!$U$2:$U$1090,0))),"–")</f>
        <v>0</v>
      </c>
      <c r="K80" s="26" t="str">
        <f aca="false">IFERROR(IF(INDEX(Rank_Changes!$P$2:$P$1090,MATCH($A80&amp;"|"&amp;"DNK",Rank_Changes!$U$2:$U$1090,0))="","–",INDEX(Rank_Changes!$P$2:$P$1090,MATCH($A80&amp;"|"&amp;"DNK",Rank_Changes!$U$2:$U$1090,0))),"–")</f>
        <v>–</v>
      </c>
      <c r="L80" s="26" t="n">
        <f aca="false">IFERROR(IF(INDEX(Rank_Changes!$P$2:$P$1090,MATCH($A80&amp;"|"&amp;"CAN",Rank_Changes!$U$2:$U$1090,0))="","–",INDEX(Rank_Changes!$P$2:$P$1090,MATCH($A80&amp;"|"&amp;"CAN",Rank_Changes!$U$2:$U$1090,0))),"–")</f>
        <v>-1</v>
      </c>
      <c r="M80" s="26" t="str">
        <f aca="false">IFERROR(IF(INDEX(Rank_Changes!$P$2:$P$1090,MATCH($A80&amp;"|"&amp;"JPN",Rank_Changes!$U$2:$U$1090,0))="","–",INDEX(Rank_Changes!$P$2:$P$1090,MATCH($A80&amp;"|"&amp;"JPN",Rank_Changes!$U$2:$U$1090,0))),"–")</f>
        <v>–</v>
      </c>
      <c r="N80" s="26" t="n">
        <f aca="false">IFERROR(IF(INDEX(Rank_Changes!$P$2:$P$1090,MATCH($A80&amp;"|"&amp;"AUS",Rank_Changes!$U$2:$U$1090,0))="","–",INDEX(Rank_Changes!$P$2:$P$1090,MATCH($A80&amp;"|"&amp;"AUS",Rank_Changes!$U$2:$U$1090,0))),"–")</f>
        <v>3</v>
      </c>
    </row>
    <row r="81" customFormat="false" ht="15" hidden="false" customHeight="false" outlineLevel="0" collapsed="false">
      <c r="A81" s="12" t="s">
        <v>210</v>
      </c>
      <c r="B81" s="12" t="s">
        <v>40</v>
      </c>
      <c r="C81" s="12" t="s">
        <v>211</v>
      </c>
      <c r="D81" s="26" t="str">
        <f aca="false">IFERROR(IF(INDEX(Rank_Changes!$P$2:$P$1090,MATCH($A81&amp;"|"&amp;"USA",Rank_Changes!$U$2:$U$1090,0))="","–",INDEX(Rank_Changes!$P$2:$P$1090,MATCH($A81&amp;"|"&amp;"USA",Rank_Changes!$U$2:$U$1090,0))),"–")</f>
        <v>–</v>
      </c>
      <c r="E81" s="26" t="str">
        <f aca="false">IFERROR(IF(INDEX(Rank_Changes!$P$2:$P$1090,MATCH($A81&amp;"|"&amp;"GBR",Rank_Changes!$U$2:$U$1090,0))="","–",INDEX(Rank_Changes!$P$2:$P$1090,MATCH($A81&amp;"|"&amp;"GBR",Rank_Changes!$U$2:$U$1090,0))),"–")</f>
        <v>–</v>
      </c>
      <c r="F81" s="26" t="str">
        <f aca="false">IFERROR(IF(INDEX(Rank_Changes!$P$2:$P$1090,MATCH($A81&amp;"|"&amp;"DEU",Rank_Changes!$U$2:$U$1090,0))="","–",INDEX(Rank_Changes!$P$2:$P$1090,MATCH($A81&amp;"|"&amp;"DEU",Rank_Changes!$U$2:$U$1090,0))),"–")</f>
        <v>–</v>
      </c>
      <c r="G81" s="26" t="str">
        <f aca="false">IFERROR(IF(INDEX(Rank_Changes!$P$2:$P$1090,MATCH($A81&amp;"|"&amp;"SWE",Rank_Changes!$U$2:$U$1090,0))="","–",INDEX(Rank_Changes!$P$2:$P$1090,MATCH($A81&amp;"|"&amp;"SWE",Rank_Changes!$U$2:$U$1090,0))),"–")</f>
        <v>–</v>
      </c>
      <c r="H81" s="26" t="str">
        <f aca="false">IFERROR(IF(INDEX(Rank_Changes!$P$2:$P$1090,MATCH($A81&amp;"|"&amp;"FRA",Rank_Changes!$U$2:$U$1090,0))="","–",INDEX(Rank_Changes!$P$2:$P$1090,MATCH($A81&amp;"|"&amp;"FRA",Rank_Changes!$U$2:$U$1090,0))),"–")</f>
        <v>–</v>
      </c>
      <c r="I81" s="26" t="str">
        <f aca="false">IFERROR(IF(INDEX(Rank_Changes!$P$2:$P$1090,MATCH($A81&amp;"|"&amp;"NLD",Rank_Changes!$U$2:$U$1090,0))="","–",INDEX(Rank_Changes!$P$2:$P$1090,MATCH($A81&amp;"|"&amp;"NLD",Rank_Changes!$U$2:$U$1090,0))),"–")</f>
        <v>–</v>
      </c>
      <c r="J81" s="26" t="str">
        <f aca="false">IFERROR(IF(INDEX(Rank_Changes!$P$2:$P$1090,MATCH($A81&amp;"|"&amp;"CHE",Rank_Changes!$U$2:$U$1090,0))="","–",INDEX(Rank_Changes!$P$2:$P$1090,MATCH($A81&amp;"|"&amp;"CHE",Rank_Changes!$U$2:$U$1090,0))),"–")</f>
        <v>–</v>
      </c>
      <c r="K81" s="26" t="str">
        <f aca="false">IFERROR(IF(INDEX(Rank_Changes!$P$2:$P$1090,MATCH($A81&amp;"|"&amp;"DNK",Rank_Changes!$U$2:$U$1090,0))="","–",INDEX(Rank_Changes!$P$2:$P$1090,MATCH($A81&amp;"|"&amp;"DNK",Rank_Changes!$U$2:$U$1090,0))),"–")</f>
        <v>–</v>
      </c>
      <c r="L81" s="26" t="str">
        <f aca="false">IFERROR(IF(INDEX(Rank_Changes!$P$2:$P$1090,MATCH($A81&amp;"|"&amp;"CAN",Rank_Changes!$U$2:$U$1090,0))="","–",INDEX(Rank_Changes!$P$2:$P$1090,MATCH($A81&amp;"|"&amp;"CAN",Rank_Changes!$U$2:$U$1090,0))),"–")</f>
        <v>–</v>
      </c>
      <c r="M81" s="26" t="str">
        <f aca="false">IFERROR(IF(INDEX(Rank_Changes!$P$2:$P$1090,MATCH($A81&amp;"|"&amp;"JPN",Rank_Changes!$U$2:$U$1090,0))="","–",INDEX(Rank_Changes!$P$2:$P$1090,MATCH($A81&amp;"|"&amp;"JPN",Rank_Changes!$U$2:$U$1090,0))),"–")</f>
        <v>–</v>
      </c>
      <c r="N81" s="26" t="str">
        <f aca="false">IFERROR(IF(INDEX(Rank_Changes!$P$2:$P$1090,MATCH($A81&amp;"|"&amp;"AUS",Rank_Changes!$U$2:$U$1090,0))="","–",INDEX(Rank_Changes!$P$2:$P$1090,MATCH($A81&amp;"|"&amp;"AUS",Rank_Changes!$U$2:$U$1090,0))),"–")</f>
        <v>–</v>
      </c>
    </row>
    <row r="82" customFormat="false" ht="15" hidden="false" customHeight="false" outlineLevel="0" collapsed="false">
      <c r="A82" s="12" t="s">
        <v>213</v>
      </c>
      <c r="B82" s="12" t="s">
        <v>40</v>
      </c>
      <c r="C82" s="12" t="s">
        <v>214</v>
      </c>
      <c r="D82" s="26" t="str">
        <f aca="false">IFERROR(IF(INDEX(Rank_Changes!$P$2:$P$1090,MATCH($A82&amp;"|"&amp;"USA",Rank_Changes!$U$2:$U$1090,0))="","–",INDEX(Rank_Changes!$P$2:$P$1090,MATCH($A82&amp;"|"&amp;"USA",Rank_Changes!$U$2:$U$1090,0))),"–")</f>
        <v>–</v>
      </c>
      <c r="E82" s="26" t="str">
        <f aca="false">IFERROR(IF(INDEX(Rank_Changes!$P$2:$P$1090,MATCH($A82&amp;"|"&amp;"GBR",Rank_Changes!$U$2:$U$1090,0))="","–",INDEX(Rank_Changes!$P$2:$P$1090,MATCH($A82&amp;"|"&amp;"GBR",Rank_Changes!$U$2:$U$1090,0))),"–")</f>
        <v>–</v>
      </c>
      <c r="F82" s="26" t="str">
        <f aca="false">IFERROR(IF(INDEX(Rank_Changes!$P$2:$P$1090,MATCH($A82&amp;"|"&amp;"DEU",Rank_Changes!$U$2:$U$1090,0))="","–",INDEX(Rank_Changes!$P$2:$P$1090,MATCH($A82&amp;"|"&amp;"DEU",Rank_Changes!$U$2:$U$1090,0))),"–")</f>
        <v>–</v>
      </c>
      <c r="G82" s="26" t="str">
        <f aca="false">IFERROR(IF(INDEX(Rank_Changes!$P$2:$P$1090,MATCH($A82&amp;"|"&amp;"SWE",Rank_Changes!$U$2:$U$1090,0))="","–",INDEX(Rank_Changes!$P$2:$P$1090,MATCH($A82&amp;"|"&amp;"SWE",Rank_Changes!$U$2:$U$1090,0))),"–")</f>
        <v>–</v>
      </c>
      <c r="H82" s="26" t="str">
        <f aca="false">IFERROR(IF(INDEX(Rank_Changes!$P$2:$P$1090,MATCH($A82&amp;"|"&amp;"FRA",Rank_Changes!$U$2:$U$1090,0))="","–",INDEX(Rank_Changes!$P$2:$P$1090,MATCH($A82&amp;"|"&amp;"FRA",Rank_Changes!$U$2:$U$1090,0))),"–")</f>
        <v>–</v>
      </c>
      <c r="I82" s="26" t="str">
        <f aca="false">IFERROR(IF(INDEX(Rank_Changes!$P$2:$P$1090,MATCH($A82&amp;"|"&amp;"NLD",Rank_Changes!$U$2:$U$1090,0))="","–",INDEX(Rank_Changes!$P$2:$P$1090,MATCH($A82&amp;"|"&amp;"NLD",Rank_Changes!$U$2:$U$1090,0))),"–")</f>
        <v>–</v>
      </c>
      <c r="J82" s="26" t="str">
        <f aca="false">IFERROR(IF(INDEX(Rank_Changes!$P$2:$P$1090,MATCH($A82&amp;"|"&amp;"CHE",Rank_Changes!$U$2:$U$1090,0))="","–",INDEX(Rank_Changes!$P$2:$P$1090,MATCH($A82&amp;"|"&amp;"CHE",Rank_Changes!$U$2:$U$1090,0))),"–")</f>
        <v>–</v>
      </c>
      <c r="K82" s="26" t="str">
        <f aca="false">IFERROR(IF(INDEX(Rank_Changes!$P$2:$P$1090,MATCH($A82&amp;"|"&amp;"DNK",Rank_Changes!$U$2:$U$1090,0))="","–",INDEX(Rank_Changes!$P$2:$P$1090,MATCH($A82&amp;"|"&amp;"DNK",Rank_Changes!$U$2:$U$1090,0))),"–")</f>
        <v>–</v>
      </c>
      <c r="L82" s="26" t="str">
        <f aca="false">IFERROR(IF(INDEX(Rank_Changes!$P$2:$P$1090,MATCH($A82&amp;"|"&amp;"CAN",Rank_Changes!$U$2:$U$1090,0))="","–",INDEX(Rank_Changes!$P$2:$P$1090,MATCH($A82&amp;"|"&amp;"CAN",Rank_Changes!$U$2:$U$1090,0))),"–")</f>
        <v>–</v>
      </c>
      <c r="M82" s="26" t="str">
        <f aca="false">IFERROR(IF(INDEX(Rank_Changes!$P$2:$P$1090,MATCH($A82&amp;"|"&amp;"JPN",Rank_Changes!$U$2:$U$1090,0))="","–",INDEX(Rank_Changes!$P$2:$P$1090,MATCH($A82&amp;"|"&amp;"JPN",Rank_Changes!$U$2:$U$1090,0))),"–")</f>
        <v>–</v>
      </c>
      <c r="N82" s="26" t="str">
        <f aca="false">IFERROR(IF(INDEX(Rank_Changes!$P$2:$P$1090,MATCH($A82&amp;"|"&amp;"AUS",Rank_Changes!$U$2:$U$1090,0))="","–",INDEX(Rank_Changes!$P$2:$P$1090,MATCH($A82&amp;"|"&amp;"AUS",Rank_Changes!$U$2:$U$1090,0))),"–")</f>
        <v>–</v>
      </c>
    </row>
    <row r="83" customFormat="false" ht="15" hidden="false" customHeight="false" outlineLevel="0" collapsed="false">
      <c r="A83" s="12" t="s">
        <v>216</v>
      </c>
      <c r="B83" s="12" t="s">
        <v>40</v>
      </c>
      <c r="C83" s="12" t="s">
        <v>217</v>
      </c>
      <c r="D83" s="26" t="str">
        <f aca="false">IFERROR(IF(INDEX(Rank_Changes!$P$2:$P$1090,MATCH($A83&amp;"|"&amp;"USA",Rank_Changes!$U$2:$U$1090,0))="","–",INDEX(Rank_Changes!$P$2:$P$1090,MATCH($A83&amp;"|"&amp;"USA",Rank_Changes!$U$2:$U$1090,0))),"–")</f>
        <v>–</v>
      </c>
      <c r="E83" s="26" t="str">
        <f aca="false">IFERROR(IF(INDEX(Rank_Changes!$P$2:$P$1090,MATCH($A83&amp;"|"&amp;"GBR",Rank_Changes!$U$2:$U$1090,0))="","–",INDEX(Rank_Changes!$P$2:$P$1090,MATCH($A83&amp;"|"&amp;"GBR",Rank_Changes!$U$2:$U$1090,0))),"–")</f>
        <v>–</v>
      </c>
      <c r="F83" s="26" t="str">
        <f aca="false">IFERROR(IF(INDEX(Rank_Changes!$P$2:$P$1090,MATCH($A83&amp;"|"&amp;"DEU",Rank_Changes!$U$2:$U$1090,0))="","–",INDEX(Rank_Changes!$P$2:$P$1090,MATCH($A83&amp;"|"&amp;"DEU",Rank_Changes!$U$2:$U$1090,0))),"–")</f>
        <v>–</v>
      </c>
      <c r="G83" s="26" t="str">
        <f aca="false">IFERROR(IF(INDEX(Rank_Changes!$P$2:$P$1090,MATCH($A83&amp;"|"&amp;"SWE",Rank_Changes!$U$2:$U$1090,0))="","–",INDEX(Rank_Changes!$P$2:$P$1090,MATCH($A83&amp;"|"&amp;"SWE",Rank_Changes!$U$2:$U$1090,0))),"–")</f>
        <v>–</v>
      </c>
      <c r="H83" s="26" t="str">
        <f aca="false">IFERROR(IF(INDEX(Rank_Changes!$P$2:$P$1090,MATCH($A83&amp;"|"&amp;"FRA",Rank_Changes!$U$2:$U$1090,0))="","–",INDEX(Rank_Changes!$P$2:$P$1090,MATCH($A83&amp;"|"&amp;"FRA",Rank_Changes!$U$2:$U$1090,0))),"–")</f>
        <v>–</v>
      </c>
      <c r="I83" s="26" t="str">
        <f aca="false">IFERROR(IF(INDEX(Rank_Changes!$P$2:$P$1090,MATCH($A83&amp;"|"&amp;"NLD",Rank_Changes!$U$2:$U$1090,0))="","–",INDEX(Rank_Changes!$P$2:$P$1090,MATCH($A83&amp;"|"&amp;"NLD",Rank_Changes!$U$2:$U$1090,0))),"–")</f>
        <v>–</v>
      </c>
      <c r="J83" s="26" t="str">
        <f aca="false">IFERROR(IF(INDEX(Rank_Changes!$P$2:$P$1090,MATCH($A83&amp;"|"&amp;"CHE",Rank_Changes!$U$2:$U$1090,0))="","–",INDEX(Rank_Changes!$P$2:$P$1090,MATCH($A83&amp;"|"&amp;"CHE",Rank_Changes!$U$2:$U$1090,0))),"–")</f>
        <v>–</v>
      </c>
      <c r="K83" s="26" t="str">
        <f aca="false">IFERROR(IF(INDEX(Rank_Changes!$P$2:$P$1090,MATCH($A83&amp;"|"&amp;"DNK",Rank_Changes!$U$2:$U$1090,0))="","–",INDEX(Rank_Changes!$P$2:$P$1090,MATCH($A83&amp;"|"&amp;"DNK",Rank_Changes!$U$2:$U$1090,0))),"–")</f>
        <v>–</v>
      </c>
      <c r="L83" s="26" t="str">
        <f aca="false">IFERROR(IF(INDEX(Rank_Changes!$P$2:$P$1090,MATCH($A83&amp;"|"&amp;"CAN",Rank_Changes!$U$2:$U$1090,0))="","–",INDEX(Rank_Changes!$P$2:$P$1090,MATCH($A83&amp;"|"&amp;"CAN",Rank_Changes!$U$2:$U$1090,0))),"–")</f>
        <v>–</v>
      </c>
      <c r="M83" s="26" t="str">
        <f aca="false">IFERROR(IF(INDEX(Rank_Changes!$P$2:$P$1090,MATCH($A83&amp;"|"&amp;"JPN",Rank_Changes!$U$2:$U$1090,0))="","–",INDEX(Rank_Changes!$P$2:$P$1090,MATCH($A83&amp;"|"&amp;"JPN",Rank_Changes!$U$2:$U$1090,0))),"–")</f>
        <v>–</v>
      </c>
      <c r="N83" s="26" t="str">
        <f aca="false">IFERROR(IF(INDEX(Rank_Changes!$P$2:$P$1090,MATCH($A83&amp;"|"&amp;"AUS",Rank_Changes!$U$2:$U$1090,0))="","–",INDEX(Rank_Changes!$P$2:$P$1090,MATCH($A83&amp;"|"&amp;"AUS",Rank_Changes!$U$2:$U$1090,0))),"–")</f>
        <v>–</v>
      </c>
    </row>
    <row r="84" customFormat="false" ht="15" hidden="false" customHeight="false" outlineLevel="0" collapsed="false">
      <c r="A84" s="12" t="s">
        <v>218</v>
      </c>
      <c r="B84" s="12" t="s">
        <v>40</v>
      </c>
      <c r="C84" s="12" t="s">
        <v>219</v>
      </c>
      <c r="D84" s="26" t="n">
        <f aca="false">IFERROR(IF(INDEX(Rank_Changes!$P$2:$P$1090,MATCH($A84&amp;"|"&amp;"USA",Rank_Changes!$U$2:$U$1090,0))="","–",INDEX(Rank_Changes!$P$2:$P$1090,MATCH($A84&amp;"|"&amp;"USA",Rank_Changes!$U$2:$U$1090,0))),"–")</f>
        <v>6</v>
      </c>
      <c r="E84" s="26" t="n">
        <f aca="false">IFERROR(IF(INDEX(Rank_Changes!$P$2:$P$1090,MATCH($A84&amp;"|"&amp;"GBR",Rank_Changes!$U$2:$U$1090,0))="","–",INDEX(Rank_Changes!$P$2:$P$1090,MATCH($A84&amp;"|"&amp;"GBR",Rank_Changes!$U$2:$U$1090,0))),"–")</f>
        <v>-4</v>
      </c>
      <c r="F84" s="26" t="n">
        <f aca="false">IFERROR(IF(INDEX(Rank_Changes!$P$2:$P$1090,MATCH($A84&amp;"|"&amp;"DEU",Rank_Changes!$U$2:$U$1090,0))="","–",INDEX(Rank_Changes!$P$2:$P$1090,MATCH($A84&amp;"|"&amp;"DEU",Rank_Changes!$U$2:$U$1090,0))),"–")</f>
        <v>-4</v>
      </c>
      <c r="G84" s="26" t="n">
        <f aca="false">IFERROR(IF(INDEX(Rank_Changes!$P$2:$P$1090,MATCH($A84&amp;"|"&amp;"SWE",Rank_Changes!$U$2:$U$1090,0))="","–",INDEX(Rank_Changes!$P$2:$P$1090,MATCH($A84&amp;"|"&amp;"SWE",Rank_Changes!$U$2:$U$1090,0))),"–")</f>
        <v>-4</v>
      </c>
      <c r="H84" s="26" t="n">
        <f aca="false">IFERROR(IF(INDEX(Rank_Changes!$P$2:$P$1090,MATCH($A84&amp;"|"&amp;"FRA",Rank_Changes!$U$2:$U$1090,0))="","–",INDEX(Rank_Changes!$P$2:$P$1090,MATCH($A84&amp;"|"&amp;"FRA",Rank_Changes!$U$2:$U$1090,0))),"–")</f>
        <v>5</v>
      </c>
      <c r="I84" s="26" t="n">
        <f aca="false">IFERROR(IF(INDEX(Rank_Changes!$P$2:$P$1090,MATCH($A84&amp;"|"&amp;"NLD",Rank_Changes!$U$2:$U$1090,0))="","–",INDEX(Rank_Changes!$P$2:$P$1090,MATCH($A84&amp;"|"&amp;"NLD",Rank_Changes!$U$2:$U$1090,0))),"–")</f>
        <v>-6</v>
      </c>
      <c r="J84" s="26" t="n">
        <f aca="false">IFERROR(IF(INDEX(Rank_Changes!$P$2:$P$1090,MATCH($A84&amp;"|"&amp;"CHE",Rank_Changes!$U$2:$U$1090,0))="","–",INDEX(Rank_Changes!$P$2:$P$1090,MATCH($A84&amp;"|"&amp;"CHE",Rank_Changes!$U$2:$U$1090,0))),"–")</f>
        <v>0</v>
      </c>
      <c r="K84" s="26" t="n">
        <f aca="false">IFERROR(IF(INDEX(Rank_Changes!$P$2:$P$1090,MATCH($A84&amp;"|"&amp;"DNK",Rank_Changes!$U$2:$U$1090,0))="","–",INDEX(Rank_Changes!$P$2:$P$1090,MATCH($A84&amp;"|"&amp;"DNK",Rank_Changes!$U$2:$U$1090,0))),"–")</f>
        <v>6</v>
      </c>
      <c r="L84" s="26" t="n">
        <f aca="false">IFERROR(IF(INDEX(Rank_Changes!$P$2:$P$1090,MATCH($A84&amp;"|"&amp;"CAN",Rank_Changes!$U$2:$U$1090,0))="","–",INDEX(Rank_Changes!$P$2:$P$1090,MATCH($A84&amp;"|"&amp;"CAN",Rank_Changes!$U$2:$U$1090,0))),"–")</f>
        <v>0</v>
      </c>
      <c r="M84" s="26" t="n">
        <f aca="false">IFERROR(IF(INDEX(Rank_Changes!$P$2:$P$1090,MATCH($A84&amp;"|"&amp;"JPN",Rank_Changes!$U$2:$U$1090,0))="","–",INDEX(Rank_Changes!$P$2:$P$1090,MATCH($A84&amp;"|"&amp;"JPN",Rank_Changes!$U$2:$U$1090,0))),"–")</f>
        <v>0</v>
      </c>
      <c r="N84" s="26" t="n">
        <f aca="false">IFERROR(IF(INDEX(Rank_Changes!$P$2:$P$1090,MATCH($A84&amp;"|"&amp;"AUS",Rank_Changes!$U$2:$U$1090,0))="","–",INDEX(Rank_Changes!$P$2:$P$1090,MATCH($A84&amp;"|"&amp;"AUS",Rank_Changes!$U$2:$U$1090,0))),"–")</f>
        <v>-3</v>
      </c>
    </row>
    <row r="85" customFormat="false" ht="15" hidden="false" customHeight="false" outlineLevel="0" collapsed="false">
      <c r="A85" s="12" t="s">
        <v>221</v>
      </c>
      <c r="B85" s="12" t="s">
        <v>40</v>
      </c>
      <c r="C85" s="12" t="s">
        <v>222</v>
      </c>
      <c r="D85" s="26" t="n">
        <f aca="false">IFERROR(IF(INDEX(Rank_Changes!$P$2:$P$1090,MATCH($A85&amp;"|"&amp;"USA",Rank_Changes!$U$2:$U$1090,0))="","–",INDEX(Rank_Changes!$P$2:$P$1090,MATCH($A85&amp;"|"&amp;"USA",Rank_Changes!$U$2:$U$1090,0))),"–")</f>
        <v>-1</v>
      </c>
      <c r="E85" s="26" t="n">
        <f aca="false">IFERROR(IF(INDEX(Rank_Changes!$P$2:$P$1090,MATCH($A85&amp;"|"&amp;"GBR",Rank_Changes!$U$2:$U$1090,0))="","–",INDEX(Rank_Changes!$P$2:$P$1090,MATCH($A85&amp;"|"&amp;"GBR",Rank_Changes!$U$2:$U$1090,0))),"–")</f>
        <v>-1</v>
      </c>
      <c r="F85" s="26" t="n">
        <f aca="false">IFERROR(IF(INDEX(Rank_Changes!$P$2:$P$1090,MATCH($A85&amp;"|"&amp;"DEU",Rank_Changes!$U$2:$U$1090,0))="","–",INDEX(Rank_Changes!$P$2:$P$1090,MATCH($A85&amp;"|"&amp;"DEU",Rank_Changes!$U$2:$U$1090,0))),"–")</f>
        <v>0</v>
      </c>
      <c r="G85" s="26" t="n">
        <f aca="false">IFERROR(IF(INDEX(Rank_Changes!$P$2:$P$1090,MATCH($A85&amp;"|"&amp;"SWE",Rank_Changes!$U$2:$U$1090,0))="","–",INDEX(Rank_Changes!$P$2:$P$1090,MATCH($A85&amp;"|"&amp;"SWE",Rank_Changes!$U$2:$U$1090,0))),"–")</f>
        <v>3</v>
      </c>
      <c r="H85" s="26" t="n">
        <f aca="false">IFERROR(IF(INDEX(Rank_Changes!$P$2:$P$1090,MATCH($A85&amp;"|"&amp;"FRA",Rank_Changes!$U$2:$U$1090,0))="","–",INDEX(Rank_Changes!$P$2:$P$1090,MATCH($A85&amp;"|"&amp;"FRA",Rank_Changes!$U$2:$U$1090,0))),"–")</f>
        <v>-1</v>
      </c>
      <c r="I85" s="26" t="n">
        <f aca="false">IFERROR(IF(INDEX(Rank_Changes!$P$2:$P$1090,MATCH($A85&amp;"|"&amp;"NLD",Rank_Changes!$U$2:$U$1090,0))="","–",INDEX(Rank_Changes!$P$2:$P$1090,MATCH($A85&amp;"|"&amp;"NLD",Rank_Changes!$U$2:$U$1090,0))),"–")</f>
        <v>-3</v>
      </c>
      <c r="J85" s="26" t="n">
        <f aca="false">IFERROR(IF(INDEX(Rank_Changes!$P$2:$P$1090,MATCH($A85&amp;"|"&amp;"CHE",Rank_Changes!$U$2:$U$1090,0))="","–",INDEX(Rank_Changes!$P$2:$P$1090,MATCH($A85&amp;"|"&amp;"CHE",Rank_Changes!$U$2:$U$1090,0))),"–")</f>
        <v>1</v>
      </c>
      <c r="K85" s="26" t="n">
        <f aca="false">IFERROR(IF(INDEX(Rank_Changes!$P$2:$P$1090,MATCH($A85&amp;"|"&amp;"DNK",Rank_Changes!$U$2:$U$1090,0))="","–",INDEX(Rank_Changes!$P$2:$P$1090,MATCH($A85&amp;"|"&amp;"DNK",Rank_Changes!$U$2:$U$1090,0))),"–")</f>
        <v>0</v>
      </c>
      <c r="L85" s="26" t="n">
        <f aca="false">IFERROR(IF(INDEX(Rank_Changes!$P$2:$P$1090,MATCH($A85&amp;"|"&amp;"CAN",Rank_Changes!$U$2:$U$1090,0))="","–",INDEX(Rank_Changes!$P$2:$P$1090,MATCH($A85&amp;"|"&amp;"CAN",Rank_Changes!$U$2:$U$1090,0))),"–")</f>
        <v>2</v>
      </c>
      <c r="M85" s="26" t="n">
        <f aca="false">IFERROR(IF(INDEX(Rank_Changes!$P$2:$P$1090,MATCH($A85&amp;"|"&amp;"JPN",Rank_Changes!$U$2:$U$1090,0))="","–",INDEX(Rank_Changes!$P$2:$P$1090,MATCH($A85&amp;"|"&amp;"JPN",Rank_Changes!$U$2:$U$1090,0))),"–")</f>
        <v>0</v>
      </c>
      <c r="N85" s="26" t="n">
        <f aca="false">IFERROR(IF(INDEX(Rank_Changes!$P$2:$P$1090,MATCH($A85&amp;"|"&amp;"AUS",Rank_Changes!$U$2:$U$1090,0))="","–",INDEX(Rank_Changes!$P$2:$P$1090,MATCH($A85&amp;"|"&amp;"AUS",Rank_Changes!$U$2:$U$1090,0))),"–")</f>
        <v>0</v>
      </c>
    </row>
    <row r="86" customFormat="false" ht="15" hidden="false" customHeight="false" outlineLevel="0" collapsed="false">
      <c r="A86" s="12" t="s">
        <v>223</v>
      </c>
      <c r="B86" s="12" t="s">
        <v>40</v>
      </c>
      <c r="C86" s="12" t="s">
        <v>224</v>
      </c>
      <c r="D86" s="26" t="n">
        <f aca="false">IFERROR(IF(INDEX(Rank_Changes!$P$2:$P$1090,MATCH($A86&amp;"|"&amp;"USA",Rank_Changes!$U$2:$U$1090,0))="","–",INDEX(Rank_Changes!$P$2:$P$1090,MATCH($A86&amp;"|"&amp;"USA",Rank_Changes!$U$2:$U$1090,0))),"–")</f>
        <v>1</v>
      </c>
      <c r="E86" s="26" t="n">
        <f aca="false">IFERROR(IF(INDEX(Rank_Changes!$P$2:$P$1090,MATCH($A86&amp;"|"&amp;"GBR",Rank_Changes!$U$2:$U$1090,0))="","–",INDEX(Rank_Changes!$P$2:$P$1090,MATCH($A86&amp;"|"&amp;"GBR",Rank_Changes!$U$2:$U$1090,0))),"–")</f>
        <v>3</v>
      </c>
      <c r="F86" s="26" t="n">
        <f aca="false">IFERROR(IF(INDEX(Rank_Changes!$P$2:$P$1090,MATCH($A86&amp;"|"&amp;"DEU",Rank_Changes!$U$2:$U$1090,0))="","–",INDEX(Rank_Changes!$P$2:$P$1090,MATCH($A86&amp;"|"&amp;"DEU",Rank_Changes!$U$2:$U$1090,0))),"–")</f>
        <v>2</v>
      </c>
      <c r="G86" s="26" t="n">
        <f aca="false">IFERROR(IF(INDEX(Rank_Changes!$P$2:$P$1090,MATCH($A86&amp;"|"&amp;"SWE",Rank_Changes!$U$2:$U$1090,0))="","–",INDEX(Rank_Changes!$P$2:$P$1090,MATCH($A86&amp;"|"&amp;"SWE",Rank_Changes!$U$2:$U$1090,0))),"–")</f>
        <v>-4</v>
      </c>
      <c r="H86" s="26" t="n">
        <f aca="false">IFERROR(IF(INDEX(Rank_Changes!$P$2:$P$1090,MATCH($A86&amp;"|"&amp;"FRA",Rank_Changes!$U$2:$U$1090,0))="","–",INDEX(Rank_Changes!$P$2:$P$1090,MATCH($A86&amp;"|"&amp;"FRA",Rank_Changes!$U$2:$U$1090,0))),"–")</f>
        <v>1</v>
      </c>
      <c r="I86" s="26" t="str">
        <f aca="false">IFERROR(IF(INDEX(Rank_Changes!$P$2:$P$1090,MATCH($A86&amp;"|"&amp;"NLD",Rank_Changes!$U$2:$U$1090,0))="","–",INDEX(Rank_Changes!$P$2:$P$1090,MATCH($A86&amp;"|"&amp;"NLD",Rank_Changes!$U$2:$U$1090,0))),"–")</f>
        <v>–</v>
      </c>
      <c r="J86" s="26" t="n">
        <f aca="false">IFERROR(IF(INDEX(Rank_Changes!$P$2:$P$1090,MATCH($A86&amp;"|"&amp;"CHE",Rank_Changes!$U$2:$U$1090,0))="","–",INDEX(Rank_Changes!$P$2:$P$1090,MATCH($A86&amp;"|"&amp;"CHE",Rank_Changes!$U$2:$U$1090,0))),"–")</f>
        <v>4</v>
      </c>
      <c r="K86" s="26" t="str">
        <f aca="false">IFERROR(IF(INDEX(Rank_Changes!$P$2:$P$1090,MATCH($A86&amp;"|"&amp;"DNK",Rank_Changes!$U$2:$U$1090,0))="","–",INDEX(Rank_Changes!$P$2:$P$1090,MATCH($A86&amp;"|"&amp;"DNK",Rank_Changes!$U$2:$U$1090,0))),"–")</f>
        <v>–</v>
      </c>
      <c r="L86" s="26" t="n">
        <f aca="false">IFERROR(IF(INDEX(Rank_Changes!$P$2:$P$1090,MATCH($A86&amp;"|"&amp;"CAN",Rank_Changes!$U$2:$U$1090,0))="","–",INDEX(Rank_Changes!$P$2:$P$1090,MATCH($A86&amp;"|"&amp;"CAN",Rank_Changes!$U$2:$U$1090,0))),"–")</f>
        <v>-2</v>
      </c>
      <c r="M86" s="26" t="str">
        <f aca="false">IFERROR(IF(INDEX(Rank_Changes!$P$2:$P$1090,MATCH($A86&amp;"|"&amp;"JPN",Rank_Changes!$U$2:$U$1090,0))="","–",INDEX(Rank_Changes!$P$2:$P$1090,MATCH($A86&amp;"|"&amp;"JPN",Rank_Changes!$U$2:$U$1090,0))),"–")</f>
        <v>–</v>
      </c>
      <c r="N86" s="26" t="n">
        <f aca="false">IFERROR(IF(INDEX(Rank_Changes!$P$2:$P$1090,MATCH($A86&amp;"|"&amp;"AUS",Rank_Changes!$U$2:$U$1090,0))="","–",INDEX(Rank_Changes!$P$2:$P$1090,MATCH($A86&amp;"|"&amp;"AUS",Rank_Changes!$U$2:$U$1090,0))),"–")</f>
        <v>-5</v>
      </c>
    </row>
    <row r="87" customFormat="false" ht="15" hidden="false" customHeight="false" outlineLevel="0" collapsed="false">
      <c r="A87" s="12" t="s">
        <v>226</v>
      </c>
      <c r="B87" s="12" t="s">
        <v>40</v>
      </c>
      <c r="C87" s="12" t="s">
        <v>227</v>
      </c>
      <c r="D87" s="26" t="n">
        <f aca="false">IFERROR(IF(INDEX(Rank_Changes!$P$2:$P$1090,MATCH($A87&amp;"|"&amp;"USA",Rank_Changes!$U$2:$U$1090,0))="","–",INDEX(Rank_Changes!$P$2:$P$1090,MATCH($A87&amp;"|"&amp;"USA",Rank_Changes!$U$2:$U$1090,0))),"–")</f>
        <v>2</v>
      </c>
      <c r="E87" s="26" t="n">
        <f aca="false">IFERROR(IF(INDEX(Rank_Changes!$P$2:$P$1090,MATCH($A87&amp;"|"&amp;"GBR",Rank_Changes!$U$2:$U$1090,0))="","–",INDEX(Rank_Changes!$P$2:$P$1090,MATCH($A87&amp;"|"&amp;"GBR",Rank_Changes!$U$2:$U$1090,0))),"–")</f>
        <v>2</v>
      </c>
      <c r="F87" s="26" t="n">
        <f aca="false">IFERROR(IF(INDEX(Rank_Changes!$P$2:$P$1090,MATCH($A87&amp;"|"&amp;"DEU",Rank_Changes!$U$2:$U$1090,0))="","–",INDEX(Rank_Changes!$P$2:$P$1090,MATCH($A87&amp;"|"&amp;"DEU",Rank_Changes!$U$2:$U$1090,0))),"–")</f>
        <v>0</v>
      </c>
      <c r="G87" s="26" t="n">
        <f aca="false">IFERROR(IF(INDEX(Rank_Changes!$P$2:$P$1090,MATCH($A87&amp;"|"&amp;"SWE",Rank_Changes!$U$2:$U$1090,0))="","–",INDEX(Rank_Changes!$P$2:$P$1090,MATCH($A87&amp;"|"&amp;"SWE",Rank_Changes!$U$2:$U$1090,0))),"–")</f>
        <v>-5</v>
      </c>
      <c r="H87" s="26" t="n">
        <f aca="false">IFERROR(IF(INDEX(Rank_Changes!$P$2:$P$1090,MATCH($A87&amp;"|"&amp;"FRA",Rank_Changes!$U$2:$U$1090,0))="","–",INDEX(Rank_Changes!$P$2:$P$1090,MATCH($A87&amp;"|"&amp;"FRA",Rank_Changes!$U$2:$U$1090,0))),"–")</f>
        <v>1</v>
      </c>
      <c r="I87" s="26" t="str">
        <f aca="false">IFERROR(IF(INDEX(Rank_Changes!$P$2:$P$1090,MATCH($A87&amp;"|"&amp;"NLD",Rank_Changes!$U$2:$U$1090,0))="","–",INDEX(Rank_Changes!$P$2:$P$1090,MATCH($A87&amp;"|"&amp;"NLD",Rank_Changes!$U$2:$U$1090,0))),"–")</f>
        <v>–</v>
      </c>
      <c r="J87" s="26" t="n">
        <f aca="false">IFERROR(IF(INDEX(Rank_Changes!$P$2:$P$1090,MATCH($A87&amp;"|"&amp;"CHE",Rank_Changes!$U$2:$U$1090,0))="","–",INDEX(Rank_Changes!$P$2:$P$1090,MATCH($A87&amp;"|"&amp;"CHE",Rank_Changes!$U$2:$U$1090,0))),"–")</f>
        <v>0</v>
      </c>
      <c r="K87" s="26" t="str">
        <f aca="false">IFERROR(IF(INDEX(Rank_Changes!$P$2:$P$1090,MATCH($A87&amp;"|"&amp;"DNK",Rank_Changes!$U$2:$U$1090,0))="","–",INDEX(Rank_Changes!$P$2:$P$1090,MATCH($A87&amp;"|"&amp;"DNK",Rank_Changes!$U$2:$U$1090,0))),"–")</f>
        <v>–</v>
      </c>
      <c r="L87" s="26" t="n">
        <f aca="false">IFERROR(IF(INDEX(Rank_Changes!$P$2:$P$1090,MATCH($A87&amp;"|"&amp;"CAN",Rank_Changes!$U$2:$U$1090,0))="","–",INDEX(Rank_Changes!$P$2:$P$1090,MATCH($A87&amp;"|"&amp;"CAN",Rank_Changes!$U$2:$U$1090,0))),"–")</f>
        <v>0</v>
      </c>
      <c r="M87" s="26" t="str">
        <f aca="false">IFERROR(IF(INDEX(Rank_Changes!$P$2:$P$1090,MATCH($A87&amp;"|"&amp;"JPN",Rank_Changes!$U$2:$U$1090,0))="","–",INDEX(Rank_Changes!$P$2:$P$1090,MATCH($A87&amp;"|"&amp;"JPN",Rank_Changes!$U$2:$U$1090,0))),"–")</f>
        <v>–</v>
      </c>
      <c r="N87" s="26" t="n">
        <f aca="false">IFERROR(IF(INDEX(Rank_Changes!$P$2:$P$1090,MATCH($A87&amp;"|"&amp;"AUS",Rank_Changes!$U$2:$U$1090,0))="","–",INDEX(Rank_Changes!$P$2:$P$1090,MATCH($A87&amp;"|"&amp;"AUS",Rank_Changes!$U$2:$U$1090,0))),"–")</f>
        <v>0</v>
      </c>
    </row>
    <row r="88" customFormat="false" ht="15" hidden="false" customHeight="false" outlineLevel="0" collapsed="false">
      <c r="A88" s="12" t="s">
        <v>228</v>
      </c>
      <c r="B88" s="12" t="s">
        <v>40</v>
      </c>
      <c r="C88" s="12" t="s">
        <v>229</v>
      </c>
      <c r="D88" s="26" t="str">
        <f aca="false">IFERROR(IF(INDEX(Rank_Changes!$P$2:$P$1090,MATCH($A88&amp;"|"&amp;"USA",Rank_Changes!$U$2:$U$1090,0))="","–",INDEX(Rank_Changes!$P$2:$P$1090,MATCH($A88&amp;"|"&amp;"USA",Rank_Changes!$U$2:$U$1090,0))),"–")</f>
        <v>–</v>
      </c>
      <c r="E88" s="26" t="str">
        <f aca="false">IFERROR(IF(INDEX(Rank_Changes!$P$2:$P$1090,MATCH($A88&amp;"|"&amp;"GBR",Rank_Changes!$U$2:$U$1090,0))="","–",INDEX(Rank_Changes!$P$2:$P$1090,MATCH($A88&amp;"|"&amp;"GBR",Rank_Changes!$U$2:$U$1090,0))),"–")</f>
        <v>–</v>
      </c>
      <c r="F88" s="26" t="str">
        <f aca="false">IFERROR(IF(INDEX(Rank_Changes!$P$2:$P$1090,MATCH($A88&amp;"|"&amp;"DEU",Rank_Changes!$U$2:$U$1090,0))="","–",INDEX(Rank_Changes!$P$2:$P$1090,MATCH($A88&amp;"|"&amp;"DEU",Rank_Changes!$U$2:$U$1090,0))),"–")</f>
        <v>–</v>
      </c>
      <c r="G88" s="26" t="str">
        <f aca="false">IFERROR(IF(INDEX(Rank_Changes!$P$2:$P$1090,MATCH($A88&amp;"|"&amp;"SWE",Rank_Changes!$U$2:$U$1090,0))="","–",INDEX(Rank_Changes!$P$2:$P$1090,MATCH($A88&amp;"|"&amp;"SWE",Rank_Changes!$U$2:$U$1090,0))),"–")</f>
        <v>–</v>
      </c>
      <c r="H88" s="26" t="str">
        <f aca="false">IFERROR(IF(INDEX(Rank_Changes!$P$2:$P$1090,MATCH($A88&amp;"|"&amp;"FRA",Rank_Changes!$U$2:$U$1090,0))="","–",INDEX(Rank_Changes!$P$2:$P$1090,MATCH($A88&amp;"|"&amp;"FRA",Rank_Changes!$U$2:$U$1090,0))),"–")</f>
        <v>–</v>
      </c>
      <c r="I88" s="26" t="str">
        <f aca="false">IFERROR(IF(INDEX(Rank_Changes!$P$2:$P$1090,MATCH($A88&amp;"|"&amp;"NLD",Rank_Changes!$U$2:$U$1090,0))="","–",INDEX(Rank_Changes!$P$2:$P$1090,MATCH($A88&amp;"|"&amp;"NLD",Rank_Changes!$U$2:$U$1090,0))),"–")</f>
        <v>–</v>
      </c>
      <c r="J88" s="26" t="str">
        <f aca="false">IFERROR(IF(INDEX(Rank_Changes!$P$2:$P$1090,MATCH($A88&amp;"|"&amp;"CHE",Rank_Changes!$U$2:$U$1090,0))="","–",INDEX(Rank_Changes!$P$2:$P$1090,MATCH($A88&amp;"|"&amp;"CHE",Rank_Changes!$U$2:$U$1090,0))),"–")</f>
        <v>–</v>
      </c>
      <c r="K88" s="26" t="str">
        <f aca="false">IFERROR(IF(INDEX(Rank_Changes!$P$2:$P$1090,MATCH($A88&amp;"|"&amp;"DNK",Rank_Changes!$U$2:$U$1090,0))="","–",INDEX(Rank_Changes!$P$2:$P$1090,MATCH($A88&amp;"|"&amp;"DNK",Rank_Changes!$U$2:$U$1090,0))),"–")</f>
        <v>–</v>
      </c>
      <c r="L88" s="26" t="str">
        <f aca="false">IFERROR(IF(INDEX(Rank_Changes!$P$2:$P$1090,MATCH($A88&amp;"|"&amp;"CAN",Rank_Changes!$U$2:$U$1090,0))="","–",INDEX(Rank_Changes!$P$2:$P$1090,MATCH($A88&amp;"|"&amp;"CAN",Rank_Changes!$U$2:$U$1090,0))),"–")</f>
        <v>–</v>
      </c>
      <c r="M88" s="26" t="str">
        <f aca="false">IFERROR(IF(INDEX(Rank_Changes!$P$2:$P$1090,MATCH($A88&amp;"|"&amp;"JPN",Rank_Changes!$U$2:$U$1090,0))="","–",INDEX(Rank_Changes!$P$2:$P$1090,MATCH($A88&amp;"|"&amp;"JPN",Rank_Changes!$U$2:$U$1090,0))),"–")</f>
        <v>–</v>
      </c>
      <c r="N88" s="26" t="str">
        <f aca="false">IFERROR(IF(INDEX(Rank_Changes!$P$2:$P$1090,MATCH($A88&amp;"|"&amp;"AUS",Rank_Changes!$U$2:$U$1090,0))="","–",INDEX(Rank_Changes!$P$2:$P$1090,MATCH($A88&amp;"|"&amp;"AUS",Rank_Changes!$U$2:$U$1090,0))),"–")</f>
        <v>–</v>
      </c>
    </row>
    <row r="89" customFormat="false" ht="15" hidden="false" customHeight="false" outlineLevel="0" collapsed="false">
      <c r="A89" s="12" t="s">
        <v>230</v>
      </c>
      <c r="B89" s="12" t="s">
        <v>40</v>
      </c>
      <c r="C89" s="12" t="s">
        <v>231</v>
      </c>
      <c r="D89" s="26" t="n">
        <f aca="false">IFERROR(IF(INDEX(Rank_Changes!$P$2:$P$1090,MATCH($A89&amp;"|"&amp;"USA",Rank_Changes!$U$2:$U$1090,0))="","–",INDEX(Rank_Changes!$P$2:$P$1090,MATCH($A89&amp;"|"&amp;"USA",Rank_Changes!$U$2:$U$1090,0))),"–")</f>
        <v>3</v>
      </c>
      <c r="E89" s="26" t="n">
        <f aca="false">IFERROR(IF(INDEX(Rank_Changes!$P$2:$P$1090,MATCH($A89&amp;"|"&amp;"GBR",Rank_Changes!$U$2:$U$1090,0))="","–",INDEX(Rank_Changes!$P$2:$P$1090,MATCH($A89&amp;"|"&amp;"GBR",Rank_Changes!$U$2:$U$1090,0))),"–")</f>
        <v>-2</v>
      </c>
      <c r="F89" s="26" t="n">
        <f aca="false">IFERROR(IF(INDEX(Rank_Changes!$P$2:$P$1090,MATCH($A89&amp;"|"&amp;"DEU",Rank_Changes!$U$2:$U$1090,0))="","–",INDEX(Rank_Changes!$P$2:$P$1090,MATCH($A89&amp;"|"&amp;"DEU",Rank_Changes!$U$2:$U$1090,0))),"–")</f>
        <v>-1</v>
      </c>
      <c r="G89" s="26" t="n">
        <f aca="false">IFERROR(IF(INDEX(Rank_Changes!$P$2:$P$1090,MATCH($A89&amp;"|"&amp;"SWE",Rank_Changes!$U$2:$U$1090,0))="","–",INDEX(Rank_Changes!$P$2:$P$1090,MATCH($A89&amp;"|"&amp;"SWE",Rank_Changes!$U$2:$U$1090,0))),"–")</f>
        <v>-4</v>
      </c>
      <c r="H89" s="26" t="str">
        <f aca="false">IFERROR(IF(INDEX(Rank_Changes!$P$2:$P$1090,MATCH($A89&amp;"|"&amp;"FRA",Rank_Changes!$U$2:$U$1090,0))="","–",INDEX(Rank_Changes!$P$2:$P$1090,MATCH($A89&amp;"|"&amp;"FRA",Rank_Changes!$U$2:$U$1090,0))),"–")</f>
        <v>–</v>
      </c>
      <c r="I89" s="26" t="n">
        <f aca="false">IFERROR(IF(INDEX(Rank_Changes!$P$2:$P$1090,MATCH($A89&amp;"|"&amp;"NLD",Rank_Changes!$U$2:$U$1090,0))="","–",INDEX(Rank_Changes!$P$2:$P$1090,MATCH($A89&amp;"|"&amp;"NLD",Rank_Changes!$U$2:$U$1090,0))),"–")</f>
        <v>3</v>
      </c>
      <c r="J89" s="26" t="n">
        <f aca="false">IFERROR(IF(INDEX(Rank_Changes!$P$2:$P$1090,MATCH($A89&amp;"|"&amp;"CHE",Rank_Changes!$U$2:$U$1090,0))="","–",INDEX(Rank_Changes!$P$2:$P$1090,MATCH($A89&amp;"|"&amp;"CHE",Rank_Changes!$U$2:$U$1090,0))),"–")</f>
        <v>-1</v>
      </c>
      <c r="K89" s="26" t="n">
        <f aca="false">IFERROR(IF(INDEX(Rank_Changes!$P$2:$P$1090,MATCH($A89&amp;"|"&amp;"DNK",Rank_Changes!$U$2:$U$1090,0))="","–",INDEX(Rank_Changes!$P$2:$P$1090,MATCH($A89&amp;"|"&amp;"DNK",Rank_Changes!$U$2:$U$1090,0))),"–")</f>
        <v>2</v>
      </c>
      <c r="L89" s="26" t="n">
        <f aca="false">IFERROR(IF(INDEX(Rank_Changes!$P$2:$P$1090,MATCH($A89&amp;"|"&amp;"CAN",Rank_Changes!$U$2:$U$1090,0))="","–",INDEX(Rank_Changes!$P$2:$P$1090,MATCH($A89&amp;"|"&amp;"CAN",Rank_Changes!$U$2:$U$1090,0))),"–")</f>
        <v>0</v>
      </c>
      <c r="M89" s="26" t="str">
        <f aca="false">IFERROR(IF(INDEX(Rank_Changes!$P$2:$P$1090,MATCH($A89&amp;"|"&amp;"JPN",Rank_Changes!$U$2:$U$1090,0))="","–",INDEX(Rank_Changes!$P$2:$P$1090,MATCH($A89&amp;"|"&amp;"JPN",Rank_Changes!$U$2:$U$1090,0))),"–")</f>
        <v>–</v>
      </c>
      <c r="N89" s="26" t="n">
        <f aca="false">IFERROR(IF(INDEX(Rank_Changes!$P$2:$P$1090,MATCH($A89&amp;"|"&amp;"AUS",Rank_Changes!$U$2:$U$1090,0))="","–",INDEX(Rank_Changes!$P$2:$P$1090,MATCH($A89&amp;"|"&amp;"AUS",Rank_Changes!$U$2:$U$1090,0))),"–")</f>
        <v>-1</v>
      </c>
    </row>
    <row r="90" customFormat="false" ht="15" hidden="false" customHeight="false" outlineLevel="0" collapsed="false">
      <c r="A90" s="12" t="s">
        <v>232</v>
      </c>
      <c r="B90" s="12" t="s">
        <v>40</v>
      </c>
      <c r="C90" s="12" t="s">
        <v>233</v>
      </c>
      <c r="D90" s="26" t="n">
        <f aca="false">IFERROR(IF(INDEX(Rank_Changes!$P$2:$P$1090,MATCH($A90&amp;"|"&amp;"USA",Rank_Changes!$U$2:$U$1090,0))="","–",INDEX(Rank_Changes!$P$2:$P$1090,MATCH($A90&amp;"|"&amp;"USA",Rank_Changes!$U$2:$U$1090,0))),"–")</f>
        <v>1</v>
      </c>
      <c r="E90" s="26" t="n">
        <f aca="false">IFERROR(IF(INDEX(Rank_Changes!$P$2:$P$1090,MATCH($A90&amp;"|"&amp;"GBR",Rank_Changes!$U$2:$U$1090,0))="","–",INDEX(Rank_Changes!$P$2:$P$1090,MATCH($A90&amp;"|"&amp;"GBR",Rank_Changes!$U$2:$U$1090,0))),"–")</f>
        <v>0</v>
      </c>
      <c r="F90" s="26" t="n">
        <f aca="false">IFERROR(IF(INDEX(Rank_Changes!$P$2:$P$1090,MATCH($A90&amp;"|"&amp;"DEU",Rank_Changes!$U$2:$U$1090,0))="","–",INDEX(Rank_Changes!$P$2:$P$1090,MATCH($A90&amp;"|"&amp;"DEU",Rank_Changes!$U$2:$U$1090,0))),"–")</f>
        <v>-1</v>
      </c>
      <c r="G90" s="26" t="n">
        <f aca="false">IFERROR(IF(INDEX(Rank_Changes!$P$2:$P$1090,MATCH($A90&amp;"|"&amp;"SWE",Rank_Changes!$U$2:$U$1090,0))="","–",INDEX(Rank_Changes!$P$2:$P$1090,MATCH($A90&amp;"|"&amp;"SWE",Rank_Changes!$U$2:$U$1090,0))),"–")</f>
        <v>-3</v>
      </c>
      <c r="H90" s="26" t="n">
        <f aca="false">IFERROR(IF(INDEX(Rank_Changes!$P$2:$P$1090,MATCH($A90&amp;"|"&amp;"FRA",Rank_Changes!$U$2:$U$1090,0))="","–",INDEX(Rank_Changes!$P$2:$P$1090,MATCH($A90&amp;"|"&amp;"FRA",Rank_Changes!$U$2:$U$1090,0))),"–")</f>
        <v>0</v>
      </c>
      <c r="I90" s="26" t="n">
        <f aca="false">IFERROR(IF(INDEX(Rank_Changes!$P$2:$P$1090,MATCH($A90&amp;"|"&amp;"NLD",Rank_Changes!$U$2:$U$1090,0))="","–",INDEX(Rank_Changes!$P$2:$P$1090,MATCH($A90&amp;"|"&amp;"NLD",Rank_Changes!$U$2:$U$1090,0))),"–")</f>
        <v>0</v>
      </c>
      <c r="J90" s="26" t="n">
        <f aca="false">IFERROR(IF(INDEX(Rank_Changes!$P$2:$P$1090,MATCH($A90&amp;"|"&amp;"CHE",Rank_Changes!$U$2:$U$1090,0))="","–",INDEX(Rank_Changes!$P$2:$P$1090,MATCH($A90&amp;"|"&amp;"CHE",Rank_Changes!$U$2:$U$1090,0))),"–")</f>
        <v>2</v>
      </c>
      <c r="K90" s="26" t="n">
        <f aca="false">IFERROR(IF(INDEX(Rank_Changes!$P$2:$P$1090,MATCH($A90&amp;"|"&amp;"DNK",Rank_Changes!$U$2:$U$1090,0))="","–",INDEX(Rank_Changes!$P$2:$P$1090,MATCH($A90&amp;"|"&amp;"DNK",Rank_Changes!$U$2:$U$1090,0))),"–")</f>
        <v>-1</v>
      </c>
      <c r="L90" s="26" t="n">
        <f aca="false">IFERROR(IF(INDEX(Rank_Changes!$P$2:$P$1090,MATCH($A90&amp;"|"&amp;"CAN",Rank_Changes!$U$2:$U$1090,0))="","–",INDEX(Rank_Changes!$P$2:$P$1090,MATCH($A90&amp;"|"&amp;"CAN",Rank_Changes!$U$2:$U$1090,0))),"–")</f>
        <v>2</v>
      </c>
      <c r="M90" s="26" t="str">
        <f aca="false">IFERROR(IF(INDEX(Rank_Changes!$P$2:$P$1090,MATCH($A90&amp;"|"&amp;"JPN",Rank_Changes!$U$2:$U$1090,0))="","–",INDEX(Rank_Changes!$P$2:$P$1090,MATCH($A90&amp;"|"&amp;"JPN",Rank_Changes!$U$2:$U$1090,0))),"–")</f>
        <v>–</v>
      </c>
      <c r="N90" s="26" t="n">
        <f aca="false">IFERROR(IF(INDEX(Rank_Changes!$P$2:$P$1090,MATCH($A90&amp;"|"&amp;"AUS",Rank_Changes!$U$2:$U$1090,0))="","–",INDEX(Rank_Changes!$P$2:$P$1090,MATCH($A90&amp;"|"&amp;"AUS",Rank_Changes!$U$2:$U$1090,0))),"–")</f>
        <v>0</v>
      </c>
    </row>
    <row r="91" customFormat="false" ht="15" hidden="false" customHeight="false" outlineLevel="0" collapsed="false">
      <c r="A91" s="12" t="s">
        <v>235</v>
      </c>
      <c r="B91" s="12" t="s">
        <v>40</v>
      </c>
      <c r="C91" s="12" t="s">
        <v>236</v>
      </c>
      <c r="D91" s="26" t="n">
        <f aca="false">IFERROR(IF(INDEX(Rank_Changes!$P$2:$P$1090,MATCH($A91&amp;"|"&amp;"USA",Rank_Changes!$U$2:$U$1090,0))="","–",INDEX(Rank_Changes!$P$2:$P$1090,MATCH($A91&amp;"|"&amp;"USA",Rank_Changes!$U$2:$U$1090,0))),"–")</f>
        <v>-1</v>
      </c>
      <c r="E91" s="26" t="n">
        <f aca="false">IFERROR(IF(INDEX(Rank_Changes!$P$2:$P$1090,MATCH($A91&amp;"|"&amp;"GBR",Rank_Changes!$U$2:$U$1090,0))="","–",INDEX(Rank_Changes!$P$2:$P$1090,MATCH($A91&amp;"|"&amp;"GBR",Rank_Changes!$U$2:$U$1090,0))),"–")</f>
        <v>-2</v>
      </c>
      <c r="F91" s="26" t="n">
        <f aca="false">IFERROR(IF(INDEX(Rank_Changes!$P$2:$P$1090,MATCH($A91&amp;"|"&amp;"DEU",Rank_Changes!$U$2:$U$1090,0))="","–",INDEX(Rank_Changes!$P$2:$P$1090,MATCH($A91&amp;"|"&amp;"DEU",Rank_Changes!$U$2:$U$1090,0))),"–")</f>
        <v>0</v>
      </c>
      <c r="G91" s="26" t="n">
        <f aca="false">IFERROR(IF(INDEX(Rank_Changes!$P$2:$P$1090,MATCH($A91&amp;"|"&amp;"SWE",Rank_Changes!$U$2:$U$1090,0))="","–",INDEX(Rank_Changes!$P$2:$P$1090,MATCH($A91&amp;"|"&amp;"SWE",Rank_Changes!$U$2:$U$1090,0))),"–")</f>
        <v>-5</v>
      </c>
      <c r="H91" s="26" t="n">
        <f aca="false">IFERROR(IF(INDEX(Rank_Changes!$P$2:$P$1090,MATCH($A91&amp;"|"&amp;"FRA",Rank_Changes!$U$2:$U$1090,0))="","–",INDEX(Rank_Changes!$P$2:$P$1090,MATCH($A91&amp;"|"&amp;"FRA",Rank_Changes!$U$2:$U$1090,0))),"–")</f>
        <v>7</v>
      </c>
      <c r="I91" s="26" t="n">
        <f aca="false">IFERROR(IF(INDEX(Rank_Changes!$P$2:$P$1090,MATCH($A91&amp;"|"&amp;"NLD",Rank_Changes!$U$2:$U$1090,0))="","–",INDEX(Rank_Changes!$P$2:$P$1090,MATCH($A91&amp;"|"&amp;"NLD",Rank_Changes!$U$2:$U$1090,0))),"–")</f>
        <v>-2</v>
      </c>
      <c r="J91" s="26" t="n">
        <f aca="false">IFERROR(IF(INDEX(Rank_Changes!$P$2:$P$1090,MATCH($A91&amp;"|"&amp;"CHE",Rank_Changes!$U$2:$U$1090,0))="","–",INDEX(Rank_Changes!$P$2:$P$1090,MATCH($A91&amp;"|"&amp;"CHE",Rank_Changes!$U$2:$U$1090,0))),"–")</f>
        <v>3</v>
      </c>
      <c r="K91" s="26" t="n">
        <f aca="false">IFERROR(IF(INDEX(Rank_Changes!$P$2:$P$1090,MATCH($A91&amp;"|"&amp;"DNK",Rank_Changes!$U$2:$U$1090,0))="","–",INDEX(Rank_Changes!$P$2:$P$1090,MATCH($A91&amp;"|"&amp;"DNK",Rank_Changes!$U$2:$U$1090,0))),"–")</f>
        <v>-1</v>
      </c>
      <c r="L91" s="26" t="n">
        <f aca="false">IFERROR(IF(INDEX(Rank_Changes!$P$2:$P$1090,MATCH($A91&amp;"|"&amp;"CAN",Rank_Changes!$U$2:$U$1090,0))="","–",INDEX(Rank_Changes!$P$2:$P$1090,MATCH($A91&amp;"|"&amp;"CAN",Rank_Changes!$U$2:$U$1090,0))),"–")</f>
        <v>0</v>
      </c>
      <c r="M91" s="26" t="str">
        <f aca="false">IFERROR(IF(INDEX(Rank_Changes!$P$2:$P$1090,MATCH($A91&amp;"|"&amp;"JPN",Rank_Changes!$U$2:$U$1090,0))="","–",INDEX(Rank_Changes!$P$2:$P$1090,MATCH($A91&amp;"|"&amp;"JPN",Rank_Changes!$U$2:$U$1090,0))),"–")</f>
        <v>–</v>
      </c>
      <c r="N91" s="26" t="n">
        <f aca="false">IFERROR(IF(INDEX(Rank_Changes!$P$2:$P$1090,MATCH($A91&amp;"|"&amp;"AUS",Rank_Changes!$U$2:$U$1090,0))="","–",INDEX(Rank_Changes!$P$2:$P$1090,MATCH($A91&amp;"|"&amp;"AUS",Rank_Changes!$U$2:$U$1090,0))),"–")</f>
        <v>-2</v>
      </c>
    </row>
    <row r="92" customFormat="false" ht="15" hidden="false" customHeight="false" outlineLevel="0" collapsed="false">
      <c r="A92" s="12" t="s">
        <v>237</v>
      </c>
      <c r="B92" s="12" t="s">
        <v>40</v>
      </c>
      <c r="C92" s="12" t="s">
        <v>238</v>
      </c>
      <c r="D92" s="26" t="n">
        <f aca="false">IFERROR(IF(INDEX(Rank_Changes!$P$2:$P$1090,MATCH($A92&amp;"|"&amp;"USA",Rank_Changes!$U$2:$U$1090,0))="","–",INDEX(Rank_Changes!$P$2:$P$1090,MATCH($A92&amp;"|"&amp;"USA",Rank_Changes!$U$2:$U$1090,0))),"–")</f>
        <v>-7</v>
      </c>
      <c r="E92" s="26" t="n">
        <f aca="false">IFERROR(IF(INDEX(Rank_Changes!$P$2:$P$1090,MATCH($A92&amp;"|"&amp;"GBR",Rank_Changes!$U$2:$U$1090,0))="","–",INDEX(Rank_Changes!$P$2:$P$1090,MATCH($A92&amp;"|"&amp;"GBR",Rank_Changes!$U$2:$U$1090,0))),"–")</f>
        <v>1</v>
      </c>
      <c r="F92" s="26" t="n">
        <f aca="false">IFERROR(IF(INDEX(Rank_Changes!$P$2:$P$1090,MATCH($A92&amp;"|"&amp;"DEU",Rank_Changes!$U$2:$U$1090,0))="","–",INDEX(Rank_Changes!$P$2:$P$1090,MATCH($A92&amp;"|"&amp;"DEU",Rank_Changes!$U$2:$U$1090,0))),"–")</f>
        <v>2</v>
      </c>
      <c r="G92" s="26" t="n">
        <f aca="false">IFERROR(IF(INDEX(Rank_Changes!$P$2:$P$1090,MATCH($A92&amp;"|"&amp;"SWE",Rank_Changes!$U$2:$U$1090,0))="","–",INDEX(Rank_Changes!$P$2:$P$1090,MATCH($A92&amp;"|"&amp;"SWE",Rank_Changes!$U$2:$U$1090,0))),"–")</f>
        <v>0</v>
      </c>
      <c r="H92" s="26" t="n">
        <f aca="false">IFERROR(IF(INDEX(Rank_Changes!$P$2:$P$1090,MATCH($A92&amp;"|"&amp;"FRA",Rank_Changes!$U$2:$U$1090,0))="","–",INDEX(Rank_Changes!$P$2:$P$1090,MATCH($A92&amp;"|"&amp;"FRA",Rank_Changes!$U$2:$U$1090,0))),"–")</f>
        <v>2</v>
      </c>
      <c r="I92" s="26" t="n">
        <f aca="false">IFERROR(IF(INDEX(Rank_Changes!$P$2:$P$1090,MATCH($A92&amp;"|"&amp;"NLD",Rank_Changes!$U$2:$U$1090,0))="","–",INDEX(Rank_Changes!$P$2:$P$1090,MATCH($A92&amp;"|"&amp;"NLD",Rank_Changes!$U$2:$U$1090,0))),"–")</f>
        <v>-1</v>
      </c>
      <c r="J92" s="26" t="n">
        <f aca="false">IFERROR(IF(INDEX(Rank_Changes!$P$2:$P$1090,MATCH($A92&amp;"|"&amp;"CHE",Rank_Changes!$U$2:$U$1090,0))="","–",INDEX(Rank_Changes!$P$2:$P$1090,MATCH($A92&amp;"|"&amp;"CHE",Rank_Changes!$U$2:$U$1090,0))),"–")</f>
        <v>1</v>
      </c>
      <c r="K92" s="26" t="n">
        <f aca="false">IFERROR(IF(INDEX(Rank_Changes!$P$2:$P$1090,MATCH($A92&amp;"|"&amp;"DNK",Rank_Changes!$U$2:$U$1090,0))="","–",INDEX(Rank_Changes!$P$2:$P$1090,MATCH($A92&amp;"|"&amp;"DNK",Rank_Changes!$U$2:$U$1090,0))),"–")</f>
        <v>2</v>
      </c>
      <c r="L92" s="26" t="n">
        <f aca="false">IFERROR(IF(INDEX(Rank_Changes!$P$2:$P$1090,MATCH($A92&amp;"|"&amp;"CAN",Rank_Changes!$U$2:$U$1090,0))="","–",INDEX(Rank_Changes!$P$2:$P$1090,MATCH($A92&amp;"|"&amp;"CAN",Rank_Changes!$U$2:$U$1090,0))),"–")</f>
        <v>0</v>
      </c>
      <c r="M92" s="26" t="str">
        <f aca="false">IFERROR(IF(INDEX(Rank_Changes!$P$2:$P$1090,MATCH($A92&amp;"|"&amp;"JPN",Rank_Changes!$U$2:$U$1090,0))="","–",INDEX(Rank_Changes!$P$2:$P$1090,MATCH($A92&amp;"|"&amp;"JPN",Rank_Changes!$U$2:$U$1090,0))),"–")</f>
        <v>–</v>
      </c>
      <c r="N92" s="26" t="n">
        <f aca="false">IFERROR(IF(INDEX(Rank_Changes!$P$2:$P$1090,MATCH($A92&amp;"|"&amp;"AUS",Rank_Changes!$U$2:$U$1090,0))="","–",INDEX(Rank_Changes!$P$2:$P$1090,MATCH($A92&amp;"|"&amp;"AUS",Rank_Changes!$U$2:$U$1090,0))),"–")</f>
        <v>0</v>
      </c>
    </row>
    <row r="93" customFormat="false" ht="15" hidden="false" customHeight="false" outlineLevel="0" collapsed="false">
      <c r="A93" s="12" t="s">
        <v>239</v>
      </c>
      <c r="B93" s="12" t="s">
        <v>40</v>
      </c>
      <c r="C93" s="12" t="s">
        <v>240</v>
      </c>
      <c r="D93" s="26" t="str">
        <f aca="false">IFERROR(IF(INDEX(Rank_Changes!$P$2:$P$1090,MATCH($A93&amp;"|"&amp;"USA",Rank_Changes!$U$2:$U$1090,0))="","–",INDEX(Rank_Changes!$P$2:$P$1090,MATCH($A93&amp;"|"&amp;"USA",Rank_Changes!$U$2:$U$1090,0))),"–")</f>
        <v>–</v>
      </c>
      <c r="E93" s="26" t="str">
        <f aca="false">IFERROR(IF(INDEX(Rank_Changes!$P$2:$P$1090,MATCH($A93&amp;"|"&amp;"GBR",Rank_Changes!$U$2:$U$1090,0))="","–",INDEX(Rank_Changes!$P$2:$P$1090,MATCH($A93&amp;"|"&amp;"GBR",Rank_Changes!$U$2:$U$1090,0))),"–")</f>
        <v>–</v>
      </c>
      <c r="F93" s="26" t="str">
        <f aca="false">IFERROR(IF(INDEX(Rank_Changes!$P$2:$P$1090,MATCH($A93&amp;"|"&amp;"DEU",Rank_Changes!$U$2:$U$1090,0))="","–",INDEX(Rank_Changes!$P$2:$P$1090,MATCH($A93&amp;"|"&amp;"DEU",Rank_Changes!$U$2:$U$1090,0))),"–")</f>
        <v>–</v>
      </c>
      <c r="G93" s="26" t="str">
        <f aca="false">IFERROR(IF(INDEX(Rank_Changes!$P$2:$P$1090,MATCH($A93&amp;"|"&amp;"SWE",Rank_Changes!$U$2:$U$1090,0))="","–",INDEX(Rank_Changes!$P$2:$P$1090,MATCH($A93&amp;"|"&amp;"SWE",Rank_Changes!$U$2:$U$1090,0))),"–")</f>
        <v>–</v>
      </c>
      <c r="H93" s="26" t="str">
        <f aca="false">IFERROR(IF(INDEX(Rank_Changes!$P$2:$P$1090,MATCH($A93&amp;"|"&amp;"FRA",Rank_Changes!$U$2:$U$1090,0))="","–",INDEX(Rank_Changes!$P$2:$P$1090,MATCH($A93&amp;"|"&amp;"FRA",Rank_Changes!$U$2:$U$1090,0))),"–")</f>
        <v>–</v>
      </c>
      <c r="I93" s="26" t="str">
        <f aca="false">IFERROR(IF(INDEX(Rank_Changes!$P$2:$P$1090,MATCH($A93&amp;"|"&amp;"NLD",Rank_Changes!$U$2:$U$1090,0))="","–",INDEX(Rank_Changes!$P$2:$P$1090,MATCH($A93&amp;"|"&amp;"NLD",Rank_Changes!$U$2:$U$1090,0))),"–")</f>
        <v>–</v>
      </c>
      <c r="J93" s="26" t="str">
        <f aca="false">IFERROR(IF(INDEX(Rank_Changes!$P$2:$P$1090,MATCH($A93&amp;"|"&amp;"CHE",Rank_Changes!$U$2:$U$1090,0))="","–",INDEX(Rank_Changes!$P$2:$P$1090,MATCH($A93&amp;"|"&amp;"CHE",Rank_Changes!$U$2:$U$1090,0))),"–")</f>
        <v>–</v>
      </c>
      <c r="K93" s="26" t="str">
        <f aca="false">IFERROR(IF(INDEX(Rank_Changes!$P$2:$P$1090,MATCH($A93&amp;"|"&amp;"DNK",Rank_Changes!$U$2:$U$1090,0))="","–",INDEX(Rank_Changes!$P$2:$P$1090,MATCH($A93&amp;"|"&amp;"DNK",Rank_Changes!$U$2:$U$1090,0))),"–")</f>
        <v>–</v>
      </c>
      <c r="L93" s="26" t="str">
        <f aca="false">IFERROR(IF(INDEX(Rank_Changes!$P$2:$P$1090,MATCH($A93&amp;"|"&amp;"CAN",Rank_Changes!$U$2:$U$1090,0))="","–",INDEX(Rank_Changes!$P$2:$P$1090,MATCH($A93&amp;"|"&amp;"CAN",Rank_Changes!$U$2:$U$1090,0))),"–")</f>
        <v>–</v>
      </c>
      <c r="M93" s="26" t="str">
        <f aca="false">IFERROR(IF(INDEX(Rank_Changes!$P$2:$P$1090,MATCH($A93&amp;"|"&amp;"JPN",Rank_Changes!$U$2:$U$1090,0))="","–",INDEX(Rank_Changes!$P$2:$P$1090,MATCH($A93&amp;"|"&amp;"JPN",Rank_Changes!$U$2:$U$1090,0))),"–")</f>
        <v>–</v>
      </c>
      <c r="N93" s="26" t="str">
        <f aca="false">IFERROR(IF(INDEX(Rank_Changes!$P$2:$P$1090,MATCH($A93&amp;"|"&amp;"AUS",Rank_Changes!$U$2:$U$1090,0))="","–",INDEX(Rank_Changes!$P$2:$P$1090,MATCH($A93&amp;"|"&amp;"AUS",Rank_Changes!$U$2:$U$1090,0))),"–")</f>
        <v>–</v>
      </c>
    </row>
    <row r="94" customFormat="false" ht="15" hidden="false" customHeight="false" outlineLevel="0" collapsed="false">
      <c r="A94" s="12" t="s">
        <v>241</v>
      </c>
      <c r="B94" s="12" t="s">
        <v>41</v>
      </c>
      <c r="C94" s="12" t="s">
        <v>242</v>
      </c>
      <c r="D94" s="26" t="n">
        <f aca="false">IFERROR(IF(INDEX(Rank_Changes!$P$2:$P$1090,MATCH($A94&amp;"|"&amp;"USA",Rank_Changes!$U$2:$U$1090,0))="","–",INDEX(Rank_Changes!$P$2:$P$1090,MATCH($A94&amp;"|"&amp;"USA",Rank_Changes!$U$2:$U$1090,0))),"–")</f>
        <v>0</v>
      </c>
      <c r="E94" s="26" t="n">
        <f aca="false">IFERROR(IF(INDEX(Rank_Changes!$P$2:$P$1090,MATCH($A94&amp;"|"&amp;"GBR",Rank_Changes!$U$2:$U$1090,0))="","–",INDEX(Rank_Changes!$P$2:$P$1090,MATCH($A94&amp;"|"&amp;"GBR",Rank_Changes!$U$2:$U$1090,0))),"–")</f>
        <v>0</v>
      </c>
      <c r="F94" s="26" t="n">
        <f aca="false">IFERROR(IF(INDEX(Rank_Changes!$P$2:$P$1090,MATCH($A94&amp;"|"&amp;"DEU",Rank_Changes!$U$2:$U$1090,0))="","–",INDEX(Rank_Changes!$P$2:$P$1090,MATCH($A94&amp;"|"&amp;"DEU",Rank_Changes!$U$2:$U$1090,0))),"–")</f>
        <v>0</v>
      </c>
      <c r="G94" s="26" t="str">
        <f aca="false">IFERROR(IF(INDEX(Rank_Changes!$P$2:$P$1090,MATCH($A94&amp;"|"&amp;"SWE",Rank_Changes!$U$2:$U$1090,0))="","–",INDEX(Rank_Changes!$P$2:$P$1090,MATCH($A94&amp;"|"&amp;"SWE",Rank_Changes!$U$2:$U$1090,0))),"–")</f>
        <v>–</v>
      </c>
      <c r="H94" s="26" t="n">
        <f aca="false">IFERROR(IF(INDEX(Rank_Changes!$P$2:$P$1090,MATCH($A94&amp;"|"&amp;"FRA",Rank_Changes!$U$2:$U$1090,0))="","–",INDEX(Rank_Changes!$P$2:$P$1090,MATCH($A94&amp;"|"&amp;"FRA",Rank_Changes!$U$2:$U$1090,0))),"–")</f>
        <v>0</v>
      </c>
      <c r="I94" s="26" t="str">
        <f aca="false">IFERROR(IF(INDEX(Rank_Changes!$P$2:$P$1090,MATCH($A94&amp;"|"&amp;"NLD",Rank_Changes!$U$2:$U$1090,0))="","–",INDEX(Rank_Changes!$P$2:$P$1090,MATCH($A94&amp;"|"&amp;"NLD",Rank_Changes!$U$2:$U$1090,0))),"–")</f>
        <v>–</v>
      </c>
      <c r="J94" s="26" t="str">
        <f aca="false">IFERROR(IF(INDEX(Rank_Changes!$P$2:$P$1090,MATCH($A94&amp;"|"&amp;"CHE",Rank_Changes!$U$2:$U$1090,0))="","–",INDEX(Rank_Changes!$P$2:$P$1090,MATCH($A94&amp;"|"&amp;"CHE",Rank_Changes!$U$2:$U$1090,0))),"–")</f>
        <v>–</v>
      </c>
      <c r="K94" s="26" t="str">
        <f aca="false">IFERROR(IF(INDEX(Rank_Changes!$P$2:$P$1090,MATCH($A94&amp;"|"&amp;"DNK",Rank_Changes!$U$2:$U$1090,0))="","–",INDEX(Rank_Changes!$P$2:$P$1090,MATCH($A94&amp;"|"&amp;"DNK",Rank_Changes!$U$2:$U$1090,0))),"–")</f>
        <v>–</v>
      </c>
      <c r="L94" s="26" t="n">
        <f aca="false">IFERROR(IF(INDEX(Rank_Changes!$P$2:$P$1090,MATCH($A94&amp;"|"&amp;"CAN",Rank_Changes!$U$2:$U$1090,0))="","–",INDEX(Rank_Changes!$P$2:$P$1090,MATCH($A94&amp;"|"&amp;"CAN",Rank_Changes!$U$2:$U$1090,0))),"–")</f>
        <v>0</v>
      </c>
      <c r="M94" s="26" t="str">
        <f aca="false">IFERROR(IF(INDEX(Rank_Changes!$P$2:$P$1090,MATCH($A94&amp;"|"&amp;"JPN",Rank_Changes!$U$2:$U$1090,0))="","–",INDEX(Rank_Changes!$P$2:$P$1090,MATCH($A94&amp;"|"&amp;"JPN",Rank_Changes!$U$2:$U$1090,0))),"–")</f>
        <v>–</v>
      </c>
      <c r="N94" s="26" t="str">
        <f aca="false">IFERROR(IF(INDEX(Rank_Changes!$P$2:$P$1090,MATCH($A94&amp;"|"&amp;"AUS",Rank_Changes!$U$2:$U$1090,0))="","–",INDEX(Rank_Changes!$P$2:$P$1090,MATCH($A94&amp;"|"&amp;"AUS",Rank_Changes!$U$2:$U$1090,0))),"–")</f>
        <v>–</v>
      </c>
    </row>
    <row r="95" customFormat="false" ht="15" hidden="false" customHeight="false" outlineLevel="0" collapsed="false">
      <c r="A95" s="12" t="s">
        <v>244</v>
      </c>
      <c r="B95" s="12" t="s">
        <v>41</v>
      </c>
      <c r="C95" s="12" t="s">
        <v>245</v>
      </c>
      <c r="D95" s="26" t="n">
        <f aca="false">IFERROR(IF(INDEX(Rank_Changes!$P$2:$P$1090,MATCH($A95&amp;"|"&amp;"USA",Rank_Changes!$U$2:$U$1090,0))="","–",INDEX(Rank_Changes!$P$2:$P$1090,MATCH($A95&amp;"|"&amp;"USA",Rank_Changes!$U$2:$U$1090,0))),"–")</f>
        <v>-1</v>
      </c>
      <c r="E95" s="26" t="n">
        <f aca="false">IFERROR(IF(INDEX(Rank_Changes!$P$2:$P$1090,MATCH($A95&amp;"|"&amp;"GBR",Rank_Changes!$U$2:$U$1090,0))="","–",INDEX(Rank_Changes!$P$2:$P$1090,MATCH($A95&amp;"|"&amp;"GBR",Rank_Changes!$U$2:$U$1090,0))),"–")</f>
        <v>5</v>
      </c>
      <c r="F95" s="26" t="n">
        <f aca="false">IFERROR(IF(INDEX(Rank_Changes!$P$2:$P$1090,MATCH($A95&amp;"|"&amp;"DEU",Rank_Changes!$U$2:$U$1090,0))="","–",INDEX(Rank_Changes!$P$2:$P$1090,MATCH($A95&amp;"|"&amp;"DEU",Rank_Changes!$U$2:$U$1090,0))),"–")</f>
        <v>-3</v>
      </c>
      <c r="G95" s="26" t="n">
        <f aca="false">IFERROR(IF(INDEX(Rank_Changes!$P$2:$P$1090,MATCH($A95&amp;"|"&amp;"SWE",Rank_Changes!$U$2:$U$1090,0))="","–",INDEX(Rank_Changes!$P$2:$P$1090,MATCH($A95&amp;"|"&amp;"SWE",Rank_Changes!$U$2:$U$1090,0))),"–")</f>
        <v>-3</v>
      </c>
      <c r="H95" s="26" t="n">
        <f aca="false">IFERROR(IF(INDEX(Rank_Changes!$P$2:$P$1090,MATCH($A95&amp;"|"&amp;"FRA",Rank_Changes!$U$2:$U$1090,0))="","–",INDEX(Rank_Changes!$P$2:$P$1090,MATCH($A95&amp;"|"&amp;"FRA",Rank_Changes!$U$2:$U$1090,0))),"–")</f>
        <v>-1</v>
      </c>
      <c r="I95" s="26" t="n">
        <f aca="false">IFERROR(IF(INDEX(Rank_Changes!$P$2:$P$1090,MATCH($A95&amp;"|"&amp;"NLD",Rank_Changes!$U$2:$U$1090,0))="","–",INDEX(Rank_Changes!$P$2:$P$1090,MATCH($A95&amp;"|"&amp;"NLD",Rank_Changes!$U$2:$U$1090,0))),"–")</f>
        <v>3</v>
      </c>
      <c r="J95" s="26" t="n">
        <f aca="false">IFERROR(IF(INDEX(Rank_Changes!$P$2:$P$1090,MATCH($A95&amp;"|"&amp;"CHE",Rank_Changes!$U$2:$U$1090,0))="","–",INDEX(Rank_Changes!$P$2:$P$1090,MATCH($A95&amp;"|"&amp;"CHE",Rank_Changes!$U$2:$U$1090,0))),"–")</f>
        <v>0</v>
      </c>
      <c r="K95" s="26" t="n">
        <f aca="false">IFERROR(IF(INDEX(Rank_Changes!$P$2:$P$1090,MATCH($A95&amp;"|"&amp;"DNK",Rank_Changes!$U$2:$U$1090,0))="","–",INDEX(Rank_Changes!$P$2:$P$1090,MATCH($A95&amp;"|"&amp;"DNK",Rank_Changes!$U$2:$U$1090,0))),"–")</f>
        <v>1</v>
      </c>
      <c r="L95" s="26" t="n">
        <f aca="false">IFERROR(IF(INDEX(Rank_Changes!$P$2:$P$1090,MATCH($A95&amp;"|"&amp;"CAN",Rank_Changes!$U$2:$U$1090,0))="","–",INDEX(Rank_Changes!$P$2:$P$1090,MATCH($A95&amp;"|"&amp;"CAN",Rank_Changes!$U$2:$U$1090,0))),"–")</f>
        <v>2</v>
      </c>
      <c r="M95" s="26" t="n">
        <f aca="false">IFERROR(IF(INDEX(Rank_Changes!$P$2:$P$1090,MATCH($A95&amp;"|"&amp;"JPN",Rank_Changes!$U$2:$U$1090,0))="","–",INDEX(Rank_Changes!$P$2:$P$1090,MATCH($A95&amp;"|"&amp;"JPN",Rank_Changes!$U$2:$U$1090,0))),"–")</f>
        <v>-3</v>
      </c>
      <c r="N95" s="26" t="n">
        <f aca="false">IFERROR(IF(INDEX(Rank_Changes!$P$2:$P$1090,MATCH($A95&amp;"|"&amp;"AUS",Rank_Changes!$U$2:$U$1090,0))="","–",INDEX(Rank_Changes!$P$2:$P$1090,MATCH($A95&amp;"|"&amp;"AUS",Rank_Changes!$U$2:$U$1090,0))),"–")</f>
        <v>0</v>
      </c>
    </row>
    <row r="96" customFormat="false" ht="15" hidden="false" customHeight="false" outlineLevel="0" collapsed="false">
      <c r="A96" s="12" t="s">
        <v>247</v>
      </c>
      <c r="B96" s="12" t="s">
        <v>41</v>
      </c>
      <c r="C96" s="12" t="s">
        <v>248</v>
      </c>
      <c r="D96" s="26" t="n">
        <f aca="false">IFERROR(IF(INDEX(Rank_Changes!$P$2:$P$1090,MATCH($A96&amp;"|"&amp;"USA",Rank_Changes!$U$2:$U$1090,0))="","–",INDEX(Rank_Changes!$P$2:$P$1090,MATCH($A96&amp;"|"&amp;"USA",Rank_Changes!$U$2:$U$1090,0))),"–")</f>
        <v>-1</v>
      </c>
      <c r="E96" s="26" t="n">
        <f aca="false">IFERROR(IF(INDEX(Rank_Changes!$P$2:$P$1090,MATCH($A96&amp;"|"&amp;"GBR",Rank_Changes!$U$2:$U$1090,0))="","–",INDEX(Rank_Changes!$P$2:$P$1090,MATCH($A96&amp;"|"&amp;"GBR",Rank_Changes!$U$2:$U$1090,0))),"–")</f>
        <v>0</v>
      </c>
      <c r="F96" s="26" t="n">
        <f aca="false">IFERROR(IF(INDEX(Rank_Changes!$P$2:$P$1090,MATCH($A96&amp;"|"&amp;"DEU",Rank_Changes!$U$2:$U$1090,0))="","–",INDEX(Rank_Changes!$P$2:$P$1090,MATCH($A96&amp;"|"&amp;"DEU",Rank_Changes!$U$2:$U$1090,0))),"–")</f>
        <v>-2</v>
      </c>
      <c r="G96" s="26" t="n">
        <f aca="false">IFERROR(IF(INDEX(Rank_Changes!$P$2:$P$1090,MATCH($A96&amp;"|"&amp;"SWE",Rank_Changes!$U$2:$U$1090,0))="","–",INDEX(Rank_Changes!$P$2:$P$1090,MATCH($A96&amp;"|"&amp;"SWE",Rank_Changes!$U$2:$U$1090,0))),"–")</f>
        <v>-2</v>
      </c>
      <c r="H96" s="26" t="n">
        <f aca="false">IFERROR(IF(INDEX(Rank_Changes!$P$2:$P$1090,MATCH($A96&amp;"|"&amp;"FRA",Rank_Changes!$U$2:$U$1090,0))="","–",INDEX(Rank_Changes!$P$2:$P$1090,MATCH($A96&amp;"|"&amp;"FRA",Rank_Changes!$U$2:$U$1090,0))),"–")</f>
        <v>-2</v>
      </c>
      <c r="I96" s="26" t="n">
        <f aca="false">IFERROR(IF(INDEX(Rank_Changes!$P$2:$P$1090,MATCH($A96&amp;"|"&amp;"NLD",Rank_Changes!$U$2:$U$1090,0))="","–",INDEX(Rank_Changes!$P$2:$P$1090,MATCH($A96&amp;"|"&amp;"NLD",Rank_Changes!$U$2:$U$1090,0))),"–")</f>
        <v>5</v>
      </c>
      <c r="J96" s="26" t="n">
        <f aca="false">IFERROR(IF(INDEX(Rank_Changes!$P$2:$P$1090,MATCH($A96&amp;"|"&amp;"CHE",Rank_Changes!$U$2:$U$1090,0))="","–",INDEX(Rank_Changes!$P$2:$P$1090,MATCH($A96&amp;"|"&amp;"CHE",Rank_Changes!$U$2:$U$1090,0))),"–")</f>
        <v>0</v>
      </c>
      <c r="K96" s="26" t="n">
        <f aca="false">IFERROR(IF(INDEX(Rank_Changes!$P$2:$P$1090,MATCH($A96&amp;"|"&amp;"DNK",Rank_Changes!$U$2:$U$1090,0))="","–",INDEX(Rank_Changes!$P$2:$P$1090,MATCH($A96&amp;"|"&amp;"DNK",Rank_Changes!$U$2:$U$1090,0))),"–")</f>
        <v>1</v>
      </c>
      <c r="L96" s="26" t="n">
        <f aca="false">IFERROR(IF(INDEX(Rank_Changes!$P$2:$P$1090,MATCH($A96&amp;"|"&amp;"CAN",Rank_Changes!$U$2:$U$1090,0))="","–",INDEX(Rank_Changes!$P$2:$P$1090,MATCH($A96&amp;"|"&amp;"CAN",Rank_Changes!$U$2:$U$1090,0))),"–")</f>
        <v>-1</v>
      </c>
      <c r="M96" s="26" t="n">
        <f aca="false">IFERROR(IF(INDEX(Rank_Changes!$P$2:$P$1090,MATCH($A96&amp;"|"&amp;"JPN",Rank_Changes!$U$2:$U$1090,0))="","–",INDEX(Rank_Changes!$P$2:$P$1090,MATCH($A96&amp;"|"&amp;"JPN",Rank_Changes!$U$2:$U$1090,0))),"–")</f>
        <v>-1</v>
      </c>
      <c r="N96" s="26" t="n">
        <f aca="false">IFERROR(IF(INDEX(Rank_Changes!$P$2:$P$1090,MATCH($A96&amp;"|"&amp;"AUS",Rank_Changes!$U$2:$U$1090,0))="","–",INDEX(Rank_Changes!$P$2:$P$1090,MATCH($A96&amp;"|"&amp;"AUS",Rank_Changes!$U$2:$U$1090,0))),"–")</f>
        <v>1</v>
      </c>
    </row>
    <row r="97" customFormat="false" ht="15" hidden="false" customHeight="false" outlineLevel="0" collapsed="false">
      <c r="A97" s="12" t="s">
        <v>249</v>
      </c>
      <c r="B97" s="12" t="s">
        <v>41</v>
      </c>
      <c r="C97" s="12" t="s">
        <v>250</v>
      </c>
      <c r="D97" s="26" t="n">
        <f aca="false">IFERROR(IF(INDEX(Rank_Changes!$P$2:$P$1090,MATCH($A97&amp;"|"&amp;"USA",Rank_Changes!$U$2:$U$1090,0))="","–",INDEX(Rank_Changes!$P$2:$P$1090,MATCH($A97&amp;"|"&amp;"USA",Rank_Changes!$U$2:$U$1090,0))),"–")</f>
        <v>0</v>
      </c>
      <c r="E97" s="26" t="n">
        <f aca="false">IFERROR(IF(INDEX(Rank_Changes!$P$2:$P$1090,MATCH($A97&amp;"|"&amp;"GBR",Rank_Changes!$U$2:$U$1090,0))="","–",INDEX(Rank_Changes!$P$2:$P$1090,MATCH($A97&amp;"|"&amp;"GBR",Rank_Changes!$U$2:$U$1090,0))),"–")</f>
        <v>0</v>
      </c>
      <c r="F97" s="26" t="n">
        <f aca="false">IFERROR(IF(INDEX(Rank_Changes!$P$2:$P$1090,MATCH($A97&amp;"|"&amp;"DEU",Rank_Changes!$U$2:$U$1090,0))="","–",INDEX(Rank_Changes!$P$2:$P$1090,MATCH($A97&amp;"|"&amp;"DEU",Rank_Changes!$U$2:$U$1090,0))),"–")</f>
        <v>1</v>
      </c>
      <c r="G97" s="26" t="n">
        <f aca="false">IFERROR(IF(INDEX(Rank_Changes!$P$2:$P$1090,MATCH($A97&amp;"|"&amp;"SWE",Rank_Changes!$U$2:$U$1090,0))="","–",INDEX(Rank_Changes!$P$2:$P$1090,MATCH($A97&amp;"|"&amp;"SWE",Rank_Changes!$U$2:$U$1090,0))),"–")</f>
        <v>3</v>
      </c>
      <c r="H97" s="26" t="n">
        <f aca="false">IFERROR(IF(INDEX(Rank_Changes!$P$2:$P$1090,MATCH($A97&amp;"|"&amp;"FRA",Rank_Changes!$U$2:$U$1090,0))="","–",INDEX(Rank_Changes!$P$2:$P$1090,MATCH($A97&amp;"|"&amp;"FRA",Rank_Changes!$U$2:$U$1090,0))),"–")</f>
        <v>-5</v>
      </c>
      <c r="I97" s="26" t="n">
        <f aca="false">IFERROR(IF(INDEX(Rank_Changes!$P$2:$P$1090,MATCH($A97&amp;"|"&amp;"NLD",Rank_Changes!$U$2:$U$1090,0))="","–",INDEX(Rank_Changes!$P$2:$P$1090,MATCH($A97&amp;"|"&amp;"NLD",Rank_Changes!$U$2:$U$1090,0))),"–")</f>
        <v>-3</v>
      </c>
      <c r="J97" s="26" t="n">
        <f aca="false">IFERROR(IF(INDEX(Rank_Changes!$P$2:$P$1090,MATCH($A97&amp;"|"&amp;"CHE",Rank_Changes!$U$2:$U$1090,0))="","–",INDEX(Rank_Changes!$P$2:$P$1090,MATCH($A97&amp;"|"&amp;"CHE",Rank_Changes!$U$2:$U$1090,0))),"–")</f>
        <v>2</v>
      </c>
      <c r="K97" s="26" t="str">
        <f aca="false">IFERROR(IF(INDEX(Rank_Changes!$P$2:$P$1090,MATCH($A97&amp;"|"&amp;"DNK",Rank_Changes!$U$2:$U$1090,0))="","–",INDEX(Rank_Changes!$P$2:$P$1090,MATCH($A97&amp;"|"&amp;"DNK",Rank_Changes!$U$2:$U$1090,0))),"–")</f>
        <v>–</v>
      </c>
      <c r="L97" s="26" t="n">
        <f aca="false">IFERROR(IF(INDEX(Rank_Changes!$P$2:$P$1090,MATCH($A97&amp;"|"&amp;"CAN",Rank_Changes!$U$2:$U$1090,0))="","–",INDEX(Rank_Changes!$P$2:$P$1090,MATCH($A97&amp;"|"&amp;"CAN",Rank_Changes!$U$2:$U$1090,0))),"–")</f>
        <v>2</v>
      </c>
      <c r="M97" s="26" t="str">
        <f aca="false">IFERROR(IF(INDEX(Rank_Changes!$P$2:$P$1090,MATCH($A97&amp;"|"&amp;"JPN",Rank_Changes!$U$2:$U$1090,0))="","–",INDEX(Rank_Changes!$P$2:$P$1090,MATCH($A97&amp;"|"&amp;"JPN",Rank_Changes!$U$2:$U$1090,0))),"–")</f>
        <v>–</v>
      </c>
      <c r="N97" s="26" t="n">
        <f aca="false">IFERROR(IF(INDEX(Rank_Changes!$P$2:$P$1090,MATCH($A97&amp;"|"&amp;"AUS",Rank_Changes!$U$2:$U$1090,0))="","–",INDEX(Rank_Changes!$P$2:$P$1090,MATCH($A97&amp;"|"&amp;"AUS",Rank_Changes!$U$2:$U$1090,0))),"–")</f>
        <v>0</v>
      </c>
    </row>
    <row r="98" customFormat="false" ht="15" hidden="false" customHeight="false" outlineLevel="0" collapsed="false">
      <c r="A98" s="12" t="s">
        <v>252</v>
      </c>
      <c r="B98" s="12" t="s">
        <v>41</v>
      </c>
      <c r="C98" s="12" t="s">
        <v>253</v>
      </c>
      <c r="D98" s="26" t="n">
        <f aca="false">IFERROR(IF(INDEX(Rank_Changes!$P$2:$P$1090,MATCH($A98&amp;"|"&amp;"USA",Rank_Changes!$U$2:$U$1090,0))="","–",INDEX(Rank_Changes!$P$2:$P$1090,MATCH($A98&amp;"|"&amp;"USA",Rank_Changes!$U$2:$U$1090,0))),"–")</f>
        <v>0</v>
      </c>
      <c r="E98" s="26" t="n">
        <f aca="false">IFERROR(IF(INDEX(Rank_Changes!$P$2:$P$1090,MATCH($A98&amp;"|"&amp;"GBR",Rank_Changes!$U$2:$U$1090,0))="","–",INDEX(Rank_Changes!$P$2:$P$1090,MATCH($A98&amp;"|"&amp;"GBR",Rank_Changes!$U$2:$U$1090,0))),"–")</f>
        <v>3</v>
      </c>
      <c r="F98" s="26" t="n">
        <f aca="false">IFERROR(IF(INDEX(Rank_Changes!$P$2:$P$1090,MATCH($A98&amp;"|"&amp;"DEU",Rank_Changes!$U$2:$U$1090,0))="","–",INDEX(Rank_Changes!$P$2:$P$1090,MATCH($A98&amp;"|"&amp;"DEU",Rank_Changes!$U$2:$U$1090,0))),"–")</f>
        <v>1</v>
      </c>
      <c r="G98" s="26" t="n">
        <f aca="false">IFERROR(IF(INDEX(Rank_Changes!$P$2:$P$1090,MATCH($A98&amp;"|"&amp;"SWE",Rank_Changes!$U$2:$U$1090,0))="","–",INDEX(Rank_Changes!$P$2:$P$1090,MATCH($A98&amp;"|"&amp;"SWE",Rank_Changes!$U$2:$U$1090,0))),"–")</f>
        <v>2</v>
      </c>
      <c r="H98" s="26" t="n">
        <f aca="false">IFERROR(IF(INDEX(Rank_Changes!$P$2:$P$1090,MATCH($A98&amp;"|"&amp;"FRA",Rank_Changes!$U$2:$U$1090,0))="","–",INDEX(Rank_Changes!$P$2:$P$1090,MATCH($A98&amp;"|"&amp;"FRA",Rank_Changes!$U$2:$U$1090,0))),"–")</f>
        <v>-3</v>
      </c>
      <c r="I98" s="26" t="n">
        <f aca="false">IFERROR(IF(INDEX(Rank_Changes!$P$2:$P$1090,MATCH($A98&amp;"|"&amp;"NLD",Rank_Changes!$U$2:$U$1090,0))="","–",INDEX(Rank_Changes!$P$2:$P$1090,MATCH($A98&amp;"|"&amp;"NLD",Rank_Changes!$U$2:$U$1090,0))),"–")</f>
        <v>-1</v>
      </c>
      <c r="J98" s="26" t="n">
        <f aca="false">IFERROR(IF(INDEX(Rank_Changes!$P$2:$P$1090,MATCH($A98&amp;"|"&amp;"CHE",Rank_Changes!$U$2:$U$1090,0))="","–",INDEX(Rank_Changes!$P$2:$P$1090,MATCH($A98&amp;"|"&amp;"CHE",Rank_Changes!$U$2:$U$1090,0))),"–")</f>
        <v>-1</v>
      </c>
      <c r="K98" s="26" t="str">
        <f aca="false">IFERROR(IF(INDEX(Rank_Changes!$P$2:$P$1090,MATCH($A98&amp;"|"&amp;"DNK",Rank_Changes!$U$2:$U$1090,0))="","–",INDEX(Rank_Changes!$P$2:$P$1090,MATCH($A98&amp;"|"&amp;"DNK",Rank_Changes!$U$2:$U$1090,0))),"–")</f>
        <v>–</v>
      </c>
      <c r="L98" s="26" t="n">
        <f aca="false">IFERROR(IF(INDEX(Rank_Changes!$P$2:$P$1090,MATCH($A98&amp;"|"&amp;"CAN",Rank_Changes!$U$2:$U$1090,0))="","–",INDEX(Rank_Changes!$P$2:$P$1090,MATCH($A98&amp;"|"&amp;"CAN",Rank_Changes!$U$2:$U$1090,0))),"–")</f>
        <v>-1</v>
      </c>
      <c r="M98" s="26" t="str">
        <f aca="false">IFERROR(IF(INDEX(Rank_Changes!$P$2:$P$1090,MATCH($A98&amp;"|"&amp;"JPN",Rank_Changes!$U$2:$U$1090,0))="","–",INDEX(Rank_Changes!$P$2:$P$1090,MATCH($A98&amp;"|"&amp;"JPN",Rank_Changes!$U$2:$U$1090,0))),"–")</f>
        <v>–</v>
      </c>
      <c r="N98" s="26" t="n">
        <f aca="false">IFERROR(IF(INDEX(Rank_Changes!$P$2:$P$1090,MATCH($A98&amp;"|"&amp;"AUS",Rank_Changes!$U$2:$U$1090,0))="","–",INDEX(Rank_Changes!$P$2:$P$1090,MATCH($A98&amp;"|"&amp;"AUS",Rank_Changes!$U$2:$U$1090,0))),"–")</f>
        <v>4</v>
      </c>
    </row>
    <row r="99" customFormat="false" ht="15" hidden="false" customHeight="false" outlineLevel="0" collapsed="false">
      <c r="A99" s="12" t="s">
        <v>254</v>
      </c>
      <c r="B99" s="12" t="s">
        <v>41</v>
      </c>
      <c r="C99" s="12" t="s">
        <v>255</v>
      </c>
      <c r="D99" s="26" t="n">
        <f aca="false">IFERROR(IF(INDEX(Rank_Changes!$P$2:$P$1090,MATCH($A99&amp;"|"&amp;"USA",Rank_Changes!$U$2:$U$1090,0))="","–",INDEX(Rank_Changes!$P$2:$P$1090,MATCH($A99&amp;"|"&amp;"USA",Rank_Changes!$U$2:$U$1090,0))),"–")</f>
        <v>0</v>
      </c>
      <c r="E99" s="26" t="n">
        <f aca="false">IFERROR(IF(INDEX(Rank_Changes!$P$2:$P$1090,MATCH($A99&amp;"|"&amp;"GBR",Rank_Changes!$U$2:$U$1090,0))="","–",INDEX(Rank_Changes!$P$2:$P$1090,MATCH($A99&amp;"|"&amp;"GBR",Rank_Changes!$U$2:$U$1090,0))),"–")</f>
        <v>2</v>
      </c>
      <c r="F99" s="26" t="n">
        <f aca="false">IFERROR(IF(INDEX(Rank_Changes!$P$2:$P$1090,MATCH($A99&amp;"|"&amp;"DEU",Rank_Changes!$U$2:$U$1090,0))="","–",INDEX(Rank_Changes!$P$2:$P$1090,MATCH($A99&amp;"|"&amp;"DEU",Rank_Changes!$U$2:$U$1090,0))),"–")</f>
        <v>3</v>
      </c>
      <c r="G99" s="26" t="n">
        <f aca="false">IFERROR(IF(INDEX(Rank_Changes!$P$2:$P$1090,MATCH($A99&amp;"|"&amp;"SWE",Rank_Changes!$U$2:$U$1090,0))="","–",INDEX(Rank_Changes!$P$2:$P$1090,MATCH($A99&amp;"|"&amp;"SWE",Rank_Changes!$U$2:$U$1090,0))),"–")</f>
        <v>0</v>
      </c>
      <c r="H99" s="26" t="n">
        <f aca="false">IFERROR(IF(INDEX(Rank_Changes!$P$2:$P$1090,MATCH($A99&amp;"|"&amp;"FRA",Rank_Changes!$U$2:$U$1090,0))="","–",INDEX(Rank_Changes!$P$2:$P$1090,MATCH($A99&amp;"|"&amp;"FRA",Rank_Changes!$U$2:$U$1090,0))),"–")</f>
        <v>-3</v>
      </c>
      <c r="I99" s="26" t="n">
        <f aca="false">IFERROR(IF(INDEX(Rank_Changes!$P$2:$P$1090,MATCH($A99&amp;"|"&amp;"NLD",Rank_Changes!$U$2:$U$1090,0))="","–",INDEX(Rank_Changes!$P$2:$P$1090,MATCH($A99&amp;"|"&amp;"NLD",Rank_Changes!$U$2:$U$1090,0))),"–")</f>
        <v>-4</v>
      </c>
      <c r="J99" s="26" t="n">
        <f aca="false">IFERROR(IF(INDEX(Rank_Changes!$P$2:$P$1090,MATCH($A99&amp;"|"&amp;"CHE",Rank_Changes!$U$2:$U$1090,0))="","–",INDEX(Rank_Changes!$P$2:$P$1090,MATCH($A99&amp;"|"&amp;"CHE",Rank_Changes!$U$2:$U$1090,0))),"–")</f>
        <v>-1</v>
      </c>
      <c r="K99" s="26" t="str">
        <f aca="false">IFERROR(IF(INDEX(Rank_Changes!$P$2:$P$1090,MATCH($A99&amp;"|"&amp;"DNK",Rank_Changes!$U$2:$U$1090,0))="","–",INDEX(Rank_Changes!$P$2:$P$1090,MATCH($A99&amp;"|"&amp;"DNK",Rank_Changes!$U$2:$U$1090,0))),"–")</f>
        <v>–</v>
      </c>
      <c r="L99" s="26" t="n">
        <f aca="false">IFERROR(IF(INDEX(Rank_Changes!$P$2:$P$1090,MATCH($A99&amp;"|"&amp;"CAN",Rank_Changes!$U$2:$U$1090,0))="","–",INDEX(Rank_Changes!$P$2:$P$1090,MATCH($A99&amp;"|"&amp;"CAN",Rank_Changes!$U$2:$U$1090,0))),"–")</f>
        <v>1</v>
      </c>
      <c r="M99" s="26" t="str">
        <f aca="false">IFERROR(IF(INDEX(Rank_Changes!$P$2:$P$1090,MATCH($A99&amp;"|"&amp;"JPN",Rank_Changes!$U$2:$U$1090,0))="","–",INDEX(Rank_Changes!$P$2:$P$1090,MATCH($A99&amp;"|"&amp;"JPN",Rank_Changes!$U$2:$U$1090,0))),"–")</f>
        <v>–</v>
      </c>
      <c r="N99" s="26" t="n">
        <f aca="false">IFERROR(IF(INDEX(Rank_Changes!$P$2:$P$1090,MATCH($A99&amp;"|"&amp;"AUS",Rank_Changes!$U$2:$U$1090,0))="","–",INDEX(Rank_Changes!$P$2:$P$1090,MATCH($A99&amp;"|"&amp;"AUS",Rank_Changes!$U$2:$U$1090,0))),"–")</f>
        <v>3</v>
      </c>
    </row>
    <row r="100" customFormat="false" ht="15" hidden="false" customHeight="false" outlineLevel="0" collapsed="false">
      <c r="A100" s="12" t="s">
        <v>256</v>
      </c>
      <c r="B100" s="12" t="s">
        <v>41</v>
      </c>
      <c r="C100" s="12" t="s">
        <v>257</v>
      </c>
      <c r="D100" s="26" t="n">
        <f aca="false">IFERROR(IF(INDEX(Rank_Changes!$P$2:$P$1090,MATCH($A100&amp;"|"&amp;"USA",Rank_Changes!$U$2:$U$1090,0))="","–",INDEX(Rank_Changes!$P$2:$P$1090,MATCH($A100&amp;"|"&amp;"USA",Rank_Changes!$U$2:$U$1090,0))),"–")</f>
        <v>0</v>
      </c>
      <c r="E100" s="26" t="n">
        <f aca="false">IFERROR(IF(INDEX(Rank_Changes!$P$2:$P$1090,MATCH($A100&amp;"|"&amp;"GBR",Rank_Changes!$U$2:$U$1090,0))="","–",INDEX(Rank_Changes!$P$2:$P$1090,MATCH($A100&amp;"|"&amp;"GBR",Rank_Changes!$U$2:$U$1090,0))),"–")</f>
        <v>0</v>
      </c>
      <c r="F100" s="26" t="n">
        <f aca="false">IFERROR(IF(INDEX(Rank_Changes!$P$2:$P$1090,MATCH($A100&amp;"|"&amp;"DEU",Rank_Changes!$U$2:$U$1090,0))="","–",INDEX(Rank_Changes!$P$2:$P$1090,MATCH($A100&amp;"|"&amp;"DEU",Rank_Changes!$U$2:$U$1090,0))),"–")</f>
        <v>-1</v>
      </c>
      <c r="G100" s="26" t="n">
        <f aca="false">IFERROR(IF(INDEX(Rank_Changes!$P$2:$P$1090,MATCH($A100&amp;"|"&amp;"SWE",Rank_Changes!$U$2:$U$1090,0))="","–",INDEX(Rank_Changes!$P$2:$P$1090,MATCH($A100&amp;"|"&amp;"SWE",Rank_Changes!$U$2:$U$1090,0))),"–")</f>
        <v>-2</v>
      </c>
      <c r="H100" s="26" t="n">
        <f aca="false">IFERROR(IF(INDEX(Rank_Changes!$P$2:$P$1090,MATCH($A100&amp;"|"&amp;"FRA",Rank_Changes!$U$2:$U$1090,0))="","–",INDEX(Rank_Changes!$P$2:$P$1090,MATCH($A100&amp;"|"&amp;"FRA",Rank_Changes!$U$2:$U$1090,0))),"–")</f>
        <v>0</v>
      </c>
      <c r="I100" s="26" t="str">
        <f aca="false">IFERROR(IF(INDEX(Rank_Changes!$P$2:$P$1090,MATCH($A100&amp;"|"&amp;"NLD",Rank_Changes!$U$2:$U$1090,0))="","–",INDEX(Rank_Changes!$P$2:$P$1090,MATCH($A100&amp;"|"&amp;"NLD",Rank_Changes!$U$2:$U$1090,0))),"–")</f>
        <v>–</v>
      </c>
      <c r="J100" s="26" t="str">
        <f aca="false">IFERROR(IF(INDEX(Rank_Changes!$P$2:$P$1090,MATCH($A100&amp;"|"&amp;"CHE",Rank_Changes!$U$2:$U$1090,0))="","–",INDEX(Rank_Changes!$P$2:$P$1090,MATCH($A100&amp;"|"&amp;"CHE",Rank_Changes!$U$2:$U$1090,0))),"–")</f>
        <v>–</v>
      </c>
      <c r="K100" s="26" t="n">
        <f aca="false">IFERROR(IF(INDEX(Rank_Changes!$P$2:$P$1090,MATCH($A100&amp;"|"&amp;"DNK",Rank_Changes!$U$2:$U$1090,0))="","–",INDEX(Rank_Changes!$P$2:$P$1090,MATCH($A100&amp;"|"&amp;"DNK",Rank_Changes!$U$2:$U$1090,0))),"–")</f>
        <v>0</v>
      </c>
      <c r="L100" s="26" t="n">
        <f aca="false">IFERROR(IF(INDEX(Rank_Changes!$P$2:$P$1090,MATCH($A100&amp;"|"&amp;"CAN",Rank_Changes!$U$2:$U$1090,0))="","–",INDEX(Rank_Changes!$P$2:$P$1090,MATCH($A100&amp;"|"&amp;"CAN",Rank_Changes!$U$2:$U$1090,0))),"–")</f>
        <v>-2</v>
      </c>
      <c r="M100" s="26" t="n">
        <f aca="false">IFERROR(IF(INDEX(Rank_Changes!$P$2:$P$1090,MATCH($A100&amp;"|"&amp;"JPN",Rank_Changes!$U$2:$U$1090,0))="","–",INDEX(Rank_Changes!$P$2:$P$1090,MATCH($A100&amp;"|"&amp;"JPN",Rank_Changes!$U$2:$U$1090,0))),"–")</f>
        <v>0</v>
      </c>
      <c r="N100" s="26" t="n">
        <f aca="false">IFERROR(IF(INDEX(Rank_Changes!$P$2:$P$1090,MATCH($A100&amp;"|"&amp;"AUS",Rank_Changes!$U$2:$U$1090,0))="","–",INDEX(Rank_Changes!$P$2:$P$1090,MATCH($A100&amp;"|"&amp;"AUS",Rank_Changes!$U$2:$U$1090,0))),"–")</f>
        <v>2</v>
      </c>
    </row>
    <row r="101" customFormat="false" ht="15" hidden="false" customHeight="false" outlineLevel="0" collapsed="false">
      <c r="A101" s="12" t="s">
        <v>258</v>
      </c>
      <c r="B101" s="12" t="s">
        <v>41</v>
      </c>
      <c r="C101" s="12" t="s">
        <v>259</v>
      </c>
      <c r="D101" s="26" t="n">
        <f aca="false">IFERROR(IF(INDEX(Rank_Changes!$P$2:$P$1090,MATCH($A101&amp;"|"&amp;"USA",Rank_Changes!$U$2:$U$1090,0))="","–",INDEX(Rank_Changes!$P$2:$P$1090,MATCH($A101&amp;"|"&amp;"USA",Rank_Changes!$U$2:$U$1090,0))),"–")</f>
        <v>0</v>
      </c>
      <c r="E101" s="26" t="n">
        <f aca="false">IFERROR(IF(INDEX(Rank_Changes!$P$2:$P$1090,MATCH($A101&amp;"|"&amp;"GBR",Rank_Changes!$U$2:$U$1090,0))="","–",INDEX(Rank_Changes!$P$2:$P$1090,MATCH($A101&amp;"|"&amp;"GBR",Rank_Changes!$U$2:$U$1090,0))),"–")</f>
        <v>0</v>
      </c>
      <c r="F101" s="26" t="n">
        <f aca="false">IFERROR(IF(INDEX(Rank_Changes!$P$2:$P$1090,MATCH($A101&amp;"|"&amp;"DEU",Rank_Changes!$U$2:$U$1090,0))="","–",INDEX(Rank_Changes!$P$2:$P$1090,MATCH($A101&amp;"|"&amp;"DEU",Rank_Changes!$U$2:$U$1090,0))),"–")</f>
        <v>0</v>
      </c>
      <c r="G101" s="26" t="n">
        <f aca="false">IFERROR(IF(INDEX(Rank_Changes!$P$2:$P$1090,MATCH($A101&amp;"|"&amp;"SWE",Rank_Changes!$U$2:$U$1090,0))="","–",INDEX(Rank_Changes!$P$2:$P$1090,MATCH($A101&amp;"|"&amp;"SWE",Rank_Changes!$U$2:$U$1090,0))),"–")</f>
        <v>0</v>
      </c>
      <c r="H101" s="26" t="n">
        <f aca="false">IFERROR(IF(INDEX(Rank_Changes!$P$2:$P$1090,MATCH($A101&amp;"|"&amp;"FRA",Rank_Changes!$U$2:$U$1090,0))="","–",INDEX(Rank_Changes!$P$2:$P$1090,MATCH($A101&amp;"|"&amp;"FRA",Rank_Changes!$U$2:$U$1090,0))),"–")</f>
        <v>0</v>
      </c>
      <c r="I101" s="26" t="n">
        <f aca="false">IFERROR(IF(INDEX(Rank_Changes!$P$2:$P$1090,MATCH($A101&amp;"|"&amp;"NLD",Rank_Changes!$U$2:$U$1090,0))="","–",INDEX(Rank_Changes!$P$2:$P$1090,MATCH($A101&amp;"|"&amp;"NLD",Rank_Changes!$U$2:$U$1090,0))),"–")</f>
        <v>0</v>
      </c>
      <c r="J101" s="26" t="n">
        <f aca="false">IFERROR(IF(INDEX(Rank_Changes!$P$2:$P$1090,MATCH($A101&amp;"|"&amp;"CHE",Rank_Changes!$U$2:$U$1090,0))="","–",INDEX(Rank_Changes!$P$2:$P$1090,MATCH($A101&amp;"|"&amp;"CHE",Rank_Changes!$U$2:$U$1090,0))),"–")</f>
        <v>0</v>
      </c>
      <c r="K101" s="26" t="n">
        <f aca="false">IFERROR(IF(INDEX(Rank_Changes!$P$2:$P$1090,MATCH($A101&amp;"|"&amp;"DNK",Rank_Changes!$U$2:$U$1090,0))="","–",INDEX(Rank_Changes!$P$2:$P$1090,MATCH($A101&amp;"|"&amp;"DNK",Rank_Changes!$U$2:$U$1090,0))),"–")</f>
        <v>0</v>
      </c>
      <c r="L101" s="26" t="n">
        <f aca="false">IFERROR(IF(INDEX(Rank_Changes!$P$2:$P$1090,MATCH($A101&amp;"|"&amp;"CAN",Rank_Changes!$U$2:$U$1090,0))="","–",INDEX(Rank_Changes!$P$2:$P$1090,MATCH($A101&amp;"|"&amp;"CAN",Rank_Changes!$U$2:$U$1090,0))),"–")</f>
        <v>0</v>
      </c>
      <c r="M101" s="26" t="n">
        <f aca="false">IFERROR(IF(INDEX(Rank_Changes!$P$2:$P$1090,MATCH($A101&amp;"|"&amp;"JPN",Rank_Changes!$U$2:$U$1090,0))="","–",INDEX(Rank_Changes!$P$2:$P$1090,MATCH($A101&amp;"|"&amp;"JPN",Rank_Changes!$U$2:$U$1090,0))),"–")</f>
        <v>0</v>
      </c>
      <c r="N101" s="26" t="n">
        <f aca="false">IFERROR(IF(INDEX(Rank_Changes!$P$2:$P$1090,MATCH($A101&amp;"|"&amp;"AUS",Rank_Changes!$U$2:$U$1090,0))="","–",INDEX(Rank_Changes!$P$2:$P$1090,MATCH($A101&amp;"|"&amp;"AUS",Rank_Changes!$U$2:$U$1090,0))),"–")</f>
        <v>0</v>
      </c>
    </row>
    <row r="102" customFormat="false" ht="15" hidden="false" customHeight="false" outlineLevel="0" collapsed="false">
      <c r="A102" s="12" t="s">
        <v>260</v>
      </c>
      <c r="B102" s="12" t="s">
        <v>41</v>
      </c>
      <c r="C102" s="12" t="s">
        <v>261</v>
      </c>
      <c r="D102" s="26" t="str">
        <f aca="false">IFERROR(IF(INDEX(Rank_Changes!$P$2:$P$1090,MATCH($A102&amp;"|"&amp;"USA",Rank_Changes!$U$2:$U$1090,0))="","–",INDEX(Rank_Changes!$P$2:$P$1090,MATCH($A102&amp;"|"&amp;"USA",Rank_Changes!$U$2:$U$1090,0))),"–")</f>
        <v>–</v>
      </c>
      <c r="E102" s="26" t="str">
        <f aca="false">IFERROR(IF(INDEX(Rank_Changes!$P$2:$P$1090,MATCH($A102&amp;"|"&amp;"GBR",Rank_Changes!$U$2:$U$1090,0))="","–",INDEX(Rank_Changes!$P$2:$P$1090,MATCH($A102&amp;"|"&amp;"GBR",Rank_Changes!$U$2:$U$1090,0))),"–")</f>
        <v>–</v>
      </c>
      <c r="F102" s="26" t="str">
        <f aca="false">IFERROR(IF(INDEX(Rank_Changes!$P$2:$P$1090,MATCH($A102&amp;"|"&amp;"DEU",Rank_Changes!$U$2:$U$1090,0))="","–",INDEX(Rank_Changes!$P$2:$P$1090,MATCH($A102&amp;"|"&amp;"DEU",Rank_Changes!$U$2:$U$1090,0))),"–")</f>
        <v>–</v>
      </c>
      <c r="G102" s="26" t="str">
        <f aca="false">IFERROR(IF(INDEX(Rank_Changes!$P$2:$P$1090,MATCH($A102&amp;"|"&amp;"SWE",Rank_Changes!$U$2:$U$1090,0))="","–",INDEX(Rank_Changes!$P$2:$P$1090,MATCH($A102&amp;"|"&amp;"SWE",Rank_Changes!$U$2:$U$1090,0))),"–")</f>
        <v>–</v>
      </c>
      <c r="H102" s="26" t="str">
        <f aca="false">IFERROR(IF(INDEX(Rank_Changes!$P$2:$P$1090,MATCH($A102&amp;"|"&amp;"FRA",Rank_Changes!$U$2:$U$1090,0))="","–",INDEX(Rank_Changes!$P$2:$P$1090,MATCH($A102&amp;"|"&amp;"FRA",Rank_Changes!$U$2:$U$1090,0))),"–")</f>
        <v>–</v>
      </c>
      <c r="I102" s="26" t="str">
        <f aca="false">IFERROR(IF(INDEX(Rank_Changes!$P$2:$P$1090,MATCH($A102&amp;"|"&amp;"NLD",Rank_Changes!$U$2:$U$1090,0))="","–",INDEX(Rank_Changes!$P$2:$P$1090,MATCH($A102&amp;"|"&amp;"NLD",Rank_Changes!$U$2:$U$1090,0))),"–")</f>
        <v>–</v>
      </c>
      <c r="J102" s="26" t="str">
        <f aca="false">IFERROR(IF(INDEX(Rank_Changes!$P$2:$P$1090,MATCH($A102&amp;"|"&amp;"CHE",Rank_Changes!$U$2:$U$1090,0))="","–",INDEX(Rank_Changes!$P$2:$P$1090,MATCH($A102&amp;"|"&amp;"CHE",Rank_Changes!$U$2:$U$1090,0))),"–")</f>
        <v>–</v>
      </c>
      <c r="K102" s="26" t="str">
        <f aca="false">IFERROR(IF(INDEX(Rank_Changes!$P$2:$P$1090,MATCH($A102&amp;"|"&amp;"DNK",Rank_Changes!$U$2:$U$1090,0))="","–",INDEX(Rank_Changes!$P$2:$P$1090,MATCH($A102&amp;"|"&amp;"DNK",Rank_Changes!$U$2:$U$1090,0))),"–")</f>
        <v>–</v>
      </c>
      <c r="L102" s="26" t="str">
        <f aca="false">IFERROR(IF(INDEX(Rank_Changes!$P$2:$P$1090,MATCH($A102&amp;"|"&amp;"CAN",Rank_Changes!$U$2:$U$1090,0))="","–",INDEX(Rank_Changes!$P$2:$P$1090,MATCH($A102&amp;"|"&amp;"CAN",Rank_Changes!$U$2:$U$1090,0))),"–")</f>
        <v>–</v>
      </c>
      <c r="M102" s="26" t="str">
        <f aca="false">IFERROR(IF(INDEX(Rank_Changes!$P$2:$P$1090,MATCH($A102&amp;"|"&amp;"JPN",Rank_Changes!$U$2:$U$1090,0))="","–",INDEX(Rank_Changes!$P$2:$P$1090,MATCH($A102&amp;"|"&amp;"JPN",Rank_Changes!$U$2:$U$1090,0))),"–")</f>
        <v>–</v>
      </c>
      <c r="N102" s="26" t="str">
        <f aca="false">IFERROR(IF(INDEX(Rank_Changes!$P$2:$P$1090,MATCH($A102&amp;"|"&amp;"AUS",Rank_Changes!$U$2:$U$1090,0))="","–",INDEX(Rank_Changes!$P$2:$P$1090,MATCH($A102&amp;"|"&amp;"AUS",Rank_Changes!$U$2:$U$1090,0))),"–")</f>
        <v>–</v>
      </c>
    </row>
    <row r="103" customFormat="false" ht="15" hidden="false" customHeight="false" outlineLevel="0" collapsed="false">
      <c r="A103" s="12" t="s">
        <v>262</v>
      </c>
      <c r="B103" s="12" t="s">
        <v>41</v>
      </c>
      <c r="C103" s="12" t="s">
        <v>263</v>
      </c>
      <c r="D103" s="26" t="str">
        <f aca="false">IFERROR(IF(INDEX(Rank_Changes!$P$2:$P$1090,MATCH($A103&amp;"|"&amp;"USA",Rank_Changes!$U$2:$U$1090,0))="","–",INDEX(Rank_Changes!$P$2:$P$1090,MATCH($A103&amp;"|"&amp;"USA",Rank_Changes!$U$2:$U$1090,0))),"–")</f>
        <v>–</v>
      </c>
      <c r="E103" s="26" t="str">
        <f aca="false">IFERROR(IF(INDEX(Rank_Changes!$P$2:$P$1090,MATCH($A103&amp;"|"&amp;"GBR",Rank_Changes!$U$2:$U$1090,0))="","–",INDEX(Rank_Changes!$P$2:$P$1090,MATCH($A103&amp;"|"&amp;"GBR",Rank_Changes!$U$2:$U$1090,0))),"–")</f>
        <v>–</v>
      </c>
      <c r="F103" s="26" t="str">
        <f aca="false">IFERROR(IF(INDEX(Rank_Changes!$P$2:$P$1090,MATCH($A103&amp;"|"&amp;"DEU",Rank_Changes!$U$2:$U$1090,0))="","–",INDEX(Rank_Changes!$P$2:$P$1090,MATCH($A103&amp;"|"&amp;"DEU",Rank_Changes!$U$2:$U$1090,0))),"–")</f>
        <v>–</v>
      </c>
      <c r="G103" s="26" t="str">
        <f aca="false">IFERROR(IF(INDEX(Rank_Changes!$P$2:$P$1090,MATCH($A103&amp;"|"&amp;"SWE",Rank_Changes!$U$2:$U$1090,0))="","–",INDEX(Rank_Changes!$P$2:$P$1090,MATCH($A103&amp;"|"&amp;"SWE",Rank_Changes!$U$2:$U$1090,0))),"–")</f>
        <v>–</v>
      </c>
      <c r="H103" s="26" t="str">
        <f aca="false">IFERROR(IF(INDEX(Rank_Changes!$P$2:$P$1090,MATCH($A103&amp;"|"&amp;"FRA",Rank_Changes!$U$2:$U$1090,0))="","–",INDEX(Rank_Changes!$P$2:$P$1090,MATCH($A103&amp;"|"&amp;"FRA",Rank_Changes!$U$2:$U$1090,0))),"–")</f>
        <v>–</v>
      </c>
      <c r="I103" s="26" t="str">
        <f aca="false">IFERROR(IF(INDEX(Rank_Changes!$P$2:$P$1090,MATCH($A103&amp;"|"&amp;"NLD",Rank_Changes!$U$2:$U$1090,0))="","–",INDEX(Rank_Changes!$P$2:$P$1090,MATCH($A103&amp;"|"&amp;"NLD",Rank_Changes!$U$2:$U$1090,0))),"–")</f>
        <v>–</v>
      </c>
      <c r="J103" s="26" t="str">
        <f aca="false">IFERROR(IF(INDEX(Rank_Changes!$P$2:$P$1090,MATCH($A103&amp;"|"&amp;"CHE",Rank_Changes!$U$2:$U$1090,0))="","–",INDEX(Rank_Changes!$P$2:$P$1090,MATCH($A103&amp;"|"&amp;"CHE",Rank_Changes!$U$2:$U$1090,0))),"–")</f>
        <v>–</v>
      </c>
      <c r="K103" s="26" t="str">
        <f aca="false">IFERROR(IF(INDEX(Rank_Changes!$P$2:$P$1090,MATCH($A103&amp;"|"&amp;"DNK",Rank_Changes!$U$2:$U$1090,0))="","–",INDEX(Rank_Changes!$P$2:$P$1090,MATCH($A103&amp;"|"&amp;"DNK",Rank_Changes!$U$2:$U$1090,0))),"–")</f>
        <v>–</v>
      </c>
      <c r="L103" s="26" t="str">
        <f aca="false">IFERROR(IF(INDEX(Rank_Changes!$P$2:$P$1090,MATCH($A103&amp;"|"&amp;"CAN",Rank_Changes!$U$2:$U$1090,0))="","–",INDEX(Rank_Changes!$P$2:$P$1090,MATCH($A103&amp;"|"&amp;"CAN",Rank_Changes!$U$2:$U$1090,0))),"–")</f>
        <v>–</v>
      </c>
      <c r="M103" s="26" t="str">
        <f aca="false">IFERROR(IF(INDEX(Rank_Changes!$P$2:$P$1090,MATCH($A103&amp;"|"&amp;"JPN",Rank_Changes!$U$2:$U$1090,0))="","–",INDEX(Rank_Changes!$P$2:$P$1090,MATCH($A103&amp;"|"&amp;"JPN",Rank_Changes!$U$2:$U$1090,0))),"–")</f>
        <v>–</v>
      </c>
      <c r="N103" s="26" t="str">
        <f aca="false">IFERROR(IF(INDEX(Rank_Changes!$P$2:$P$1090,MATCH($A103&amp;"|"&amp;"AUS",Rank_Changes!$U$2:$U$1090,0))="","–",INDEX(Rank_Changes!$P$2:$P$1090,MATCH($A103&amp;"|"&amp;"AUS",Rank_Changes!$U$2:$U$1090,0))),"–")</f>
        <v>–</v>
      </c>
    </row>
  </sheetData>
  <conditionalFormatting sqref="D5:N103">
    <cfRule type="expression" priority="2" aboveAverage="0" equalAverage="0" bottom="0" percent="0" rank="0" text="" dxfId="10">
      <formula>AND(ISNUMBER(D5),D5&gt;0)</formula>
    </cfRule>
    <cfRule type="expression" priority="3" aboveAverage="0" equalAverage="0" bottom="0" percent="0" rank="0" text="" dxfId="11">
      <formula>AND(ISNUMBER(D5),D5&lt;0)</formula>
    </cfRule>
    <cfRule type="expression" priority="4" aboveAverage="0" equalAverage="0" bottom="0" percent="0" rank="0" text="" dxfId="12">
      <formula>D5="–"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2026-10-08T20:55:54Z</dcterms:created>
  <dc:creator>openpyxl</dc:creator>
  <dc:description/>
  <dc:language>en-US</dc:language>
  <cp:lastModifiedBy/>
  <dcterms:modified xsi:type="dcterms:W3CDTF">2026-10-08T13:55:58Z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